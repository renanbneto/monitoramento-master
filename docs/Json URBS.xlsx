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dastro" sheetId="1" r:id="rId4"/>
    <sheet state="visible" name="GMC CURITIBA" sheetId="2" r:id="rId5"/>
    <sheet state="visible" name="SISCOP" sheetId="3" r:id="rId6"/>
    <sheet state="visible" name="Proxy" sheetId="4" r:id="rId7"/>
    <sheet state="visible" name="Importação monitoramento" sheetId="5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EX.:
-23.4567,-49,123</t>
      </text>
    </comment>
  </commentList>
</comments>
</file>

<file path=xl/sharedStrings.xml><?xml version="1.0" encoding="utf-8"?>
<sst xmlns="http://schemas.openxmlformats.org/spreadsheetml/2006/main" count="17418" uniqueCount="4537">
  <si>
    <t>servidor</t>
  </si>
  <si>
    <t>cidade</t>
  </si>
  <si>
    <t>ip</t>
  </si>
  <si>
    <t>porta</t>
  </si>
  <si>
    <t>camera</t>
  </si>
  <si>
    <t>local_nome</t>
  </si>
  <si>
    <t>lat</t>
  </si>
  <si>
    <t>lng</t>
  </si>
  <si>
    <t>siscop</t>
  </si>
  <si>
    <t>senha</t>
  </si>
  <si>
    <t>protocolo</t>
  </si>
  <si>
    <t>vms</t>
  </si>
  <si>
    <t>formato</t>
  </si>
  <si>
    <t>hostname</t>
  </si>
  <si>
    <t>link</t>
  </si>
  <si>
    <t>ativo</t>
  </si>
  <si>
    <t>URBS 1</t>
  </si>
  <si>
    <t>CURITIBA</t>
  </si>
  <si>
    <t>https://monitoramento.pm.pr.gov.br/proxy_image_1/</t>
  </si>
  <si>
    <t>Camera01</t>
  </si>
  <si>
    <t xml:space="preserve">Brasilio Itibere x Com. Franco                     </t>
  </si>
  <si>
    <t>-25.440635</t>
  </si>
  <si>
    <t>-49.25217</t>
  </si>
  <si>
    <t>copom_DDTQ</t>
  </si>
  <si>
    <t>DDTQcopom</t>
  </si>
  <si>
    <t>https</t>
  </si>
  <si>
    <t>Digifort</t>
  </si>
  <si>
    <t>mjpg</t>
  </si>
  <si>
    <t>Camera02</t>
  </si>
  <si>
    <t xml:space="preserve">Ubaldino Amaral x Visc. Guarapuava   </t>
  </si>
  <si>
    <t>-25.432082</t>
  </si>
  <si>
    <t>-49.256586</t>
  </si>
  <si>
    <t>Camera03</t>
  </si>
  <si>
    <t xml:space="preserve">XV de Novembro x Jose de Alencar           </t>
  </si>
  <si>
    <t>-25.426727</t>
  </si>
  <si>
    <t>-49.253624</t>
  </si>
  <si>
    <t>Camera04</t>
  </si>
  <si>
    <t xml:space="preserve">Sete de Abril x Amintas de Barros           </t>
  </si>
  <si>
    <t>-25.423742</t>
  </si>
  <si>
    <t>-49.255794</t>
  </si>
  <si>
    <t>Camera05</t>
  </si>
  <si>
    <t xml:space="preserve">Ubaldino Amaral x Itupava                        </t>
  </si>
  <si>
    <t>-25.424725</t>
  </si>
  <si>
    <t>-49.259819</t>
  </si>
  <si>
    <t>Camera06</t>
  </si>
  <si>
    <t xml:space="preserve">Maua x Amancio Moro                                     </t>
  </si>
  <si>
    <t>-25.419905</t>
  </si>
  <si>
    <t>-49.259927</t>
  </si>
  <si>
    <t>Camera07</t>
  </si>
  <si>
    <t xml:space="preserve">Campos Sales Augusto Severino                         </t>
  </si>
  <si>
    <t>-25.416214</t>
  </si>
  <si>
    <t>-49.262683</t>
  </si>
  <si>
    <t>Camera08</t>
  </si>
  <si>
    <t xml:space="preserve">Des. Motta x Martim Afonso                              </t>
  </si>
  <si>
    <t>-25.428931</t>
  </si>
  <si>
    <t>-49.286066</t>
  </si>
  <si>
    <t>Camera09</t>
  </si>
  <si>
    <t xml:space="preserve">Lysimaco F. Costa x Candido de Abreu             </t>
  </si>
  <si>
    <t>-25.417569</t>
  </si>
  <si>
    <t>-49.268569</t>
  </si>
  <si>
    <t>Camera10</t>
  </si>
  <si>
    <t xml:space="preserve">Roberto Barroso x Mateus Leme                             </t>
  </si>
  <si>
    <t>-25.418142</t>
  </si>
  <si>
    <t>-49.271116</t>
  </si>
  <si>
    <t>Camera11</t>
  </si>
  <si>
    <t xml:space="preserve">Des Motta x Manoel Ribas                               </t>
  </si>
  <si>
    <t>-25.422483</t>
  </si>
  <si>
    <t>-49.289099</t>
  </si>
  <si>
    <t>Camera12</t>
  </si>
  <si>
    <t xml:space="preserve">Brig. Franco x Padre Agostinho                       </t>
  </si>
  <si>
    <t>-25.426126</t>
  </si>
  <si>
    <t>-49.285706</t>
  </si>
  <si>
    <t>Camera13</t>
  </si>
  <si>
    <t xml:space="preserve">Vicente Machado x Brig. Franco                       </t>
  </si>
  <si>
    <t>-25.435144</t>
  </si>
  <si>
    <t>-49.281461</t>
  </si>
  <si>
    <t>Camera14</t>
  </si>
  <si>
    <t xml:space="preserve">Visc. Guarapuava x Brig Franco                    </t>
  </si>
  <si>
    <t>-25.440097</t>
  </si>
  <si>
    <t>-49.277085</t>
  </si>
  <si>
    <t>Camera15a</t>
  </si>
  <si>
    <t xml:space="preserve">Silva Jardim x Des. Motta                                   </t>
  </si>
  <si>
    <t>-25.44332</t>
  </si>
  <si>
    <t>-49.276869</t>
  </si>
  <si>
    <t>Camera16</t>
  </si>
  <si>
    <t xml:space="preserve">Eng. Rebouças x João Negrão                            </t>
  </si>
  <si>
    <t>-25.44239</t>
  </si>
  <si>
    <t>-49.260632</t>
  </si>
  <si>
    <t>Camera17</t>
  </si>
  <si>
    <t xml:space="preserve">Brasilio Itibere c Cons. Laurindo                          </t>
  </si>
  <si>
    <t>-25.443397</t>
  </si>
  <si>
    <t>-49.259425</t>
  </si>
  <si>
    <t>Camera18</t>
  </si>
  <si>
    <t xml:space="preserve">Iguaçu x Mal. Floriano Peixoto                       </t>
  </si>
  <si>
    <t>-25.44136</t>
  </si>
  <si>
    <t>-49.266848</t>
  </si>
  <si>
    <t>Camera19</t>
  </si>
  <si>
    <t xml:space="preserve">XV de Novembro x Ubaldino do Amaral              </t>
  </si>
  <si>
    <t>-25.426315</t>
  </si>
  <si>
    <t>-49.259163</t>
  </si>
  <si>
    <t>Camera20</t>
  </si>
  <si>
    <t xml:space="preserve">Roberto Barroso x Des. Hugo Simas                   </t>
  </si>
  <si>
    <t>-25.416579</t>
  </si>
  <si>
    <t>-49.27878</t>
  </si>
  <si>
    <t>Camera21</t>
  </si>
  <si>
    <t xml:space="preserve">Brig. Franco x Brasilio Itibere                              </t>
  </si>
  <si>
    <t>-25.440666</t>
  </si>
  <si>
    <t>-49.252148</t>
  </si>
  <si>
    <t>Camera22</t>
  </si>
  <si>
    <t xml:space="preserve">Mal. Floriano x Kennedy                            </t>
  </si>
  <si>
    <t>-25.450777</t>
  </si>
  <si>
    <t>-49.26228</t>
  </si>
  <si>
    <t>Camera23</t>
  </si>
  <si>
    <t xml:space="preserve">Mal . Florianox 7 de Setembro                  </t>
  </si>
  <si>
    <t>-25.438445</t>
  </si>
  <si>
    <t>-49.268263</t>
  </si>
  <si>
    <t>Camera24</t>
  </si>
  <si>
    <t xml:space="preserve">BR-476 x Mal. Floriano Peixoto (Savana veiculos)          </t>
  </si>
  <si>
    <t>-25.469165</t>
  </si>
  <si>
    <t>-49.253625</t>
  </si>
  <si>
    <t>Camera25</t>
  </si>
  <si>
    <t xml:space="preserve">Mal. Deodoro x Mal. Floriano                 </t>
  </si>
  <si>
    <t>-25.432073</t>
  </si>
  <si>
    <t>-49.271504</t>
  </si>
  <si>
    <t>Camera26</t>
  </si>
  <si>
    <t xml:space="preserve">Mal. Floriano x Rubens E. Braga             </t>
  </si>
  <si>
    <t>-25.458423</t>
  </si>
  <si>
    <t>-49.258497</t>
  </si>
  <si>
    <t>Camera27</t>
  </si>
  <si>
    <t xml:space="preserve">Rep. Argentina x Kennedy                             </t>
  </si>
  <si>
    <t>-25.477437</t>
  </si>
  <si>
    <t>-49.292212</t>
  </si>
  <si>
    <t>Camera28</t>
  </si>
  <si>
    <t xml:space="preserve">BR-476 x Hellen Keller                                 </t>
  </si>
  <si>
    <t>-25.496909</t>
  </si>
  <si>
    <t>-49.27646</t>
  </si>
  <si>
    <t>EdLaucas</t>
  </si>
  <si>
    <t xml:space="preserve">Ed. Laucas                                  </t>
  </si>
  <si>
    <t>-25.434845</t>
  </si>
  <si>
    <t>-49.260611</t>
  </si>
  <si>
    <t>URBS 2</t>
  </si>
  <si>
    <t>https://monitoramento.pm.pr.gov.br/proxy_image_2/</t>
  </si>
  <si>
    <t>Camera034</t>
  </si>
  <si>
    <t xml:space="preserve">Mateus Leme x João Gava      </t>
  </si>
  <si>
    <t>-25.387877</t>
  </si>
  <si>
    <t>-49.267574</t>
  </si>
  <si>
    <t>Camera035</t>
  </si>
  <si>
    <t xml:space="preserve">Rep. Argentina x Silva Jardim         </t>
  </si>
  <si>
    <t>-25.447276</t>
  </si>
  <si>
    <t>-49.287728</t>
  </si>
  <si>
    <t>Camera036</t>
  </si>
  <si>
    <t>Monsenhor Ivo Zanlorenzi x Major Heitor Guimaraes</t>
  </si>
  <si>
    <t>-25.438708</t>
  </si>
  <si>
    <t>-49.310675</t>
  </si>
  <si>
    <t>Camera037</t>
  </si>
  <si>
    <t xml:space="preserve">Pe. Agostinho x Gal. Mario Tourinho   </t>
  </si>
  <si>
    <t>-25.435347</t>
  </si>
  <si>
    <t>-49.308822</t>
  </si>
  <si>
    <t>Camera038</t>
  </si>
  <si>
    <t xml:space="preserve">Nossa Senhora Aparecida x Gal. Mario Tourinho  </t>
  </si>
  <si>
    <t>-25.449403</t>
  </si>
  <si>
    <t>-49.304609</t>
  </si>
  <si>
    <t>Camera039</t>
  </si>
  <si>
    <t xml:space="preserve">Irmãns Paulinas x Av. Brasília x Trav. Augusto Marach   </t>
  </si>
  <si>
    <t>-25.488726</t>
  </si>
  <si>
    <t>-49.291799</t>
  </si>
  <si>
    <t>Camera040</t>
  </si>
  <si>
    <t xml:space="preserve">Sta. Bernadethe x Wilson de França x Eduardo Carlos Pereira  </t>
  </si>
  <si>
    <t>-25.477138</t>
  </si>
  <si>
    <t>-49.289229</t>
  </si>
  <si>
    <t>Camera041</t>
  </si>
  <si>
    <t xml:space="preserve">Pres. Getulio Vargas x 24 de Maio    </t>
  </si>
  <si>
    <t>-25.444582</t>
  </si>
  <si>
    <t>-49.270919</t>
  </si>
  <si>
    <t>Camera042</t>
  </si>
  <si>
    <t xml:space="preserve">Dr. João Tobias Pinto Rebello x Itacolomi  </t>
  </si>
  <si>
    <t>-25.479236</t>
  </si>
  <si>
    <t>-49.295684</t>
  </si>
  <si>
    <t>Camera043</t>
  </si>
  <si>
    <t xml:space="preserve">Visconde de Guarapuava x Candido Xavier   </t>
  </si>
  <si>
    <t>-25.44621</t>
  </si>
  <si>
    <t>-49.29277</t>
  </si>
  <si>
    <t>Camera044</t>
  </si>
  <si>
    <t xml:space="preserve">Guilher Pugsley x Rio Grande do Sul </t>
  </si>
  <si>
    <t>-25.462268</t>
  </si>
  <si>
    <t>-49.288823</t>
  </si>
  <si>
    <t>Camera045</t>
  </si>
  <si>
    <t xml:space="preserve">João Gualberto x Bom Jesus    </t>
  </si>
  <si>
    <t>-25.410247</t>
  </si>
  <si>
    <t>-49.255958</t>
  </si>
  <si>
    <t>Camera046</t>
  </si>
  <si>
    <t xml:space="preserve">Winston Churchil x Jose R. Pinheiro </t>
  </si>
  <si>
    <t>-25.513491</t>
  </si>
  <si>
    <t>-49.295768</t>
  </si>
  <si>
    <t>Camera047</t>
  </si>
  <si>
    <t xml:space="preserve">BR 476 x Prof. João Soares Barcelos  </t>
  </si>
  <si>
    <t>-25.474466</t>
  </si>
  <si>
    <t>-49.257831</t>
  </si>
  <si>
    <t>Camera048</t>
  </si>
  <si>
    <t xml:space="preserve">Mal. Floriano Peixoto x Des. Antonio de Paula </t>
  </si>
  <si>
    <t>-25.510449</t>
  </si>
  <si>
    <t>-49.23303</t>
  </si>
  <si>
    <t>Camera049</t>
  </si>
  <si>
    <t xml:space="preserve">Mal. Floriano Peixoto x Hipólito da Costa  </t>
  </si>
  <si>
    <t>-25.490298</t>
  </si>
  <si>
    <t>-49.243191</t>
  </si>
  <si>
    <t>Camera050</t>
  </si>
  <si>
    <t xml:space="preserve">Francisco Derosso x Antonio Rebelatto  </t>
  </si>
  <si>
    <t>-25.49648</t>
  </si>
  <si>
    <t>-49.270576</t>
  </si>
  <si>
    <t>Camera051</t>
  </si>
  <si>
    <t xml:space="preserve">Imaculada Conceição x Sem. Salgado Filho  </t>
  </si>
  <si>
    <t>-25.453221</t>
  </si>
  <si>
    <t>-49.252627</t>
  </si>
  <si>
    <t>Camera052</t>
  </si>
  <si>
    <t xml:space="preserve">Anne Frank x Dr. Julio César R. Souza  </t>
  </si>
  <si>
    <t>-25.479466</t>
  </si>
  <si>
    <t>-49.246984</t>
  </si>
  <si>
    <t>Camera053</t>
  </si>
  <si>
    <t xml:space="preserve">Av. Com. Franco x Rosa Mehl  </t>
  </si>
  <si>
    <t>-25.484687</t>
  </si>
  <si>
    <t>-49.219978</t>
  </si>
  <si>
    <t>Camera054</t>
  </si>
  <si>
    <t xml:space="preserve">Lamenha Lins x Av. Pres. Kennedy  </t>
  </si>
  <si>
    <t>-25.455809</t>
  </si>
  <si>
    <t>-49.267849</t>
  </si>
  <si>
    <t>Camera055</t>
  </si>
  <si>
    <t xml:space="preserve">Av. Victor Ferreira do Amaral x BR 476  </t>
  </si>
  <si>
    <t>-25.428525</t>
  </si>
  <si>
    <t>-49.228229</t>
  </si>
  <si>
    <t>Camera056</t>
  </si>
  <si>
    <t xml:space="preserve">Almirante Tamandaré x Reinaldino Schaffemberg de Quadros  </t>
  </si>
  <si>
    <t>-25.429567</t>
  </si>
  <si>
    <t>-49.255442</t>
  </si>
  <si>
    <t>Camera057</t>
  </si>
  <si>
    <t xml:space="preserve">7 de Setembro x Angelo Sampaio  </t>
  </si>
  <si>
    <t>-25.443658</t>
  </si>
  <si>
    <t>-49.282446</t>
  </si>
  <si>
    <t>Camera058</t>
  </si>
  <si>
    <t>BR 476 x Fagundes Varela</t>
  </si>
  <si>
    <t>-25.408339</t>
  </si>
  <si>
    <t>-49.219451</t>
  </si>
  <si>
    <t>Camera059</t>
  </si>
  <si>
    <t xml:space="preserve">Eng. Costa Barros x Roraima   </t>
  </si>
  <si>
    <t>-25.454333</t>
  </si>
  <si>
    <t>-49.214044</t>
  </si>
  <si>
    <t>Camera060</t>
  </si>
  <si>
    <t xml:space="preserve">Av. Agua Verde x Dr. Pedro M. B. Monclaro   </t>
  </si>
  <si>
    <t>-25.453408</t>
  </si>
  <si>
    <t>-49.272353</t>
  </si>
  <si>
    <t>Camera061</t>
  </si>
  <si>
    <t xml:space="preserve">Pasteur x Av. Iguaçu   </t>
  </si>
  <si>
    <t>-25.44568</t>
  </si>
  <si>
    <t>-49.278333</t>
  </si>
  <si>
    <t>Camera062</t>
  </si>
  <si>
    <t xml:space="preserve">Av. Silva Jardim x Alferes Poli   </t>
  </si>
  <si>
    <t>-25.441039</t>
  </si>
  <si>
    <t>-49.271249</t>
  </si>
  <si>
    <t>Camera063</t>
  </si>
  <si>
    <t xml:space="preserve">Av. Pres. Getulio Vargas x Saint Hilaire  </t>
  </si>
  <si>
    <t>-25.450108</t>
  </si>
  <si>
    <t>-49.28545</t>
  </si>
  <si>
    <t>Camera064</t>
  </si>
  <si>
    <t xml:space="preserve">24 de Maio x Dr. Pedrosa   </t>
  </si>
  <si>
    <t>-25.43706</t>
  </si>
  <si>
    <t>-49.274453</t>
  </si>
  <si>
    <t>Camera065</t>
  </si>
  <si>
    <t xml:space="preserve">Av. do Batel x Bento Viana   </t>
  </si>
  <si>
    <t>-25.441629</t>
  </si>
  <si>
    <t>-49.285576</t>
  </si>
  <si>
    <t>Camera066</t>
  </si>
  <si>
    <t xml:space="preserve">Carlos de Carvalho x Visc. De Nacar    </t>
  </si>
  <si>
    <t>-25.432343</t>
  </si>
  <si>
    <t>-49.278076</t>
  </si>
  <si>
    <t>Camera067</t>
  </si>
  <si>
    <t xml:space="preserve">Pedro Ivo x Des. Westphalen   </t>
  </si>
  <si>
    <t>-25.434524</t>
  </si>
  <si>
    <t>-49.272026</t>
  </si>
  <si>
    <t>Camera068</t>
  </si>
  <si>
    <t xml:space="preserve">João Bettega x Itacolomi  </t>
  </si>
  <si>
    <t>-25.478957</t>
  </si>
  <si>
    <t>-49.31403</t>
  </si>
  <si>
    <t>Camera069</t>
  </si>
  <si>
    <t xml:space="preserve">Mal. Deodoro x Tibagi     </t>
  </si>
  <si>
    <t>-25.429176</t>
  </si>
  <si>
    <t>-49.264131</t>
  </si>
  <si>
    <t>Camera070</t>
  </si>
  <si>
    <t xml:space="preserve">Av. Manoel Ribas x Jacarezinho    </t>
  </si>
  <si>
    <t>-25.422159</t>
  </si>
  <si>
    <t>-49.291883</t>
  </si>
  <si>
    <t>Camera071</t>
  </si>
  <si>
    <t xml:space="preserve">Av. Pres. Afonso Camargo x Prof. Nivaldo Braga  </t>
  </si>
  <si>
    <t>-25.440461</t>
  </si>
  <si>
    <t>-49.220924</t>
  </si>
  <si>
    <t>Camera072</t>
  </si>
  <si>
    <t xml:space="preserve">Barão do Cerro Azul x Treze de maio    </t>
  </si>
  <si>
    <t>-25.426976</t>
  </si>
  <si>
    <t>-49.270648</t>
  </si>
  <si>
    <t>Camera073</t>
  </si>
  <si>
    <t xml:space="preserve">Izaac Ferreira da Cruz x Nsra. Sagrado Coração    </t>
  </si>
  <si>
    <t>-25.527939</t>
  </si>
  <si>
    <t>-49.291853</t>
  </si>
  <si>
    <t>Camera074</t>
  </si>
  <si>
    <t xml:space="preserve">Estados Unidos x Av. Paraná    </t>
  </si>
  <si>
    <t>-25.400416</t>
  </si>
  <si>
    <t>-49.247082</t>
  </si>
  <si>
    <t>Camera075</t>
  </si>
  <si>
    <t xml:space="preserve">Av. Com. Franco x BR 476    </t>
  </si>
  <si>
    <t>-25.452904</t>
  </si>
  <si>
    <t>-49.24306</t>
  </si>
  <si>
    <t>Camera076</t>
  </si>
  <si>
    <t xml:space="preserve">Av. Iguaçu x Av. Pres. Arthur Bernardes   </t>
  </si>
  <si>
    <t>-25.455046</t>
  </si>
  <si>
    <t>-49.303573</t>
  </si>
  <si>
    <t>Camera077</t>
  </si>
  <si>
    <t xml:space="preserve">Av. Prof. Lothario Meissner x Alberto Twardwski x Eng. Ostoja Roguski   </t>
  </si>
  <si>
    <t>-25.444061</t>
  </si>
  <si>
    <t>-49.242961</t>
  </si>
  <si>
    <t>Camera078</t>
  </si>
  <si>
    <t xml:space="preserve">Vital Brasil x Guararapes   </t>
  </si>
  <si>
    <t>-25.464201</t>
  </si>
  <si>
    <t>-49.291737</t>
  </si>
  <si>
    <t>Camera079</t>
  </si>
  <si>
    <t xml:space="preserve">Nicolau Maeder x Alberto Bolliger   </t>
  </si>
  <si>
    <t>-25.41544</t>
  </si>
  <si>
    <t>-49.259722</t>
  </si>
  <si>
    <t>Camera080</t>
  </si>
  <si>
    <t xml:space="preserve">Av. Pres. Affonso Camargo x Agamenon Magalhães x Eng Ostoja Roguski   </t>
  </si>
  <si>
    <t>-25.438916</t>
  </si>
  <si>
    <t>-49.237941</t>
  </si>
  <si>
    <t>Camera081</t>
  </si>
  <si>
    <t xml:space="preserve">Av. Pres. Affonso Camargo x Schiller x Dr. Dario Lopes dos Santos  </t>
  </si>
  <si>
    <t>-25.435701</t>
  </si>
  <si>
    <t>-49.251108</t>
  </si>
  <si>
    <t>Camera082</t>
  </si>
  <si>
    <t xml:space="preserve">São Luiz x Anita Garibaldi   </t>
  </si>
  <si>
    <t>-25.407835</t>
  </si>
  <si>
    <t>-49.256494</t>
  </si>
  <si>
    <t>Camera083</t>
  </si>
  <si>
    <t xml:space="preserve">Cons. Laurindo x André de Barros  </t>
  </si>
  <si>
    <t>-25.43289</t>
  </si>
  <si>
    <t>-49.263743</t>
  </si>
  <si>
    <t>Camera084</t>
  </si>
  <si>
    <t xml:space="preserve">Al. Dr. Muricy x Cruz Machado    </t>
  </si>
  <si>
    <t>-25.429799</t>
  </si>
  <si>
    <t>-49.273678</t>
  </si>
  <si>
    <t>Camera085</t>
  </si>
  <si>
    <t xml:space="preserve">Mariano Torres x Amintas de Barros  </t>
  </si>
  <si>
    <t>-25.427178</t>
  </si>
  <si>
    <t>-49.264095</t>
  </si>
  <si>
    <t>Camera086</t>
  </si>
  <si>
    <t xml:space="preserve">Barão de Antonina x Heitor Stockler França  </t>
  </si>
  <si>
    <t>-25.42286</t>
  </si>
  <si>
    <t>-49.26859</t>
  </si>
  <si>
    <t>Camera087</t>
  </si>
  <si>
    <t xml:space="preserve">Av. Paraná x Fernando de Noronha   </t>
  </si>
  <si>
    <t>-25.384774</t>
  </si>
  <si>
    <t>-49.232568</t>
  </si>
  <si>
    <t>Camera088</t>
  </si>
  <si>
    <t xml:space="preserve">Holana x Canadá   </t>
  </si>
  <si>
    <t>-25.399895</t>
  </si>
  <si>
    <t>-49.245047</t>
  </si>
  <si>
    <t>Camera089</t>
  </si>
  <si>
    <t xml:space="preserve">Pioneiros x Dr. Levy Buquera    </t>
  </si>
  <si>
    <t>-25.5341</t>
  </si>
  <si>
    <t>-49.266587</t>
  </si>
  <si>
    <t>Camera100</t>
  </si>
  <si>
    <t>Estação tubo Centenario x C. Cumprido</t>
  </si>
  <si>
    <t>-25.435867</t>
  </si>
  <si>
    <t>-49.274926</t>
  </si>
  <si>
    <t>Camera60</t>
  </si>
  <si>
    <t>Term hauer interbairros 2 hor.</t>
  </si>
  <si>
    <t>-25.482196</t>
  </si>
  <si>
    <t>-49.246905</t>
  </si>
  <si>
    <t>Camera61</t>
  </si>
  <si>
    <t>Term hauer fanny</t>
  </si>
  <si>
    <t>-25.482399</t>
  </si>
  <si>
    <t>-49.246799</t>
  </si>
  <si>
    <t>Camera64</t>
  </si>
  <si>
    <t>PANE Rodoferroviaria&gt; C. Cumprido</t>
  </si>
  <si>
    <t>-25.435561</t>
  </si>
  <si>
    <t>-49.256602</t>
  </si>
  <si>
    <t>Camera65</t>
  </si>
  <si>
    <t>Rodoferroviaria&gt; Centenario</t>
  </si>
  <si>
    <t>-25.435784</t>
  </si>
  <si>
    <t>-49.257526</t>
  </si>
  <si>
    <t>Camera66</t>
  </si>
  <si>
    <t>Mariano Torres &gt; Centenario</t>
  </si>
  <si>
    <t>-25.435808</t>
  </si>
  <si>
    <t>-49.260813</t>
  </si>
  <si>
    <t>Camera71</t>
  </si>
  <si>
    <t>Term. Capão da ImbuiaExpresso bairro</t>
  </si>
  <si>
    <t>-25.439890</t>
  </si>
  <si>
    <t>-49.222097</t>
  </si>
  <si>
    <t>Camera72</t>
  </si>
  <si>
    <t>Term. Capão da Imbuia Interbairros</t>
  </si>
  <si>
    <t>-25.440181</t>
  </si>
  <si>
    <t>-49.221358</t>
  </si>
  <si>
    <t>Camera73</t>
  </si>
  <si>
    <t>Estação tubo TRE&gt; Centro</t>
  </si>
  <si>
    <t>-25.457849</t>
  </si>
  <si>
    <t>-49.258738</t>
  </si>
  <si>
    <t>Camera74</t>
  </si>
  <si>
    <t>Term. Capão da Imbuia ET Pinhais</t>
  </si>
  <si>
    <t>-25.440251</t>
  </si>
  <si>
    <t>-49.221176</t>
  </si>
  <si>
    <t>Camera75</t>
  </si>
  <si>
    <t>ET Conselheiro Dantas</t>
  </si>
  <si>
    <t>-25.451765</t>
  </si>
  <si>
    <t>-49.261675</t>
  </si>
  <si>
    <t>Camera76</t>
  </si>
  <si>
    <t>ET Joao Viana Seiler</t>
  </si>
  <si>
    <t>-25.454429</t>
  </si>
  <si>
    <t>-49.260433</t>
  </si>
  <si>
    <t>Camera77</t>
  </si>
  <si>
    <t>PANE</t>
  </si>
  <si>
    <t>Camera78</t>
  </si>
  <si>
    <t>Camera79</t>
  </si>
  <si>
    <t>ET Ferrovila&gt; Boqueirao</t>
  </si>
  <si>
    <t>Camera80</t>
  </si>
  <si>
    <t>Camera81</t>
  </si>
  <si>
    <t>ET Pç Carlos gomes catraca</t>
  </si>
  <si>
    <t>-25.433733</t>
  </si>
  <si>
    <t>-49.270370</t>
  </si>
  <si>
    <t>Camera82</t>
  </si>
  <si>
    <t>-25.433675</t>
  </si>
  <si>
    <t>-49.270208</t>
  </si>
  <si>
    <t>Camera83</t>
  </si>
  <si>
    <t>-25.433686</t>
  </si>
  <si>
    <t>-49.270257</t>
  </si>
  <si>
    <t>Camera84</t>
  </si>
  <si>
    <t>ET Pç Carlos gomes pinheirinho</t>
  </si>
  <si>
    <t>-25.433945</t>
  </si>
  <si>
    <t>-49.269181</t>
  </si>
  <si>
    <t>Camera85</t>
  </si>
  <si>
    <t>-25.434041</t>
  </si>
  <si>
    <t>-49.269159</t>
  </si>
  <si>
    <t>Camera86</t>
  </si>
  <si>
    <t>-25.434096</t>
  </si>
  <si>
    <t>-49.269135</t>
  </si>
  <si>
    <t>Camera87</t>
  </si>
  <si>
    <t>ET Pç Rui barbosa&gt; Pinhais</t>
  </si>
  <si>
    <t>-25.436537</t>
  </si>
  <si>
    <t>-49.273971</t>
  </si>
  <si>
    <t>Camera88</t>
  </si>
  <si>
    <t>ET Pç Carlos gomes&gt;boqueirao</t>
  </si>
  <si>
    <t>-25.433762</t>
  </si>
  <si>
    <t>-49.270323</t>
  </si>
  <si>
    <t>Camera90</t>
  </si>
  <si>
    <t>-25.433706</t>
  </si>
  <si>
    <t>-49.270329</t>
  </si>
  <si>
    <t>Camera91</t>
  </si>
  <si>
    <t>-25.433923</t>
  </si>
  <si>
    <t>-49.269216</t>
  </si>
  <si>
    <t>Camera92</t>
  </si>
  <si>
    <t>ET Pç Carlos gomes&gt;boqueirao des.</t>
  </si>
  <si>
    <t>-25.433638</t>
  </si>
  <si>
    <t>-49.269993</t>
  </si>
  <si>
    <t>Camera93</t>
  </si>
  <si>
    <t>ET Pç Rui barbosa&gt; Pinhais des.</t>
  </si>
  <si>
    <t>Camera94</t>
  </si>
  <si>
    <t>-25.436472</t>
  </si>
  <si>
    <t>-49.274228</t>
  </si>
  <si>
    <t>Camera95</t>
  </si>
  <si>
    <t>-25.436527</t>
  </si>
  <si>
    <t>-49.273987</t>
  </si>
  <si>
    <t>Camera97</t>
  </si>
  <si>
    <t>-25.433711</t>
  </si>
  <si>
    <t>-49.270276</t>
  </si>
  <si>
    <t>Camera98</t>
  </si>
  <si>
    <t>ET Pç Rui barbosa&gt; Pinhais catraca</t>
  </si>
  <si>
    <t>-25.436556</t>
  </si>
  <si>
    <t>-49.273980</t>
  </si>
  <si>
    <t>EX011CFTV01</t>
  </si>
  <si>
    <t>ET Roberto Hauer&gt;centro</t>
  </si>
  <si>
    <t>-25.472308</t>
  </si>
  <si>
    <t>-49.251699</t>
  </si>
  <si>
    <t>EX012CFTV01</t>
  </si>
  <si>
    <t>ET Roberto Hauer&gt;boqueirao</t>
  </si>
  <si>
    <t>-25.473377</t>
  </si>
  <si>
    <t>-49.251337</t>
  </si>
  <si>
    <t>EX013CFTV01</t>
  </si>
  <si>
    <t>ET Padua Fleury&gt; centro</t>
  </si>
  <si>
    <t>-25.475903</t>
  </si>
  <si>
    <t>-49.249982</t>
  </si>
  <si>
    <t>EX014CFTV01</t>
  </si>
  <si>
    <t>ET Padua Fleury&gt; boqueirao</t>
  </si>
  <si>
    <t>-25.476947</t>
  </si>
  <si>
    <t>-49.249584</t>
  </si>
  <si>
    <t>EX021CFTV01</t>
  </si>
  <si>
    <t>ET Antonio de Paula&gt;Centro</t>
  </si>
  <si>
    <t>-25.511496</t>
  </si>
  <si>
    <t>-49.232597</t>
  </si>
  <si>
    <t>EX022CFTV01</t>
  </si>
  <si>
    <t>PANE  ET Antonio de Paula&gt;boqueirao</t>
  </si>
  <si>
    <t>-25.512758</t>
  </si>
  <si>
    <t>-49.232113</t>
  </si>
  <si>
    <t>EX029CFTV01</t>
  </si>
  <si>
    <t>ET Brgadeiro franco&gt; Centenario</t>
  </si>
  <si>
    <t>-25.429460</t>
  </si>
  <si>
    <t>-49.284519</t>
  </si>
  <si>
    <t>EX030CFTV01</t>
  </si>
  <si>
    <t>ET Brgadeiro franco&gt; Campo Cumprido</t>
  </si>
  <si>
    <t>-25.429496</t>
  </si>
  <si>
    <t>-49.283815</t>
  </si>
  <si>
    <t>EX042CFTV01</t>
  </si>
  <si>
    <t>ET Antonio cavalheiro&gt; Santa Cândida</t>
  </si>
  <si>
    <t>-25.403263</t>
  </si>
  <si>
    <t>-49.249501</t>
  </si>
  <si>
    <t>EX043CFTV01</t>
  </si>
  <si>
    <t>ET Antonio cavalheiro&gt; Capão Raso</t>
  </si>
  <si>
    <t>-25.403242</t>
  </si>
  <si>
    <t>-49.249556</t>
  </si>
  <si>
    <t>EX046CFTV01</t>
  </si>
  <si>
    <t>ET Moises Marcondes&gt; Capão Raso</t>
  </si>
  <si>
    <t>-25.413060</t>
  </si>
  <si>
    <t>-49.258722</t>
  </si>
  <si>
    <t>EX047CFTV01</t>
  </si>
  <si>
    <t>ET Moises Marcondes&gt; Santa Cândida</t>
  </si>
  <si>
    <t>-25.413119</t>
  </si>
  <si>
    <t>-49.258624</t>
  </si>
  <si>
    <t>EX059CFTV01</t>
  </si>
  <si>
    <t>ET Silva Jardim &gt; Capão Raso</t>
  </si>
  <si>
    <t>-25.448342</t>
  </si>
  <si>
    <t>-49.287879</t>
  </si>
  <si>
    <t>EX060CFTV01</t>
  </si>
  <si>
    <t>ET Petit Carneiro &gt; Capão Raso</t>
  </si>
  <si>
    <t>-25.452315</t>
  </si>
  <si>
    <t>-49.287933</t>
  </si>
  <si>
    <t>EX060CFTV02</t>
  </si>
  <si>
    <t>PANE ET Petit Carneiro &gt; Santa Cândida</t>
  </si>
  <si>
    <t>-25.452322</t>
  </si>
  <si>
    <t>-49.287837</t>
  </si>
  <si>
    <t>EX061CFTV01</t>
  </si>
  <si>
    <t>ET Dom Pedro I &gt; Capão Raso</t>
  </si>
  <si>
    <t>-25.456917</t>
  </si>
  <si>
    <t>-49.288603</t>
  </si>
  <si>
    <t>EX061CFTV02</t>
  </si>
  <si>
    <t>ET Dom Pedro I &gt; Santa Cândida</t>
  </si>
  <si>
    <t>-25.456938</t>
  </si>
  <si>
    <t>-49.288502</t>
  </si>
  <si>
    <t>EX062CFTV01</t>
  </si>
  <si>
    <t>ET Sebastião Paraná &gt; Capão Raso</t>
  </si>
  <si>
    <t>-25.461186</t>
  </si>
  <si>
    <t>-49.289878</t>
  </si>
  <si>
    <t>EX062CFTV02</t>
  </si>
  <si>
    <t>ET Sebastião Paraná &gt; Santa Cândida</t>
  </si>
  <si>
    <t>-25.461216</t>
  </si>
  <si>
    <t>-49.289781</t>
  </si>
  <si>
    <t>EX063CFTV01</t>
  </si>
  <si>
    <t>PANE ET Vital Brasil &gt; C. Raso</t>
  </si>
  <si>
    <t>-25.464654</t>
  </si>
  <si>
    <t>-49.291319</t>
  </si>
  <si>
    <t>EX063CFTV02</t>
  </si>
  <si>
    <t>ET Vital Brasil &gt; Santa Cândida</t>
  </si>
  <si>
    <t>-25.464669</t>
  </si>
  <si>
    <t>-49.291211</t>
  </si>
  <si>
    <t>EX064CFTV01</t>
  </si>
  <si>
    <t>ET Morretes &gt; C. Raso</t>
  </si>
  <si>
    <t>-25.467645</t>
  </si>
  <si>
    <t>-49.293225</t>
  </si>
  <si>
    <t>EX064CFTV02</t>
  </si>
  <si>
    <t>ET Morretes &gt; Santa Cândida</t>
  </si>
  <si>
    <t>-25.467679</t>
  </si>
  <si>
    <t>-49.293112</t>
  </si>
  <si>
    <t>EX066CFTV01</t>
  </si>
  <si>
    <t>ET Itajuba &gt; C. Raso</t>
  </si>
  <si>
    <t>-25.481094</t>
  </si>
  <si>
    <t>-49.292610</t>
  </si>
  <si>
    <t>EX066CFTV02</t>
  </si>
  <si>
    <t>ET Itajuba &gt; Santa Cândida</t>
  </si>
  <si>
    <t>-25.481106</t>
  </si>
  <si>
    <t>-49.292504</t>
  </si>
  <si>
    <t>EX067CFTV01</t>
  </si>
  <si>
    <t>ET Hospital trabalhador &gt; C. Raso</t>
  </si>
  <si>
    <t>-25.484426</t>
  </si>
  <si>
    <t>-49.293781</t>
  </si>
  <si>
    <t>EX067CFTV02</t>
  </si>
  <si>
    <t>ET Hospital trabalhador &gt; Santa Cândida</t>
  </si>
  <si>
    <t>-25.484440</t>
  </si>
  <si>
    <t>-49.293685</t>
  </si>
  <si>
    <t>EX068CFTV01</t>
  </si>
  <si>
    <t>ET Herculano de Araujo &gt; C. Raso</t>
  </si>
  <si>
    <t>-25.487798</t>
  </si>
  <si>
    <t>-49.294333</t>
  </si>
  <si>
    <t>EX068CFTV02</t>
  </si>
  <si>
    <t>ET Herculano de Araujo &gt;Santa Cândida</t>
  </si>
  <si>
    <t>-25.487793</t>
  </si>
  <si>
    <t>-49.294227</t>
  </si>
  <si>
    <t>EX069CFTV01</t>
  </si>
  <si>
    <t>ET Pedro Gusso &gt; Pinheirinho</t>
  </si>
  <si>
    <t>-25.495567</t>
  </si>
  <si>
    <t>-49.294568</t>
  </si>
  <si>
    <t>EX069CFTV02</t>
  </si>
  <si>
    <t>ET Pedro Gusso &gt; Centro</t>
  </si>
  <si>
    <t>-25.495522</t>
  </si>
  <si>
    <t>-49.294432</t>
  </si>
  <si>
    <t>EX070CFTV01</t>
  </si>
  <si>
    <t>PANE ET José C. Bettega&gt; Pinheirinho</t>
  </si>
  <si>
    <t>-25.499492</t>
  </si>
  <si>
    <t>-49.296073</t>
  </si>
  <si>
    <t>EX070CFTV02</t>
  </si>
  <si>
    <t>PANE ET José C. Bettega&gt; Centro</t>
  </si>
  <si>
    <t>-25.499483</t>
  </si>
  <si>
    <t>-49.295962</t>
  </si>
  <si>
    <t>EX071CFTV01</t>
  </si>
  <si>
    <t>ET Santa Regina &gt; Pinheirinho</t>
  </si>
  <si>
    <t>-25.503476</t>
  </si>
  <si>
    <t>-49.296027</t>
  </si>
  <si>
    <t>EX071CFTV02</t>
  </si>
  <si>
    <t>ET Santa Regina &gt; Centro</t>
  </si>
  <si>
    <t>-25.503461</t>
  </si>
  <si>
    <t>-49.295922</t>
  </si>
  <si>
    <t>EX072CFTV01</t>
  </si>
  <si>
    <t>ET Ouro Verde &gt; Pinheirinho</t>
  </si>
  <si>
    <t>-25.507652</t>
  </si>
  <si>
    <t>-49.295917</t>
  </si>
  <si>
    <t>EX072CFTV02</t>
  </si>
  <si>
    <t>ET Ouro Verde &gt; Centro</t>
  </si>
  <si>
    <t>-25.507644</t>
  </si>
  <si>
    <t>-49.295811</t>
  </si>
  <si>
    <t>EX084ACFTV01</t>
  </si>
  <si>
    <t>PANE ET Parque Iguaçu &gt; Boqueirão</t>
  </si>
  <si>
    <t>-25.521016</t>
  </si>
  <si>
    <t>-49.227954</t>
  </si>
  <si>
    <t>EX084CFTV01</t>
  </si>
  <si>
    <t>ET Parque Iguaçu &gt; Sitio Cercado</t>
  </si>
  <si>
    <t>-25.521065</t>
  </si>
  <si>
    <t>-49.228059</t>
  </si>
  <si>
    <t>EX090CFTV01</t>
  </si>
  <si>
    <t>ET Wiston Churchill &gt; Pinheirinho</t>
  </si>
  <si>
    <t>-25.520712</t>
  </si>
  <si>
    <t>-49.295455</t>
  </si>
  <si>
    <t>EX090CFTV02</t>
  </si>
  <si>
    <t>ET Wiston Churchill &gt; Sitio Cercado</t>
  </si>
  <si>
    <t>-25.520713</t>
  </si>
  <si>
    <t>-49.295568</t>
  </si>
  <si>
    <t>EX096CFTV01</t>
  </si>
  <si>
    <t>PANE ET Paulo Kissula &gt; Rui Barbosa</t>
  </si>
  <si>
    <t>-25.443693</t>
  </si>
  <si>
    <t>-49.209120</t>
  </si>
  <si>
    <t>EX096CFTV02</t>
  </si>
  <si>
    <t>PANE ET Paulo Kissula &gt; Pinhais</t>
  </si>
  <si>
    <t>-25.443789</t>
  </si>
  <si>
    <t>-49.209101</t>
  </si>
  <si>
    <t>EX097CFTV01</t>
  </si>
  <si>
    <t>PANE ET Manoel vigilio de souza &gt; Rui Barbosa</t>
  </si>
  <si>
    <t>-25.443079</t>
  </si>
  <si>
    <t>-49.214287</t>
  </si>
  <si>
    <t>EX097CFTV02</t>
  </si>
  <si>
    <t>ET Manoel vigilio de souza &gt; Pinhais</t>
  </si>
  <si>
    <t>-25.443172</t>
  </si>
  <si>
    <t>-49.214297</t>
  </si>
  <si>
    <t>EX101CFTV01</t>
  </si>
  <si>
    <t>PANE ET Antonio M.Sobrinho &gt; Centenario</t>
  </si>
  <si>
    <t>-25.447033</t>
  </si>
  <si>
    <t>-49.216939</t>
  </si>
  <si>
    <t>EX101CFTV02</t>
  </si>
  <si>
    <t>PANE ET Antonio M.Sobrinho &gt; Campo Cumprido</t>
  </si>
  <si>
    <t>-25.446948</t>
  </si>
  <si>
    <t>-49.216862</t>
  </si>
  <si>
    <t>EX102CFTV01</t>
  </si>
  <si>
    <t>PANE ET Germania &gt; Centenario</t>
  </si>
  <si>
    <t>-25.442221</t>
  </si>
  <si>
    <t>-49.217737</t>
  </si>
  <si>
    <t>EX102CFTV02</t>
  </si>
  <si>
    <t>PANE ET Germania &gt; Campo Cumprido</t>
  </si>
  <si>
    <t>-25.442125</t>
  </si>
  <si>
    <t>-49.217693</t>
  </si>
  <si>
    <t>EX103CFTV01</t>
  </si>
  <si>
    <t>ET Aguiar Teixeira &gt; Campo Cumprido</t>
  </si>
  <si>
    <t>-25.438810</t>
  </si>
  <si>
    <t>-49.226355</t>
  </si>
  <si>
    <t>EX103CFTV02</t>
  </si>
  <si>
    <t>ET Aguiar Teixeira &gt; Centenario</t>
  </si>
  <si>
    <t>-25.438878</t>
  </si>
  <si>
    <t>-49.226236</t>
  </si>
  <si>
    <t>EX104ACFTV01</t>
  </si>
  <si>
    <t>ET Del Amazor Prestes &gt; Centenario</t>
  </si>
  <si>
    <t>-25.441800</t>
  </si>
  <si>
    <t>-49.230746</t>
  </si>
  <si>
    <t>EX104CFTV01</t>
  </si>
  <si>
    <t>ET Del Amazor Prestes &gt; Campo Cumprido</t>
  </si>
  <si>
    <t>-25.441708</t>
  </si>
  <si>
    <t>-49.230760</t>
  </si>
  <si>
    <t>EX105ACFTV01</t>
  </si>
  <si>
    <t>ET Urbano Lopes &gt; Centenario</t>
  </si>
  <si>
    <t>-25.440796</t>
  </si>
  <si>
    <t>-49.236693</t>
  </si>
  <si>
    <t>EX105CFTV01</t>
  </si>
  <si>
    <t>ET Urbano Lopes &gt; Campo Cumprido</t>
  </si>
  <si>
    <t>-25.440740</t>
  </si>
  <si>
    <t>-49.236598</t>
  </si>
  <si>
    <t>EX106CFTV01</t>
  </si>
  <si>
    <t>ET Jardim Botânico &gt; Campo Cumprido</t>
  </si>
  <si>
    <t>-25.438109</t>
  </si>
  <si>
    <t>-49.238648</t>
  </si>
  <si>
    <t>EX106CFTV02</t>
  </si>
  <si>
    <t>ET Jardim Botânico &gt; Centenario</t>
  </si>
  <si>
    <t>-25.438176</t>
  </si>
  <si>
    <t>-49.238731</t>
  </si>
  <si>
    <t>EX107ACFTV01</t>
  </si>
  <si>
    <t>ET Hospital Cajuru &gt; Campo Cumprido</t>
  </si>
  <si>
    <t>-25.437030</t>
  </si>
  <si>
    <t>-49.243692</t>
  </si>
  <si>
    <t>EX107CFTV01</t>
  </si>
  <si>
    <t>ET Hospital Cajuru &gt; Centenario</t>
  </si>
  <si>
    <t>-25.437117</t>
  </si>
  <si>
    <t>-49.243699</t>
  </si>
  <si>
    <t>EX108ACFTV01</t>
  </si>
  <si>
    <t>ET Viaduto Capanema&gt; Campo Cumprido</t>
  </si>
  <si>
    <t>-25.435552</t>
  </si>
  <si>
    <t>-49.250571</t>
  </si>
  <si>
    <t>EX108CFTV01</t>
  </si>
  <si>
    <t>ET Viaduto Capanema&gt; Centenario</t>
  </si>
  <si>
    <t>-25.435643</t>
  </si>
  <si>
    <t>-49.250578</t>
  </si>
  <si>
    <t>EX110CFTV01</t>
  </si>
  <si>
    <t>PANE ET Praça Osorio &gt; Campo Cumprido</t>
  </si>
  <si>
    <t>-25.433765</t>
  </si>
  <si>
    <t>-49.277058</t>
  </si>
  <si>
    <t>EX110CFTV02</t>
  </si>
  <si>
    <t>PANE ET Praça Osorio &gt; Centenario</t>
  </si>
  <si>
    <t>-25.433824</t>
  </si>
  <si>
    <t>-49.277125</t>
  </si>
  <si>
    <t>EX111CFTV01</t>
  </si>
  <si>
    <t>ET Visconde de Nacar &gt; Centenario</t>
  </si>
  <si>
    <t>-25.431371</t>
  </si>
  <si>
    <t>-49.278849</t>
  </si>
  <si>
    <t>EX112CFTV01</t>
  </si>
  <si>
    <t>PANE ET Visconde de Nacar &gt; Campo Cumprido</t>
  </si>
  <si>
    <t>-25.431276</t>
  </si>
  <si>
    <t>-49.278810</t>
  </si>
  <si>
    <t>EX113CFTV01</t>
  </si>
  <si>
    <t>ET Pres. Taunay &gt; C. Cumprido</t>
  </si>
  <si>
    <t>-25.428747</t>
  </si>
  <si>
    <t>-49.287934</t>
  </si>
  <si>
    <t>EX113CFTV02</t>
  </si>
  <si>
    <t>ET Pres. Taunay &gt; Centenario</t>
  </si>
  <si>
    <t>-25.428842</t>
  </si>
  <si>
    <t>-49.287969</t>
  </si>
  <si>
    <t>EX114CFTV01</t>
  </si>
  <si>
    <t>PANE ET Praça da Ucrânia &gt; Campo Cumprido</t>
  </si>
  <si>
    <t>-25.430332</t>
  </si>
  <si>
    <t>-49.292652</t>
  </si>
  <si>
    <t>EX114CFTV02</t>
  </si>
  <si>
    <t>ET Praça da Ucrânia&gt; Centenario</t>
  </si>
  <si>
    <t>-25.430416</t>
  </si>
  <si>
    <t>-49.292591</t>
  </si>
  <si>
    <t>EX115CFTV01</t>
  </si>
  <si>
    <t>PANE ET Bruno Figueira&gt; Campo Cumprido</t>
  </si>
  <si>
    <t>-25.431870</t>
  </si>
  <si>
    <t>-49.296547</t>
  </si>
  <si>
    <t>EX115CFTV02</t>
  </si>
  <si>
    <t>PANE ET Bruno Figueira&gt; Centenario</t>
  </si>
  <si>
    <t>-25.431967</t>
  </si>
  <si>
    <t>-49.296494</t>
  </si>
  <si>
    <t>EX116CFTV01</t>
  </si>
  <si>
    <t>ET Bigorrilho &gt; Campo Cumprido</t>
  </si>
  <si>
    <t>-25.433238</t>
  </si>
  <si>
    <t>-49.299968</t>
  </si>
  <si>
    <t>EX116CFTV02</t>
  </si>
  <si>
    <t>ET Bigorrilho &gt; Centenario</t>
  </si>
  <si>
    <t>-25.433325</t>
  </si>
  <si>
    <t>-49.299921</t>
  </si>
  <si>
    <t>EX117CFTV01</t>
  </si>
  <si>
    <t>ET Gastão Câmara &gt; C. Cumprido</t>
  </si>
  <si>
    <t>-25.434959</t>
  </si>
  <si>
    <t>-49.304371</t>
  </si>
  <si>
    <t>EX117CFTV02</t>
  </si>
  <si>
    <t>ET Gastão Câmara &gt; Centenario</t>
  </si>
  <si>
    <t>-25.435046</t>
  </si>
  <si>
    <t>-49.304302</t>
  </si>
  <si>
    <t>EX125CFTV01</t>
  </si>
  <si>
    <t>ET Vila São Pedro &gt; Centro</t>
  </si>
  <si>
    <t>-25.506868</t>
  </si>
  <si>
    <t>-49.284316</t>
  </si>
  <si>
    <t>EX125CFTV02</t>
  </si>
  <si>
    <t>-25.506769</t>
  </si>
  <si>
    <t>-49.284221</t>
  </si>
  <si>
    <t>EX125CFTV03</t>
  </si>
  <si>
    <t>-25.506823</t>
  </si>
  <si>
    <t>-49.284310</t>
  </si>
  <si>
    <t>EX125CFTV04</t>
  </si>
  <si>
    <t>-25.506702</t>
  </si>
  <si>
    <t>-49.284211</t>
  </si>
  <si>
    <t>EX126CFTV01</t>
  </si>
  <si>
    <t>ET Vila São Pedro &gt; Pinheirinho</t>
  </si>
  <si>
    <t>-25.506744</t>
  </si>
  <si>
    <t>-49.284467</t>
  </si>
  <si>
    <t>EX126CFTV02</t>
  </si>
  <si>
    <t>-25.506631</t>
  </si>
  <si>
    <t>-49.284380</t>
  </si>
  <si>
    <t>EX126CFTV03</t>
  </si>
  <si>
    <t>-25.506745</t>
  </si>
  <si>
    <t>-49.284515</t>
  </si>
  <si>
    <t>EX126CFTV04</t>
  </si>
  <si>
    <t>-25.506628</t>
  </si>
  <si>
    <t>-49.284419</t>
  </si>
  <si>
    <t>EX127CFTV01</t>
  </si>
  <si>
    <t>ET Xaxim &gt; Centro</t>
  </si>
  <si>
    <t>-25.496770</t>
  </si>
  <si>
    <t>-49.276235</t>
  </si>
  <si>
    <t>EX127CFTV02</t>
  </si>
  <si>
    <t>-25.496667</t>
  </si>
  <si>
    <t>-49.276114</t>
  </si>
  <si>
    <t>EX127CFTV03</t>
  </si>
  <si>
    <t>-49.276160</t>
  </si>
  <si>
    <t>EX127CFTV04</t>
  </si>
  <si>
    <t>PANE ET Xaxim &gt; Centro</t>
  </si>
  <si>
    <t>-49.276161</t>
  </si>
  <si>
    <t>EX128CFTV01</t>
  </si>
  <si>
    <t>ET Xaxim &gt; Pinheirinho</t>
  </si>
  <si>
    <t>-25.496561</t>
  </si>
  <si>
    <t>-49.276298</t>
  </si>
  <si>
    <t>EX128CFTV02</t>
  </si>
  <si>
    <t>-25.496644</t>
  </si>
  <si>
    <t>-49.276367</t>
  </si>
  <si>
    <t>EX128CFTV03</t>
  </si>
  <si>
    <t>-25.496605</t>
  </si>
  <si>
    <t>-49.276376</t>
  </si>
  <si>
    <t>EX128CFTV04</t>
  </si>
  <si>
    <t>-25.496525</t>
  </si>
  <si>
    <t>-49.276306</t>
  </si>
  <si>
    <t>EX129CFTV01</t>
  </si>
  <si>
    <t>ET Santa Bernadete &gt; Centro</t>
  </si>
  <si>
    <t>-25.485275</t>
  </si>
  <si>
    <t>-49.266865</t>
  </si>
  <si>
    <t>EX129CFTV02</t>
  </si>
  <si>
    <t>-25.485184</t>
  </si>
  <si>
    <t>-49.266794</t>
  </si>
  <si>
    <t>EX129CFTV03</t>
  </si>
  <si>
    <t>-25.485202</t>
  </si>
  <si>
    <t>-49.266760</t>
  </si>
  <si>
    <t>EX129CFTV04</t>
  </si>
  <si>
    <t>-25.485311</t>
  </si>
  <si>
    <t>-49.266847</t>
  </si>
  <si>
    <t>EX130CFTV01</t>
  </si>
  <si>
    <t>ET Santa Bernadete &gt; Pinheirinho</t>
  </si>
  <si>
    <t>-25.485170</t>
  </si>
  <si>
    <t>-49.267050</t>
  </si>
  <si>
    <t>EX130CFTV02</t>
  </si>
  <si>
    <t>-25.485078</t>
  </si>
  <si>
    <t>-49.266960</t>
  </si>
  <si>
    <t>EX130CFTV03</t>
  </si>
  <si>
    <t>-25.485127</t>
  </si>
  <si>
    <t>-49.266967</t>
  </si>
  <si>
    <t>EX130CFTV04</t>
  </si>
  <si>
    <t>-25.485177</t>
  </si>
  <si>
    <t>-49.267013</t>
  </si>
  <si>
    <t>EX131CFTV01</t>
  </si>
  <si>
    <t>ET Vila Fanny &gt; Centro</t>
  </si>
  <si>
    <t>-25.475008</t>
  </si>
  <si>
    <t>-49.258563</t>
  </si>
  <si>
    <t>EX131CFTV02</t>
  </si>
  <si>
    <t>-25.474905</t>
  </si>
  <si>
    <t>-49.258493</t>
  </si>
  <si>
    <t>EX131CFTV03</t>
  </si>
  <si>
    <t>-25.474921</t>
  </si>
  <si>
    <t>-49.258483</t>
  </si>
  <si>
    <t>EX131CFTV04</t>
  </si>
  <si>
    <t>-25.474987</t>
  </si>
  <si>
    <t>-49.258570</t>
  </si>
  <si>
    <t>EX132CFTV01</t>
  </si>
  <si>
    <t>ET Vila Fanny &gt; Pinheirinho</t>
  </si>
  <si>
    <t>-25.474777</t>
  </si>
  <si>
    <t>-49.258640</t>
  </si>
  <si>
    <t>EX132CFTV02</t>
  </si>
  <si>
    <t>-25.474871</t>
  </si>
  <si>
    <t>LD050CFTV01</t>
  </si>
  <si>
    <t>ET Nestor de Castro &gt; Santa Fdelicidade</t>
  </si>
  <si>
    <t>-25.428383</t>
  </si>
  <si>
    <t>-49.272369</t>
  </si>
  <si>
    <t>LD050CFTV02</t>
  </si>
  <si>
    <t>ET Nestor de Castro &gt; Campo Cumprido</t>
  </si>
  <si>
    <t>-25.428294</t>
  </si>
  <si>
    <t>-49.272073</t>
  </si>
  <si>
    <t>LD050CFTV03</t>
  </si>
  <si>
    <t>ET Nestor de Castro &gt; CIC</t>
  </si>
  <si>
    <t>-25.428533</t>
  </si>
  <si>
    <t>-49.272834</t>
  </si>
  <si>
    <t>LD052CFTV01</t>
  </si>
  <si>
    <t>ET Guadalupe &gt; Boqueirão</t>
  </si>
  <si>
    <t>-25.433080</t>
  </si>
  <si>
    <t>-49.265152</t>
  </si>
  <si>
    <t>LD052CFTV02</t>
  </si>
  <si>
    <t>ET Guadalupe &gt; Sitio Cercado</t>
  </si>
  <si>
    <t>-25.432296</t>
  </si>
  <si>
    <t>-49.265544</t>
  </si>
  <si>
    <t>TE001CFTV01</t>
  </si>
  <si>
    <t>Terminal Bairro alto</t>
  </si>
  <si>
    <t>-25.413030</t>
  </si>
  <si>
    <t>-49.205610</t>
  </si>
  <si>
    <t>TE001CFTV02</t>
  </si>
  <si>
    <t>Terminal Bairro alto &gt; Santa Cândida</t>
  </si>
  <si>
    <t>-25.412822</t>
  </si>
  <si>
    <t>-49.205057</t>
  </si>
  <si>
    <t>TE001CFTV03</t>
  </si>
  <si>
    <t>Terminal Bairro alto &gt; Vila Oficinas</t>
  </si>
  <si>
    <t>-25.413047</t>
  </si>
  <si>
    <t>-49.205458</t>
  </si>
  <si>
    <t>TE001CFTV06</t>
  </si>
  <si>
    <t>Terminal Bairro alto &gt; Entrada</t>
  </si>
  <si>
    <t>-25.413104</t>
  </si>
  <si>
    <t>-49.205738</t>
  </si>
  <si>
    <t>TE001CFTV07</t>
  </si>
  <si>
    <t>Terminal Bairro alto &gt; Entrada 2</t>
  </si>
  <si>
    <t>-25.412834</t>
  </si>
  <si>
    <t>-49.204977</t>
  </si>
  <si>
    <t>TE001CFTV08</t>
  </si>
  <si>
    <t>Terminal Bairro alto &gt; Boa Vista</t>
  </si>
  <si>
    <t>-25.412893</t>
  </si>
  <si>
    <t>-49.205068</t>
  </si>
  <si>
    <t>TE002CFTV07</t>
  </si>
  <si>
    <t>Terminal Barreirinha &gt; Entrada</t>
  </si>
  <si>
    <t>-25.377757</t>
  </si>
  <si>
    <t>-49.262433</t>
  </si>
  <si>
    <t>TE002CFTV08</t>
  </si>
  <si>
    <t>Terminal Barreirinha &gt; Entrada 2</t>
  </si>
  <si>
    <t>-25.377175</t>
  </si>
  <si>
    <t>-49.262462</t>
  </si>
  <si>
    <t>TE005CFTV14</t>
  </si>
  <si>
    <t>Terminal Cabral&gt; Entrada</t>
  </si>
  <si>
    <t>-25.406793</t>
  </si>
  <si>
    <t>-49.253177</t>
  </si>
  <si>
    <t>TE005CFTV15</t>
  </si>
  <si>
    <t>Terminal Cabral&gt; Plataforma expresso 2</t>
  </si>
  <si>
    <t>-25.406560</t>
  </si>
  <si>
    <t>-49.252330</t>
  </si>
  <si>
    <t>TE005CFTV16</t>
  </si>
  <si>
    <t>Terminal Cabral&gt; Plataforma expresso&gt; bairro</t>
  </si>
  <si>
    <t>-25.406543</t>
  </si>
  <si>
    <t>-49.252634</t>
  </si>
  <si>
    <t>TE005CFTV17</t>
  </si>
  <si>
    <t>Terminal Cabral&gt; Entrada 2</t>
  </si>
  <si>
    <t>-25.406271</t>
  </si>
  <si>
    <t>-49.252355</t>
  </si>
  <si>
    <t>TE005CFTV18</t>
  </si>
  <si>
    <t>Terminal Cabral&gt; Entrada 3</t>
  </si>
  <si>
    <t>-25.407155</t>
  </si>
  <si>
    <t>-49.252836</t>
  </si>
  <si>
    <t>TE006CFTV05</t>
  </si>
  <si>
    <t>Terminal Cauia &gt; Entrada 1</t>
  </si>
  <si>
    <t>-25.483933</t>
  </si>
  <si>
    <t>-49.350076</t>
  </si>
  <si>
    <t>TE006CFTV06</t>
  </si>
  <si>
    <t>Terminal Cauia &gt; V.Marisa</t>
  </si>
  <si>
    <t>-25.483570</t>
  </si>
  <si>
    <t>-49.350229</t>
  </si>
  <si>
    <t>TE006CFTV07</t>
  </si>
  <si>
    <t>Terminal Cauia &gt; Mario Jorge</t>
  </si>
  <si>
    <t>-25.483772</t>
  </si>
  <si>
    <t>-49.350300</t>
  </si>
  <si>
    <t>TE012CFTV08</t>
  </si>
  <si>
    <t>Terminal Centenario &gt; Entrada</t>
  </si>
  <si>
    <t>-25.468985</t>
  </si>
  <si>
    <t>-49.208469</t>
  </si>
  <si>
    <t>TE006CFTV09</t>
  </si>
  <si>
    <t>Terminal Centenario &gt; Expresso &gt; Centro</t>
  </si>
  <si>
    <t>-25.468945</t>
  </si>
  <si>
    <t>-49.208118</t>
  </si>
  <si>
    <t>TE016CFTV05</t>
  </si>
  <si>
    <t>Terminal Oficinas&gt; Entrada</t>
  </si>
  <si>
    <t>-25.452168</t>
  </si>
  <si>
    <t>-49.214676</t>
  </si>
  <si>
    <t>TE016CFTV06</t>
  </si>
  <si>
    <t>Terminal Oficinas&gt; Entrada 2</t>
  </si>
  <si>
    <t>-25.451106</t>
  </si>
  <si>
    <t>-49.215306</t>
  </si>
  <si>
    <t>TE016CFTV07</t>
  </si>
  <si>
    <t>Terminal Oficinas&gt; Interbairros V</t>
  </si>
  <si>
    <t>-25.451188</t>
  </si>
  <si>
    <t>-49.215059</t>
  </si>
  <si>
    <t>TE020CFTV06</t>
  </si>
  <si>
    <t>Terminal Santa Felicidade &gt; Entrada</t>
  </si>
  <si>
    <t>-25.400510</t>
  </si>
  <si>
    <t>-49.330854</t>
  </si>
  <si>
    <t>TE020CFTV07</t>
  </si>
  <si>
    <t>Terminal Santa Felicidade &gt; Jd. Italia</t>
  </si>
  <si>
    <t>-25.401014</t>
  </si>
  <si>
    <t>-49.330220</t>
  </si>
  <si>
    <t>URBS 3</t>
  </si>
  <si>
    <t>https://monitoramento.pm.pr.gov.br/proxy_image_3/</t>
  </si>
  <si>
    <t>Camera101</t>
  </si>
  <si>
    <t>Praça Rui Barbosa Frente Tubo Pinheirinho</t>
  </si>
  <si>
    <t>-25.436096</t>
  </si>
  <si>
    <t>-49.274365</t>
  </si>
  <si>
    <t>Camera102</t>
  </si>
  <si>
    <t>Praça Rui Barbosa Frente Colégio São José</t>
  </si>
  <si>
    <t>-25.435968</t>
  </si>
  <si>
    <t>-49.274647</t>
  </si>
  <si>
    <t>Camera103</t>
  </si>
  <si>
    <t>Praça Rui Barbosa Central 1</t>
  </si>
  <si>
    <t>-25.435708</t>
  </si>
  <si>
    <t>-49.273419</t>
  </si>
  <si>
    <t>Camera104</t>
  </si>
  <si>
    <t>Praça Rui Barbosa Central 2</t>
  </si>
  <si>
    <t>-25.435732</t>
  </si>
  <si>
    <t>-49.273692</t>
  </si>
  <si>
    <t>Camera105</t>
  </si>
  <si>
    <t>Praça Rui Barbosa Central 3</t>
  </si>
  <si>
    <t>-25.435981</t>
  </si>
  <si>
    <t>-49.273250</t>
  </si>
  <si>
    <t>Camera106</t>
  </si>
  <si>
    <t>Praça Rui Barbosa Central 4</t>
  </si>
  <si>
    <t>-25.436034</t>
  </si>
  <si>
    <t>-49.273650</t>
  </si>
  <si>
    <t>Camera107</t>
  </si>
  <si>
    <t>Praça Rui Barbosa - Pedro Ivo 1</t>
  </si>
  <si>
    <t>-25.435311</t>
  </si>
  <si>
    <t>-49.273257</t>
  </si>
  <si>
    <t>Camera108</t>
  </si>
  <si>
    <t>Praça Rui Barbosa- Pedro Ivo 2</t>
  </si>
  <si>
    <t>-25.435143</t>
  </si>
  <si>
    <t>-49.272914</t>
  </si>
  <si>
    <t>Camera109</t>
  </si>
  <si>
    <t>Praça Rui Barbosa - Pedro Ivo 3</t>
  </si>
  <si>
    <t>-25.435182</t>
  </si>
  <si>
    <t>-49.273015</t>
  </si>
  <si>
    <t>Camera110</t>
  </si>
  <si>
    <t>Praça Rui Barbosa - Portao 1</t>
  </si>
  <si>
    <t>-25.435149</t>
  </si>
  <si>
    <t>-49.272849</t>
  </si>
  <si>
    <t>Camera111</t>
  </si>
  <si>
    <t>Praça Rui Barbosa - Portao 2</t>
  </si>
  <si>
    <t>-25.435652</t>
  </si>
  <si>
    <t>Camera112</t>
  </si>
  <si>
    <t>Praça Rui Barbosa - Portao 3</t>
  </si>
  <si>
    <t>-25.434875</t>
  </si>
  <si>
    <t>-49.272110</t>
  </si>
  <si>
    <t>Camera113</t>
  </si>
  <si>
    <t>Praça Rui Barbosa - Portao Matriz 1</t>
  </si>
  <si>
    <t>-25.436002</t>
  </si>
  <si>
    <t>-49.272679</t>
  </si>
  <si>
    <t>Camera114</t>
  </si>
  <si>
    <t>Praça Rui Barbosa - Portao Matriz 2</t>
  </si>
  <si>
    <t>-25.435860</t>
  </si>
  <si>
    <t>-49.272858</t>
  </si>
  <si>
    <t>Camera115</t>
  </si>
  <si>
    <t>Praça Rui Barbosa - Portao Matriz 3</t>
  </si>
  <si>
    <t>-25.435656</t>
  </si>
  <si>
    <t>-49.272883</t>
  </si>
  <si>
    <t>Camera116</t>
  </si>
  <si>
    <t>Praça Rui Barbosa - Portao Matriz 4</t>
  </si>
  <si>
    <t>-25.435442</t>
  </si>
  <si>
    <t>-49.272944</t>
  </si>
  <si>
    <t>Camera117</t>
  </si>
  <si>
    <t>Praça Rui Barbosa - Andre de Barros 1</t>
  </si>
  <si>
    <t>-25.436220</t>
  </si>
  <si>
    <t>-49.272407</t>
  </si>
  <si>
    <t>Camera118</t>
  </si>
  <si>
    <t>Praça Rui Barbosa - Andre de Barros 2</t>
  </si>
  <si>
    <t>-25.436181</t>
  </si>
  <si>
    <t>-49.272296</t>
  </si>
  <si>
    <t>Camera119</t>
  </si>
  <si>
    <t>Praça Rui Barbosa - Westephalen 1</t>
  </si>
  <si>
    <t>-25.435892</t>
  </si>
  <si>
    <t>-49.271614</t>
  </si>
  <si>
    <t>Camera120</t>
  </si>
  <si>
    <t>Praça Rui Barbosa - Westephalen 2</t>
  </si>
  <si>
    <t>-25.435803</t>
  </si>
  <si>
    <t>-49.271572</t>
  </si>
  <si>
    <t>Camera121</t>
  </si>
  <si>
    <t>Praça Rui Barbosa - Westephalen 3</t>
  </si>
  <si>
    <t>-25.435492</t>
  </si>
  <si>
    <t>-49.271748</t>
  </si>
  <si>
    <t>Camera122</t>
  </si>
  <si>
    <t>Praça Rui Barbosa - Westephalen 4</t>
  </si>
  <si>
    <t>-25.435140</t>
  </si>
  <si>
    <t>-49.271910</t>
  </si>
  <si>
    <t>Camera123</t>
  </si>
  <si>
    <t>ET Fernando de Noronha &gt; Centro</t>
  </si>
  <si>
    <t>-25.385155</t>
  </si>
  <si>
    <t>-49.232874</t>
  </si>
  <si>
    <t>Camera124</t>
  </si>
  <si>
    <t>ET Fernando de Noronha &gt; Bairro</t>
  </si>
  <si>
    <t>-25.384394</t>
  </si>
  <si>
    <t>-49.232040</t>
  </si>
  <si>
    <t>Camera125</t>
  </si>
  <si>
    <t>ET Antonio Lago &gt; Centro</t>
  </si>
  <si>
    <t>-25.388790</t>
  </si>
  <si>
    <t>-49.236244</t>
  </si>
  <si>
    <t>Camera126</t>
  </si>
  <si>
    <t>ET Antonio Lago &gt; Bairro</t>
  </si>
  <si>
    <t>-25.388841</t>
  </si>
  <si>
    <t>-49.236150</t>
  </si>
  <si>
    <t>Camera127</t>
  </si>
  <si>
    <t>ET Joaquim Nabuco &gt; Centro</t>
  </si>
  <si>
    <t>-25.380760</t>
  </si>
  <si>
    <t>-49.228853</t>
  </si>
  <si>
    <t>Camera128</t>
  </si>
  <si>
    <t>ET Joaquim Nabuco &gt; Bairro</t>
  </si>
  <si>
    <t>-25.380811</t>
  </si>
  <si>
    <t>-49.228758</t>
  </si>
  <si>
    <t>Camera129</t>
  </si>
  <si>
    <t>ET Maria Clara &gt; Centro</t>
  </si>
  <si>
    <t>-25.419390</t>
  </si>
  <si>
    <t>-49.264588</t>
  </si>
  <si>
    <t>Camera130</t>
  </si>
  <si>
    <t>ET Maria Clara &gt; Bairro</t>
  </si>
  <si>
    <t>-25.419450</t>
  </si>
  <si>
    <t>-49.264500</t>
  </si>
  <si>
    <t>Camera133</t>
  </si>
  <si>
    <t>ET Passeio Público &gt; Bairro 1</t>
  </si>
  <si>
    <t>-25.423990</t>
  </si>
  <si>
    <t>-49.268380</t>
  </si>
  <si>
    <t>Camera134</t>
  </si>
  <si>
    <t>PANE ET Passeio Público &gt; Bairro 2</t>
  </si>
  <si>
    <t>-25.423904</t>
  </si>
  <si>
    <t>-49.268276</t>
  </si>
  <si>
    <t>Camera135</t>
  </si>
  <si>
    <t>ET Passeio Público &gt; Centro 1</t>
  </si>
  <si>
    <t>-25.423841</t>
  </si>
  <si>
    <t>-49.268351</t>
  </si>
  <si>
    <t>Camera136</t>
  </si>
  <si>
    <t>ET Passeio Público &gt; Centro 2</t>
  </si>
  <si>
    <t>-25.423930</t>
  </si>
  <si>
    <t>-49.268470</t>
  </si>
  <si>
    <t>EX038CFTV01</t>
  </si>
  <si>
    <t>ET Gago Coutinho &gt; Centro</t>
  </si>
  <si>
    <t>-25.396496</t>
  </si>
  <si>
    <t>-49.243383</t>
  </si>
  <si>
    <t>EX039CFTV01</t>
  </si>
  <si>
    <t>ET Gago Coutinho &gt; Bairro</t>
  </si>
  <si>
    <t>-25.396558</t>
  </si>
  <si>
    <t>-49.243297</t>
  </si>
  <si>
    <t>EX099CFTV01</t>
  </si>
  <si>
    <t>ET Cajuru &gt; C. Comprido</t>
  </si>
  <si>
    <t>-25.460426</t>
  </si>
  <si>
    <t>-49.211746</t>
  </si>
  <si>
    <t>EX132CFTV03</t>
  </si>
  <si>
    <t>ET Fanny &gt; Pinheirinho</t>
  </si>
  <si>
    <t>-25.474767</t>
  </si>
  <si>
    <t>-49.258663</t>
  </si>
  <si>
    <t>EX132CFTV04</t>
  </si>
  <si>
    <t>ET Fanny &gt; Pinheirinho 2</t>
  </si>
  <si>
    <t>-25.474818</t>
  </si>
  <si>
    <t>-49.258666</t>
  </si>
  <si>
    <t>EX133CFTV01</t>
  </si>
  <si>
    <t>ET Marechal &gt; Centro 1</t>
  </si>
  <si>
    <t>-25.469265</t>
  </si>
  <si>
    <t>-49.253837</t>
  </si>
  <si>
    <t>EX133CFTV02</t>
  </si>
  <si>
    <t>ET Marechal &gt; Centro 2</t>
  </si>
  <si>
    <t>-25.469231</t>
  </si>
  <si>
    <t>-49.253844</t>
  </si>
  <si>
    <t>EX133CFTV03</t>
  </si>
  <si>
    <t>ET Marechal &gt; Centro 3</t>
  </si>
  <si>
    <t>-25.469181</t>
  </si>
  <si>
    <t>-49.253776</t>
  </si>
  <si>
    <t>EX133CFTV04</t>
  </si>
  <si>
    <t>ET Marechal &gt; Centro 4</t>
  </si>
  <si>
    <t>-25.469119</t>
  </si>
  <si>
    <t>-49.253759</t>
  </si>
  <si>
    <t>EX134CFTV01</t>
  </si>
  <si>
    <t>ET Marechal &gt; Pinherinho 1</t>
  </si>
  <si>
    <t>-25.469171</t>
  </si>
  <si>
    <t>-49.254046</t>
  </si>
  <si>
    <t>EX134CFTV02</t>
  </si>
  <si>
    <t>ET Marechal &gt; Pinherinho 2</t>
  </si>
  <si>
    <t>-25.469048</t>
  </si>
  <si>
    <t>-49.253941</t>
  </si>
  <si>
    <t>EX134CFTV03</t>
  </si>
  <si>
    <t>ET Marechal &gt; Pinherinho 3</t>
  </si>
  <si>
    <t>-25.469108</t>
  </si>
  <si>
    <t>-49.253978</t>
  </si>
  <si>
    <t>EX134CFTV04</t>
  </si>
  <si>
    <t>ET Marechal &gt; Pinherinho 4</t>
  </si>
  <si>
    <t>-25.469125</t>
  </si>
  <si>
    <t>-49.254030</t>
  </si>
  <si>
    <t>EX135ACFTV01</t>
  </si>
  <si>
    <t>ET Ufpr &gt; Desembarque 1</t>
  </si>
  <si>
    <t>-25.438578</t>
  </si>
  <si>
    <t>-49.268216</t>
  </si>
  <si>
    <t>EX135ACFTV02</t>
  </si>
  <si>
    <t>ET Ufpr &gt; Desembarque 2</t>
  </si>
  <si>
    <t>-25.438803</t>
  </si>
  <si>
    <t>-49.268104</t>
  </si>
  <si>
    <t>EX135CFTV01</t>
  </si>
  <si>
    <t>ET CEFET &gt; Boqueirão</t>
  </si>
  <si>
    <t>-25.438838</t>
  </si>
  <si>
    <t>-49.268213</t>
  </si>
  <si>
    <t>EX135CFTV02</t>
  </si>
  <si>
    <t>ET CEFET &gt; Pinheirinho</t>
  </si>
  <si>
    <t>-25.439076</t>
  </si>
  <si>
    <t>-49.268100</t>
  </si>
  <si>
    <t>LD001CFTV01</t>
  </si>
  <si>
    <t>PANE ET Hospital Militar</t>
  </si>
  <si>
    <t>-25.438189</t>
  </si>
  <si>
    <t>-49.289602</t>
  </si>
  <si>
    <t>LD004CFTV01</t>
  </si>
  <si>
    <t>ET Curitibano Getílio Vargas</t>
  </si>
  <si>
    <t>-25.449757</t>
  </si>
  <si>
    <t>-49.284600</t>
  </si>
  <si>
    <t>LD005CFTV01</t>
  </si>
  <si>
    <t>PANE ET Curitibano Av Iguaçu</t>
  </si>
  <si>
    <t>-25.448324</t>
  </si>
  <si>
    <t>-49.285406</t>
  </si>
  <si>
    <t>LD007CFTV01</t>
  </si>
  <si>
    <t>PANE ET Vila Guaira</t>
  </si>
  <si>
    <t>-25.471883</t>
  </si>
  <si>
    <t>-49.285729</t>
  </si>
  <si>
    <t>LD010CFTV01</t>
  </si>
  <si>
    <t>PANE ET PUC</t>
  </si>
  <si>
    <t>-25.452471</t>
  </si>
  <si>
    <t>-49.252815</t>
  </si>
  <si>
    <t>LD011CFTV01</t>
  </si>
  <si>
    <t>ET Pres. Kennedy</t>
  </si>
  <si>
    <t>-25.455506</t>
  </si>
  <si>
    <t>-49.267578</t>
  </si>
  <si>
    <t>LD012CFTV01</t>
  </si>
  <si>
    <t>ET Westphalen &gt; Getulio vargas</t>
  </si>
  <si>
    <t>-25.443499</t>
  </si>
  <si>
    <t>-49.268261</t>
  </si>
  <si>
    <t>LD013CFTV01</t>
  </si>
  <si>
    <t>ET Westphalen &gt; Av Iguaçu</t>
  </si>
  <si>
    <t>-25.441790</t>
  </si>
  <si>
    <t>-49.268288</t>
  </si>
  <si>
    <t>LD014CFTV01</t>
  </si>
  <si>
    <t>ET Salgado Filho</t>
  </si>
  <si>
    <t>LD016CFTV01</t>
  </si>
  <si>
    <t>ET Jardim das Américas</t>
  </si>
  <si>
    <t>-25.452341</t>
  </si>
  <si>
    <t>-49.229952</t>
  </si>
  <si>
    <t>LD017CFTV01</t>
  </si>
  <si>
    <t>ET Jardim Botânico</t>
  </si>
  <si>
    <t>-25.444133</t>
  </si>
  <si>
    <t>-49.239831</t>
  </si>
  <si>
    <t>LD020CFTV01</t>
  </si>
  <si>
    <t>ET Praça do Expedicionário &gt; Centro</t>
  </si>
  <si>
    <t>-25.429336</t>
  </si>
  <si>
    <t>-49.258463</t>
  </si>
  <si>
    <t>LD021CFTV01</t>
  </si>
  <si>
    <t>ET Praça do Expedicionário &gt; Bairro</t>
  </si>
  <si>
    <t>-25.428812</t>
  </si>
  <si>
    <t>-49.258179</t>
  </si>
  <si>
    <t>LD022CFTV01</t>
  </si>
  <si>
    <t>ET Marechal Deodoro</t>
  </si>
  <si>
    <t>-25.429012</t>
  </si>
  <si>
    <t>-49.263572</t>
  </si>
  <si>
    <t>LD023CFTV01</t>
  </si>
  <si>
    <t>ET Conselheiro Laurindo &gt; Guadalupe</t>
  </si>
  <si>
    <t>-25.432070</t>
  </si>
  <si>
    <t>-49.264168</t>
  </si>
  <si>
    <t>LD024CFTV01</t>
  </si>
  <si>
    <t>ET Conselheiro Laurindo &gt; FAZ</t>
  </si>
  <si>
    <t>-25.433646</t>
  </si>
  <si>
    <t>-49.263470</t>
  </si>
  <si>
    <t>LD025CFTV01</t>
  </si>
  <si>
    <t>ET Praça Varlos Gomes &gt; Faz. Rio Grande</t>
  </si>
  <si>
    <t>-25.435193</t>
  </si>
  <si>
    <t>-49.268648</t>
  </si>
  <si>
    <t>LD026CFTV01</t>
  </si>
  <si>
    <t>ET Sete de Setembro &gt; Maracanã</t>
  </si>
  <si>
    <t>-25.440311</t>
  </si>
  <si>
    <t>-49.271798</t>
  </si>
  <si>
    <t>LD027CFTV01</t>
  </si>
  <si>
    <t>ET Praça da Bandeira</t>
  </si>
  <si>
    <t>-25.416569</t>
  </si>
  <si>
    <t>-49.279259</t>
  </si>
  <si>
    <t>LD029CFTV01</t>
  </si>
  <si>
    <t>ET Centro Cívico 1</t>
  </si>
  <si>
    <t>-25.415399</t>
  </si>
  <si>
    <t>-49.267917</t>
  </si>
  <si>
    <t>LD029CFTV02</t>
  </si>
  <si>
    <t>ET Centro Cívico 2</t>
  </si>
  <si>
    <t>-25.415480</t>
  </si>
  <si>
    <t>-49.267906</t>
  </si>
  <si>
    <t>LD030CFTV01</t>
  </si>
  <si>
    <t>ET Palacio Iguaçu</t>
  </si>
  <si>
    <t>-25.415606</t>
  </si>
  <si>
    <t>-49.266394</t>
  </si>
  <si>
    <t>LD030CFTV02</t>
  </si>
  <si>
    <t>ET Palacio Iguaçu 2</t>
  </si>
  <si>
    <t>-25.415690</t>
  </si>
  <si>
    <t>-49.266406</t>
  </si>
  <si>
    <t>LD031CFTV01</t>
  </si>
  <si>
    <t>ET Museu Oscar Niemeyer</t>
  </si>
  <si>
    <t>-25.410666</t>
  </si>
  <si>
    <t>-49.266135</t>
  </si>
  <si>
    <t>LD032CFTV01</t>
  </si>
  <si>
    <t>ET Agrarias</t>
  </si>
  <si>
    <t>-25.410584</t>
  </si>
  <si>
    <t>-49.248245</t>
  </si>
  <si>
    <t>LD033CFTV01</t>
  </si>
  <si>
    <t>ET Ahú &gt; Flavio Dalegrave</t>
  </si>
  <si>
    <t>-25.391092</t>
  </si>
  <si>
    <t>-49.258145</t>
  </si>
  <si>
    <t>LD035CFTV01</t>
  </si>
  <si>
    <t>ET Santa Quitéria &gt; C. do Siqueira</t>
  </si>
  <si>
    <t>-25.459136</t>
  </si>
  <si>
    <t>-49.302405</t>
  </si>
  <si>
    <t>LD035CFTV02</t>
  </si>
  <si>
    <t>ET Santa Quitéria &gt; Portão</t>
  </si>
  <si>
    <t>-25.459166</t>
  </si>
  <si>
    <t>-49.302459</t>
  </si>
  <si>
    <t>LD041CFTV01</t>
  </si>
  <si>
    <t>PANE ET Paiol &gt; Bairro</t>
  </si>
  <si>
    <t>-25.448190</t>
  </si>
  <si>
    <t>-49.258049</t>
  </si>
  <si>
    <t>LD041CFTV02</t>
  </si>
  <si>
    <t>PANE ET Paiol &gt; Centro</t>
  </si>
  <si>
    <t>-25.448202</t>
  </si>
  <si>
    <t>-49.257988</t>
  </si>
  <si>
    <t>LD042CFTV01</t>
  </si>
  <si>
    <t>ET DETRAN &gt; Cabral</t>
  </si>
  <si>
    <t>-25.430338</t>
  </si>
  <si>
    <t>-49.211249</t>
  </si>
  <si>
    <t>LD042CFTV02</t>
  </si>
  <si>
    <t>ET DETRAN &gt; Capão da Imuia</t>
  </si>
  <si>
    <t>-25.430389</t>
  </si>
  <si>
    <t>-49.211147</t>
  </si>
  <si>
    <t>LD043CFTV01</t>
  </si>
  <si>
    <t>ET Rodoferroviária &gt; C. Imbuia</t>
  </si>
  <si>
    <t>-25.435416</t>
  </si>
  <si>
    <t>-49.260875</t>
  </si>
  <si>
    <t>LD043CFTV02</t>
  </si>
  <si>
    <t>ET Rodoferroviária &gt; Centro</t>
  </si>
  <si>
    <t>-25.435350</t>
  </si>
  <si>
    <t>-49.260845</t>
  </si>
  <si>
    <t>LD044CFTV01</t>
  </si>
  <si>
    <t>ET 29 de Março &gt; Matim Afonso</t>
  </si>
  <si>
    <t>-25.428413</t>
  </si>
  <si>
    <t>-49.284924</t>
  </si>
  <si>
    <t>LD044CFTV02</t>
  </si>
  <si>
    <t>ET 29 de Março &gt; Brig. Franco</t>
  </si>
  <si>
    <t>-25.428147</t>
  </si>
  <si>
    <t>-49.284908</t>
  </si>
  <si>
    <t>LD045CFTV01</t>
  </si>
  <si>
    <t>ET 19 de Dezembro &gt; Maracanã</t>
  </si>
  <si>
    <t>-25.423192</t>
  </si>
  <si>
    <t>-49.269731</t>
  </si>
  <si>
    <t>LD045CFTV02</t>
  </si>
  <si>
    <t>PANE ET 19 de Dezembro &gt; CIC</t>
  </si>
  <si>
    <t>-25.423146</t>
  </si>
  <si>
    <t>-49.269954</t>
  </si>
  <si>
    <t>LD046CFTV01</t>
  </si>
  <si>
    <t>ET Praça das Mercês &gt; Cabral</t>
  </si>
  <si>
    <t>-25.422402</t>
  </si>
  <si>
    <t>-49.291658</t>
  </si>
  <si>
    <t>LD046CFTV02</t>
  </si>
  <si>
    <t>ET Praça das Mercês &gt; C. do Siqueira</t>
  </si>
  <si>
    <t>-25.422382</t>
  </si>
  <si>
    <t>-49.291529</t>
  </si>
  <si>
    <t>LD047CFTV01</t>
  </si>
  <si>
    <t>PANE ET Comendador Fontana &gt; Centro</t>
  </si>
  <si>
    <t>-25.419762</t>
  </si>
  <si>
    <t>-49.269138</t>
  </si>
  <si>
    <t>LD047CFTV02</t>
  </si>
  <si>
    <t>PANE ET Comendador Fontana &gt; Centro Cívico</t>
  </si>
  <si>
    <t>-25.419830</t>
  </si>
  <si>
    <t>-49.268925</t>
  </si>
  <si>
    <t>LD048CFTV01</t>
  </si>
  <si>
    <t>ET Prefeitura &gt; C. Cívico</t>
  </si>
  <si>
    <t>-25.417900</t>
  </si>
  <si>
    <t>-49.268452</t>
  </si>
  <si>
    <t>LD048CFTV02</t>
  </si>
  <si>
    <t>ET Prefeitura &gt;  Boqueirão</t>
  </si>
  <si>
    <t>-25.417873</t>
  </si>
  <si>
    <t>-49.268705</t>
  </si>
  <si>
    <t>LD049CFTV01</t>
  </si>
  <si>
    <t>PANE ET Wstphalen&gt; CIC</t>
  </si>
  <si>
    <t>-25.436488</t>
  </si>
  <si>
    <t>-49.271037</t>
  </si>
  <si>
    <t>LD049CFTV03</t>
  </si>
  <si>
    <t>PANE ET Wstphalen&gt; Araucária</t>
  </si>
  <si>
    <t>-25.436936</t>
  </si>
  <si>
    <t>-49.270838</t>
  </si>
  <si>
    <t>TE001CFTV05</t>
  </si>
  <si>
    <t>Terminal Bairro Alto &gt; Tubo</t>
  </si>
  <si>
    <t>-25.413150</t>
  </si>
  <si>
    <t>-49.205730</t>
  </si>
  <si>
    <t>TE002CFTV01</t>
  </si>
  <si>
    <t>Terminal Barreirinha &gt; Santa Terezinha</t>
  </si>
  <si>
    <t>-25.377576</t>
  </si>
  <si>
    <t>-49.262404</t>
  </si>
  <si>
    <t>TE002CFTV02</t>
  </si>
  <si>
    <t>Terminal Barreirinha &gt; ET Tamandare</t>
  </si>
  <si>
    <t>-25.377803</t>
  </si>
  <si>
    <t>-49.262372</t>
  </si>
  <si>
    <t>TE002CFTV03</t>
  </si>
  <si>
    <t>Terminal Barreirinha &gt; Barreirinha</t>
  </si>
  <si>
    <t>-25.377434</t>
  </si>
  <si>
    <t>-49.262250</t>
  </si>
  <si>
    <t>TE002CFTV04</t>
  </si>
  <si>
    <t>Terminal Barreirinha &gt; Cabral Tamandare</t>
  </si>
  <si>
    <t>-25.377557</t>
  </si>
  <si>
    <t>-49.262482</t>
  </si>
  <si>
    <t>TE002CFTV05</t>
  </si>
  <si>
    <t>Terminal Barreirinha &gt; Boa Vista</t>
  </si>
  <si>
    <t>-25.377294</t>
  </si>
  <si>
    <t>-49.262511</t>
  </si>
  <si>
    <t>TE002CFTV06</t>
  </si>
  <si>
    <t>Terminal Barreirinha &gt; Guadalupe</t>
  </si>
  <si>
    <t>-25.377147</t>
  </si>
  <si>
    <t>-49.262492</t>
  </si>
  <si>
    <t>TE003CFTV01</t>
  </si>
  <si>
    <t>PANE Terminal Boa Vista&gt; Vila Esperança</t>
  </si>
  <si>
    <t>-25.393239</t>
  </si>
  <si>
    <t>-49.241084</t>
  </si>
  <si>
    <t>TE003CFTV02</t>
  </si>
  <si>
    <t>PANE Terminal Boa Vista&gt;B, Alto BoaVista</t>
  </si>
  <si>
    <t>-25.393324</t>
  </si>
  <si>
    <t>-49.240952</t>
  </si>
  <si>
    <t>TE003CFTV03</t>
  </si>
  <si>
    <t>PANE Terminal Boa Vista&gt; Expresso &gt; Centro</t>
  </si>
  <si>
    <t>-25.393520</t>
  </si>
  <si>
    <t>-49.240659</t>
  </si>
  <si>
    <t>TE003CFTV04</t>
  </si>
  <si>
    <t>Terminal Boa Vista&gt; Expresso &gt; Boa Vista</t>
  </si>
  <si>
    <t>-25.393587</t>
  </si>
  <si>
    <t>-49.240585</t>
  </si>
  <si>
    <t>TE003CFTV05</t>
  </si>
  <si>
    <t>Terminal Boa Vista&gt; ET Santa Cândida &gt; Pinheirinho</t>
  </si>
  <si>
    <t>TE003CFTV06</t>
  </si>
  <si>
    <t>Terminal Boa Vista&gt; ET Pinheirinho &gt; Santa Candida</t>
  </si>
  <si>
    <t>-25.393403</t>
  </si>
  <si>
    <t>-49.240377</t>
  </si>
  <si>
    <t>TE004CFTV11</t>
  </si>
  <si>
    <t>Terminal Boqueirão &gt; Èrico Verissimo</t>
  </si>
  <si>
    <t>-25.516754</t>
  </si>
  <si>
    <t>-49.230646</t>
  </si>
  <si>
    <t>TE004CFTV12</t>
  </si>
  <si>
    <t>Terminal Boqueirão &gt; Saída 1</t>
  </si>
  <si>
    <t>-25.517400</t>
  </si>
  <si>
    <t>-49.229988</t>
  </si>
  <si>
    <t>TE004CFTV13</t>
  </si>
  <si>
    <t>Terminal Boqueirão &gt; Saída 2</t>
  </si>
  <si>
    <t>-25.516414</t>
  </si>
  <si>
    <t>-49.230446</t>
  </si>
  <si>
    <t>TE004CFTV14</t>
  </si>
  <si>
    <t>Terminal Boqueirão &gt; Hauer Boqueirão</t>
  </si>
  <si>
    <t>-25.517382</t>
  </si>
  <si>
    <t>-49.230310</t>
  </si>
  <si>
    <t>TE004CFTV15</t>
  </si>
  <si>
    <t>Terminal Boqueirão &gt; Boqueirão</t>
  </si>
  <si>
    <t>-25.517075</t>
  </si>
  <si>
    <t>-49.230241</t>
  </si>
  <si>
    <t>TE004CFTV16</t>
  </si>
  <si>
    <t>Terminal Boqueirão &gt; Centenário Boqueirão</t>
  </si>
  <si>
    <t>-25.516677</t>
  </si>
  <si>
    <t>-49.230623</t>
  </si>
  <si>
    <t>TE004CFTV17</t>
  </si>
  <si>
    <t>Terminal Boqueirão &gt; Ligeirão</t>
  </si>
  <si>
    <t>-25.517159</t>
  </si>
  <si>
    <t>-49.230047</t>
  </si>
  <si>
    <t>TE004CFTV18</t>
  </si>
  <si>
    <t>Terminal Boqueirão &gt; Circular Sul Anti-horario</t>
  </si>
  <si>
    <t>-25.516956</t>
  </si>
  <si>
    <t>-49.230001</t>
  </si>
  <si>
    <t>TE008CFTV01</t>
  </si>
  <si>
    <t>Terminal C. Cumprido &gt; Interbairros IV</t>
  </si>
  <si>
    <t>-25.441528</t>
  </si>
  <si>
    <t>-49.346679</t>
  </si>
  <si>
    <t>TE008CFTV02</t>
  </si>
  <si>
    <t>Terminal C. Cumprido &gt; Universidade Positivo</t>
  </si>
  <si>
    <t>-25.441699</t>
  </si>
  <si>
    <t>-49.346935</t>
  </si>
  <si>
    <t>TE008CFTV03</t>
  </si>
  <si>
    <t>Terminal C. Cumprido &gt; Interbairros IV &gt; Fazendinha</t>
  </si>
  <si>
    <t>-25.441670</t>
  </si>
  <si>
    <t>-49.346317</t>
  </si>
  <si>
    <t>TE008CFTV04</t>
  </si>
  <si>
    <t>Terminal C. Cumprido &gt; Expresso</t>
  </si>
  <si>
    <t>-25.441534</t>
  </si>
  <si>
    <t>-49.346331</t>
  </si>
  <si>
    <t>TE008CFTV05</t>
  </si>
  <si>
    <t>Terminal C. Cumprido &gt; Expresso II</t>
  </si>
  <si>
    <t>-25.441691</t>
  </si>
  <si>
    <t>-49.346522</t>
  </si>
  <si>
    <t>TE008CFTV06</t>
  </si>
  <si>
    <t>Terminal C. Cumprido &gt; Interbairros IV &gt; Santa Felicidade</t>
  </si>
  <si>
    <t>-25.441689</t>
  </si>
  <si>
    <t>-49.346031</t>
  </si>
  <si>
    <t>TE008CFTV07</t>
  </si>
  <si>
    <t>Terminal C. Cumprido &gt; ET CIC Norte</t>
  </si>
  <si>
    <t>-25.441472</t>
  </si>
  <si>
    <t>-49.347281</t>
  </si>
  <si>
    <t>TE008CFTV08</t>
  </si>
  <si>
    <t>Terminal C. Cumprido &gt; ET Centro</t>
  </si>
  <si>
    <t>-25.441446</t>
  </si>
  <si>
    <t>-49.346631</t>
  </si>
  <si>
    <t>TE008CFTV09</t>
  </si>
  <si>
    <t>Terminal C. Cumprido &gt; Entrada</t>
  </si>
  <si>
    <t>-25.441729</t>
  </si>
  <si>
    <t>-49.347247</t>
  </si>
  <si>
    <t>TE008CFTV10</t>
  </si>
  <si>
    <t>Terminal C. Cumprido &gt; Capão Raso</t>
  </si>
  <si>
    <t>-25.441693</t>
  </si>
  <si>
    <t>-49.346740</t>
  </si>
  <si>
    <t>TE008CFTV11</t>
  </si>
  <si>
    <t>Terminal C. Cumprido &gt; Fernão Dias</t>
  </si>
  <si>
    <t>-25.441517</t>
  </si>
  <si>
    <t>-49.346327</t>
  </si>
  <si>
    <t>TE008CFTV12</t>
  </si>
  <si>
    <t>Terminal C. Cumprido &gt; CIC</t>
  </si>
  <si>
    <t>-25.441510</t>
  </si>
  <si>
    <t>-49.346121</t>
  </si>
  <si>
    <t>TE008CFTV13</t>
  </si>
  <si>
    <t>Terminal C. Cumprido &gt; Rebouças</t>
  </si>
  <si>
    <t>-25.441437</t>
  </si>
  <si>
    <t>-49.346353</t>
  </si>
  <si>
    <t>TE009CFTV09</t>
  </si>
  <si>
    <t>Terminal Capão da Imbuia &gt; Entrada</t>
  </si>
  <si>
    <t>-25.439904</t>
  </si>
  <si>
    <t>-49.221646</t>
  </si>
  <si>
    <t>TE009CFTV11</t>
  </si>
  <si>
    <t>Terminal Capão da Imbuia &gt; Centenario</t>
  </si>
  <si>
    <t>-25.440183</t>
  </si>
  <si>
    <t>-49.221454</t>
  </si>
  <si>
    <t>TE010CFTV01</t>
  </si>
  <si>
    <t>Terminal Capão Raso &gt; Pinheirinho</t>
  </si>
  <si>
    <t>-25.491832</t>
  </si>
  <si>
    <t>-49.293658</t>
  </si>
  <si>
    <t>TE010CFTV02</t>
  </si>
  <si>
    <t>Terminal Capão Raso &gt; Interbairros II</t>
  </si>
  <si>
    <t>-25.491897</t>
  </si>
  <si>
    <t>-49.293302</t>
  </si>
  <si>
    <t>TE010CFTV03</t>
  </si>
  <si>
    <t>Terminal Capão Raso &gt; Santa Cândida/C. Raso</t>
  </si>
  <si>
    <t>-25.492085</t>
  </si>
  <si>
    <t>-49.293374</t>
  </si>
  <si>
    <t>TE010CFTV04</t>
  </si>
  <si>
    <t>Terminal Capão Raso &gt; Rui Barbosa/ Portão</t>
  </si>
  <si>
    <t>-25.492251</t>
  </si>
  <si>
    <t>-49.293427</t>
  </si>
  <si>
    <t>TE010CFTV05</t>
  </si>
  <si>
    <t>Terminal Capão Raso &gt; Interbairros III</t>
  </si>
  <si>
    <t>-25.491859</t>
  </si>
  <si>
    <t>-49.293258</t>
  </si>
  <si>
    <t>TE010CFTV06</t>
  </si>
  <si>
    <t>Terminal Capão Raso &gt; Interbairros II Horário</t>
  </si>
  <si>
    <t>-25.492129</t>
  </si>
  <si>
    <t>-49.293073</t>
  </si>
  <si>
    <t>TE010CFTV07</t>
  </si>
  <si>
    <t>Terminal Capão Raso &gt; ET Araucaria</t>
  </si>
  <si>
    <t>-25.491887</t>
  </si>
  <si>
    <t>-49.293730</t>
  </si>
  <si>
    <t>TE010CFTV08</t>
  </si>
  <si>
    <t>Terminal Capão Raso &gt; ET Inter II &gt; Hauer</t>
  </si>
  <si>
    <t>-25.492304</t>
  </si>
  <si>
    <t>-49.293679</t>
  </si>
  <si>
    <t>TE010CFTV09</t>
  </si>
  <si>
    <t>Terminal Capão Raso &gt; ET Inter II &gt; C. Siqueira</t>
  </si>
  <si>
    <t>-25.491727</t>
  </si>
  <si>
    <t>-49.293100</t>
  </si>
  <si>
    <t>TE010CFTV10</t>
  </si>
  <si>
    <t>Terminal Capão Raso &gt; ET Inter II &gt; CIC &gt; Cabral</t>
  </si>
  <si>
    <t>-25.492077</t>
  </si>
  <si>
    <t>-49.293057</t>
  </si>
  <si>
    <t>TE010CFTV11</t>
  </si>
  <si>
    <t>Terminal Capão Raso &gt; Sitio Cercado &gt; Horario</t>
  </si>
  <si>
    <t>TE010CFTV12</t>
  </si>
  <si>
    <t>Terminal Capão Raso &gt; Entrada 1</t>
  </si>
  <si>
    <t>-25.492477</t>
  </si>
  <si>
    <t>-49.293015</t>
  </si>
  <si>
    <t>TE010CFTV13</t>
  </si>
  <si>
    <t>Terminal Capão Raso &gt; Expresso Pinheirinho</t>
  </si>
  <si>
    <t>-25.491783</t>
  </si>
  <si>
    <t>-49.293661</t>
  </si>
  <si>
    <t>TE010CFTV14</t>
  </si>
  <si>
    <t>Terminal Capão Raso &gt; Entrada 2</t>
  </si>
  <si>
    <t>-25.492398</t>
  </si>
  <si>
    <t>-49.293616</t>
  </si>
  <si>
    <t>TE010CFTV15</t>
  </si>
  <si>
    <t>Terminal Capão Raso &gt; Entrada 3</t>
  </si>
  <si>
    <t>-25.492236</t>
  </si>
  <si>
    <t>-49.293346</t>
  </si>
  <si>
    <t>TE010CFTV16</t>
  </si>
  <si>
    <t>Terminal Capão Raso &gt; Vila São Pedro</t>
  </si>
  <si>
    <t>-25.492267</t>
  </si>
  <si>
    <t>-49.293255</t>
  </si>
  <si>
    <t>TE010CFTV17</t>
  </si>
  <si>
    <t>Terminal Capão Raso &gt; Entrada 4</t>
  </si>
  <si>
    <t>-25.492226</t>
  </si>
  <si>
    <t>-49.293030</t>
  </si>
  <si>
    <t>TE011CFTV01</t>
  </si>
  <si>
    <t>Terminal Carmo &gt; Expresso&gt; Centro</t>
  </si>
  <si>
    <t>-25.501797</t>
  </si>
  <si>
    <t>-49.237450</t>
  </si>
  <si>
    <t>TE011CFTV02</t>
  </si>
  <si>
    <t>Terminal Carmo &gt; Interbairros III &gt; Capão raso</t>
  </si>
  <si>
    <t>-25.501154</t>
  </si>
  <si>
    <t>-49.237680</t>
  </si>
  <si>
    <t>TE011CFTV03</t>
  </si>
  <si>
    <t>Terminal Carmo &gt; Iguape 1</t>
  </si>
  <si>
    <t>-25.501427</t>
  </si>
  <si>
    <t>-49.237643</t>
  </si>
  <si>
    <t>TE011CFTV04</t>
  </si>
  <si>
    <t>Terminal Carmo &gt; Expresso&gt; Boqueirão</t>
  </si>
  <si>
    <t>-25.501044</t>
  </si>
  <si>
    <t>-49.237723</t>
  </si>
  <si>
    <t>TE011CFTV05</t>
  </si>
  <si>
    <t>PANE Terminal Carmo &gt; ET &gt; Bairro</t>
  </si>
  <si>
    <t>-25.500858</t>
  </si>
  <si>
    <t>-49.237652</t>
  </si>
  <si>
    <t>TE011CFTV06</t>
  </si>
  <si>
    <t>PANE Terminal Carmo &gt; ET &gt; Centro</t>
  </si>
  <si>
    <t>-25.501648</t>
  </si>
  <si>
    <t>-49.237677</t>
  </si>
  <si>
    <t>TE011CFTV07</t>
  </si>
  <si>
    <t>Terminal Carmo &gt; Entrada 1</t>
  </si>
  <si>
    <t>-25.501150</t>
  </si>
  <si>
    <t>-49.237480</t>
  </si>
  <si>
    <t>TE011CFTV08</t>
  </si>
  <si>
    <t>Terminal Carmo &gt; Entrada 2</t>
  </si>
  <si>
    <t>-25.501293</t>
  </si>
  <si>
    <t>-49.237866</t>
  </si>
  <si>
    <t>TE011CFTV09</t>
  </si>
  <si>
    <t>Terminal Carmo &gt;Interbairros III &gt; Oficinas</t>
  </si>
  <si>
    <t>-25.501467</t>
  </si>
  <si>
    <t>-49.237521</t>
  </si>
  <si>
    <t>TE012CFTV01</t>
  </si>
  <si>
    <t>Terminal Centenario &gt; Centenario &gt; Hauer</t>
  </si>
  <si>
    <t>-25.468890</t>
  </si>
  <si>
    <t>-49.208153</t>
  </si>
  <si>
    <t>TE012CFTV02</t>
  </si>
  <si>
    <t>Terminal Centenario &gt; centenario &gt; Boqueirão</t>
  </si>
  <si>
    <t>-25.468912</t>
  </si>
  <si>
    <t>-49.208330</t>
  </si>
  <si>
    <t>TE012CFTV03</t>
  </si>
  <si>
    <t>-25.469134</t>
  </si>
  <si>
    <t>-49.208174</t>
  </si>
  <si>
    <t>TE012CFTV04</t>
  </si>
  <si>
    <t>Terminal Centenario &gt; Agricola</t>
  </si>
  <si>
    <t>-25.469226</t>
  </si>
  <si>
    <t>-49.208359</t>
  </si>
  <si>
    <t>TE012CFTV05</t>
  </si>
  <si>
    <t>Terminal Centenario &gt;Vila Reno</t>
  </si>
  <si>
    <t>-25.469095</t>
  </si>
  <si>
    <t>-49.207853</t>
  </si>
  <si>
    <t>TE012CFTV06</t>
  </si>
  <si>
    <t>Terminal Centenario &gt;ET Centenário</t>
  </si>
  <si>
    <t>-25.468735</t>
  </si>
  <si>
    <t>-49.207969</t>
  </si>
  <si>
    <t>TE014CFTV01</t>
  </si>
  <si>
    <t>Terminal Fazendinha &gt; Interbairros IV &gt; CIC</t>
  </si>
  <si>
    <t>-25.477228</t>
  </si>
  <si>
    <t>-49.327275</t>
  </si>
  <si>
    <t>TE014CFTV02</t>
  </si>
  <si>
    <t>Terminal Fazendinha &gt; Itatiaia</t>
  </si>
  <si>
    <t>-25.477356</t>
  </si>
  <si>
    <t>-49.326960</t>
  </si>
  <si>
    <t>TE014CFTV03</t>
  </si>
  <si>
    <t>Terminal Fazendinha &gt; Bairro  Fazendinha</t>
  </si>
  <si>
    <t>-25.477334</t>
  </si>
  <si>
    <t>-49.326551</t>
  </si>
  <si>
    <t>TE014CFTV04</t>
  </si>
  <si>
    <t>Terminal Fazendinha &gt; Fazendinha/Portão</t>
  </si>
  <si>
    <t>-25.477266</t>
  </si>
  <si>
    <t>-49.327560</t>
  </si>
  <si>
    <t>TE014CFTV05</t>
  </si>
  <si>
    <t>Terminal Fazendinha &gt; STA Amélia</t>
  </si>
  <si>
    <t>-25.477367</t>
  </si>
  <si>
    <t>-49.326893</t>
  </si>
  <si>
    <t>TE014CFTV06</t>
  </si>
  <si>
    <t>Terminal Fazendinha &gt;Interbairros IV &gt; C. Comprido</t>
  </si>
  <si>
    <t>-25.477410</t>
  </si>
  <si>
    <t>-49.326599</t>
  </si>
  <si>
    <t>TE014CFTV07</t>
  </si>
  <si>
    <t>Terminal Fazendinha &gt;Entrada 1</t>
  </si>
  <si>
    <t>-25.477403</t>
  </si>
  <si>
    <t>-49.326396</t>
  </si>
  <si>
    <t>TE014CFTV08</t>
  </si>
  <si>
    <t>Terminal Fazendinha &gt;Entrada 2</t>
  </si>
  <si>
    <t>-25.477468</t>
  </si>
  <si>
    <t>-49.327165</t>
  </si>
  <si>
    <t>TE015CFTV12</t>
  </si>
  <si>
    <t>Terminal Hauer &gt; Entrada 1</t>
  </si>
  <si>
    <t>-25.481374</t>
  </si>
  <si>
    <t>-49.247380</t>
  </si>
  <si>
    <t>TE015CFTV14</t>
  </si>
  <si>
    <t>Terminal Hauer &gt; Expresso &gt; Bairro</t>
  </si>
  <si>
    <t>-25.481901</t>
  </si>
  <si>
    <t>-49.247078</t>
  </si>
  <si>
    <t>TE015CFTV13</t>
  </si>
  <si>
    <t>Terminal Hauer &gt; Entrada 2</t>
  </si>
  <si>
    <t>-25.482569</t>
  </si>
  <si>
    <t>-49.246800</t>
  </si>
  <si>
    <t>TE017CFTV01</t>
  </si>
  <si>
    <t>Terminal Pinheirinho &gt; Circular Sul &gt; Sitio Cercado</t>
  </si>
  <si>
    <t>-25.512071</t>
  </si>
  <si>
    <t>-49.295723</t>
  </si>
  <si>
    <t>TE017CFTV02</t>
  </si>
  <si>
    <t>Terminal Pinheirinho &gt; Circular Sul &gt; Capão Raso</t>
  </si>
  <si>
    <t>-25.513121</t>
  </si>
  <si>
    <t>-49.295561</t>
  </si>
  <si>
    <t>TE017CFTV03</t>
  </si>
  <si>
    <t>Terminal Pinheirinho &gt; Expresso &gt; Rui Barbosa</t>
  </si>
  <si>
    <t>-25.512418</t>
  </si>
  <si>
    <t>-49.295587</t>
  </si>
  <si>
    <t>TE017CFTV05</t>
  </si>
  <si>
    <t>Terminal Pinheirinho &gt; Fazenda Rio Grande</t>
  </si>
  <si>
    <t>-25.512016</t>
  </si>
  <si>
    <t>-49.295294</t>
  </si>
  <si>
    <t>TE017CFTV06</t>
  </si>
  <si>
    <t>Terminal Pinheirinho &gt; Cachimba &gt; Olaria</t>
  </si>
  <si>
    <t>-25.513297</t>
  </si>
  <si>
    <t>-49.295064</t>
  </si>
  <si>
    <t>TE017CFTV08</t>
  </si>
  <si>
    <t>Terminal Pinheirinho &gt; Pinheirinho CIC</t>
  </si>
  <si>
    <t>-25.512512</t>
  </si>
  <si>
    <t>-49.295012</t>
  </si>
  <si>
    <t>TE017CFTV09</t>
  </si>
  <si>
    <t>Terminal Pinheirinho &gt; Rio Negro</t>
  </si>
  <si>
    <t>-25.512461</t>
  </si>
  <si>
    <t>-49.294817</t>
  </si>
  <si>
    <t>TE017CFTV10</t>
  </si>
  <si>
    <t>Terminal Pinheirinho &gt; Alimentador Pinheirinho</t>
  </si>
  <si>
    <t>-25.511896</t>
  </si>
  <si>
    <t>-49.294834</t>
  </si>
  <si>
    <t>TE017CFTV11</t>
  </si>
  <si>
    <t>Terminal Pinheirinho &gt; JD da Ordem</t>
  </si>
  <si>
    <t>-25.512022</t>
  </si>
  <si>
    <t>-49.295018</t>
  </si>
  <si>
    <t>TE017CFTV12</t>
  </si>
  <si>
    <t>Terminal Pinheirinho &gt; Expresso &gt; Sta Cândida</t>
  </si>
  <si>
    <t>-25.513164</t>
  </si>
  <si>
    <t>-49.294576</t>
  </si>
  <si>
    <t>TE017CFTV13</t>
  </si>
  <si>
    <t>Terminal Pinheirinho &gt; Expresso &gt; Carlos Gomes</t>
  </si>
  <si>
    <t>-25.512296</t>
  </si>
  <si>
    <t>-49.294533</t>
  </si>
  <si>
    <t>TE017CFTV14</t>
  </si>
  <si>
    <t>Terminal Pinheirinho &gt; ET Sitio Cercado</t>
  </si>
  <si>
    <t>-25.512250</t>
  </si>
  <si>
    <t>-49.295743</t>
  </si>
  <si>
    <t>TE017CFTV15</t>
  </si>
  <si>
    <t>Terminal Pinheirinho &gt; Entrada 1</t>
  </si>
  <si>
    <t>-25.513365</t>
  </si>
  <si>
    <t>-49.295527</t>
  </si>
  <si>
    <t>TE017CFTV16</t>
  </si>
  <si>
    <t>Terminal Pinheirinho &gt; Entrada 2</t>
  </si>
  <si>
    <t>-25.511884</t>
  </si>
  <si>
    <t>-49.295530</t>
  </si>
  <si>
    <t>TE017CFTV17</t>
  </si>
  <si>
    <t>Terminal Pinheirinho &gt; Entrada 3</t>
  </si>
  <si>
    <t>-25.513345</t>
  </si>
  <si>
    <t>-49.294566</t>
  </si>
  <si>
    <t>TE017CFTV18</t>
  </si>
  <si>
    <t>Terminal Pinheirinho &gt; Entrada 4</t>
  </si>
  <si>
    <t>-25.511910</t>
  </si>
  <si>
    <t>-49.294586</t>
  </si>
  <si>
    <t>TE018CFTV01</t>
  </si>
  <si>
    <t>Terminal Portão &gt; Araucária/Portão</t>
  </si>
  <si>
    <t>-25.476310</t>
  </si>
  <si>
    <t>-49.292460</t>
  </si>
  <si>
    <t>TE018CFTV02</t>
  </si>
  <si>
    <t>Terminal Portão &gt; Interbairros V &gt; Oficinas</t>
  </si>
  <si>
    <t>-25.476443</t>
  </si>
  <si>
    <t>-49.292392</t>
  </si>
  <si>
    <t>TE018CFTV03</t>
  </si>
  <si>
    <t>Terminal Portão &gt;Expresso &gt; Centro</t>
  </si>
  <si>
    <t>-25.476351</t>
  </si>
  <si>
    <t>-49.292536</t>
  </si>
  <si>
    <t>TE018CFTV04</t>
  </si>
  <si>
    <t>Terminal Portão &gt;Expresso &gt; Centro 2</t>
  </si>
  <si>
    <t>-25.476114</t>
  </si>
  <si>
    <t>-49.292619</t>
  </si>
  <si>
    <t>TE018CFTV05</t>
  </si>
  <si>
    <t>Terminal Portão &gt;Expresso &gt; Bairro</t>
  </si>
  <si>
    <t>-25.476039</t>
  </si>
  <si>
    <t>-49.292835</t>
  </si>
  <si>
    <t>TE018CFTV06</t>
  </si>
  <si>
    <t>Terminal Portão &gt;Expresso &gt; Bairro 2</t>
  </si>
  <si>
    <t>-25.476206</t>
  </si>
  <si>
    <t>-49.292751</t>
  </si>
  <si>
    <t>TE018CFTV07</t>
  </si>
  <si>
    <t>Terminal Portão &gt;ET STA Candida &gt; Pinheirinho</t>
  </si>
  <si>
    <t>-25.476148</t>
  </si>
  <si>
    <t>-49.292937</t>
  </si>
  <si>
    <t>TE018CFTV08</t>
  </si>
  <si>
    <t>Terminal Portão &gt;ET Inter 2 &gt; C. Raso</t>
  </si>
  <si>
    <t>-25.476403</t>
  </si>
  <si>
    <t>-49.292846</t>
  </si>
  <si>
    <t>TE018CFTV09</t>
  </si>
  <si>
    <t>Terminal Portão &gt;ET Inter 2 &gt; C.Siqueira</t>
  </si>
  <si>
    <t>-25.475983</t>
  </si>
  <si>
    <t>-49.292375</t>
  </si>
  <si>
    <t>TE018CFTV10</t>
  </si>
  <si>
    <t>Terminal Portão &gt;ET Pinheirinho&gt; santa Cândida</t>
  </si>
  <si>
    <t>-25.476391</t>
  </si>
  <si>
    <t>-49.292227</t>
  </si>
  <si>
    <t>TE018CFTV11</t>
  </si>
  <si>
    <t>Terminal Portão &gt;Cabral Portâo</t>
  </si>
  <si>
    <t>-25.476113</t>
  </si>
  <si>
    <t>-49.292373</t>
  </si>
  <si>
    <t>TE018CFTV12</t>
  </si>
  <si>
    <t>Terminal Portão &gt;Entrada</t>
  </si>
  <si>
    <t>-25.476203</t>
  </si>
  <si>
    <t>-49.292276</t>
  </si>
  <si>
    <t>TE018CFTV13</t>
  </si>
  <si>
    <t>PANE Terminal Portão &gt;Entrada 2</t>
  </si>
  <si>
    <t>-25.476613</t>
  </si>
  <si>
    <t>-49.292380</t>
  </si>
  <si>
    <t>TE018CFTV14</t>
  </si>
  <si>
    <t>PANE Terminal Portão &gt;Entrada 3</t>
  </si>
  <si>
    <t>-25.476504</t>
  </si>
  <si>
    <t>-49.292746</t>
  </si>
  <si>
    <t>URBS 4</t>
  </si>
  <si>
    <t>https://monitoramento.pm.pr.gov.br/proxy_image_4/</t>
  </si>
  <si>
    <t>Terminal Cabral &gt; ET Inter 2 &gt; c. da Imbuia</t>
  </si>
  <si>
    <t>-25.406542</t>
  </si>
  <si>
    <t>-49.252181</t>
  </si>
  <si>
    <t>Terminal Cabral &gt; Tingui</t>
  </si>
  <si>
    <t>-25.406431</t>
  </si>
  <si>
    <t>-49.252544</t>
  </si>
  <si>
    <t>Terminal Cabral &gt; Expresso &gt; Bairro Cabral</t>
  </si>
  <si>
    <t>-25.406629</t>
  </si>
  <si>
    <t>-49.252621</t>
  </si>
  <si>
    <t>Terminal Cabral &gt; ET Guaraituba</t>
  </si>
  <si>
    <t>-25.406783</t>
  </si>
  <si>
    <t>-49.252405</t>
  </si>
  <si>
    <t>Terminal Cabral &gt; Interbairros II &gt; Horario</t>
  </si>
  <si>
    <t>-25.406520</t>
  </si>
  <si>
    <t>-49.252310</t>
  </si>
  <si>
    <t>Terminal Cabral &gt;ET Inter II &gt; C. Siqueira</t>
  </si>
  <si>
    <t>-25.406492</t>
  </si>
  <si>
    <t>-49.253007</t>
  </si>
  <si>
    <t>Terminal Cabral &gt;Expresso&gt; Centro</t>
  </si>
  <si>
    <t>-25.406317</t>
  </si>
  <si>
    <t>-49.252685</t>
  </si>
  <si>
    <t>Terminal Cabral &gt;Cabral &gt; Osório</t>
  </si>
  <si>
    <t>-25.406933</t>
  </si>
  <si>
    <t>-49.252906</t>
  </si>
  <si>
    <t>Terminal Cabral &gt;ET Tamandaré &gt; Tamandaré</t>
  </si>
  <si>
    <t>Terminal Cabral &gt;ET CIC</t>
  </si>
  <si>
    <t>ET Pça. Rui Barbosa &gt; Centenário</t>
  </si>
  <si>
    <t>-25.435825</t>
  </si>
  <si>
    <t>-49.274953</t>
  </si>
  <si>
    <t>Terminal Hauer &gt; Iguape II</t>
  </si>
  <si>
    <t>-25.481967</t>
  </si>
  <si>
    <t>-49.246726</t>
  </si>
  <si>
    <t>ET Central &gt; Sul 1</t>
  </si>
  <si>
    <t>-25.429969</t>
  </si>
  <si>
    <t>-49.267626</t>
  </si>
  <si>
    <t>PANE ET Central &gt; Sul 2</t>
  </si>
  <si>
    <t>-25.430022</t>
  </si>
  <si>
    <t>-49.267633</t>
  </si>
  <si>
    <t>ET Central &gt; Sul &gt; Catraca 1</t>
  </si>
  <si>
    <t>-25.429957</t>
  </si>
  <si>
    <t>-49.267665</t>
  </si>
  <si>
    <t>ET Central &gt; Sul &gt; Catraca 2</t>
  </si>
  <si>
    <t>-25.430102</t>
  </si>
  <si>
    <t>-49.267599</t>
  </si>
  <si>
    <t>ET Central &gt; Norte 1</t>
  </si>
  <si>
    <t>-25.429921</t>
  </si>
  <si>
    <t>-49.267516</t>
  </si>
  <si>
    <t>ET Central &gt; Norte 2</t>
  </si>
  <si>
    <t>-25.429994</t>
  </si>
  <si>
    <t>-49.267479</t>
  </si>
  <si>
    <t>ET Central &gt; Norte &gt; Catraca</t>
  </si>
  <si>
    <t>-25.430054</t>
  </si>
  <si>
    <t>-49.267452</t>
  </si>
  <si>
    <t>PANE Terminal Hauer &gt; Expresso 2&gt; Bairro</t>
  </si>
  <si>
    <t>-25.481554</t>
  </si>
  <si>
    <t>-49.247252</t>
  </si>
  <si>
    <t>ET Central &gt; Norte &gt; Catraca 2</t>
  </si>
  <si>
    <t>-25.429891</t>
  </si>
  <si>
    <t>-49.267517</t>
  </si>
  <si>
    <t>Camera131</t>
  </si>
  <si>
    <t>ET Bom Jesus &gt; Centro</t>
  </si>
  <si>
    <t>-25.409860</t>
  </si>
  <si>
    <t>-49.255780</t>
  </si>
  <si>
    <t>Camera132</t>
  </si>
  <si>
    <t>ET Bom Jesus &gt; Bairro Juveve</t>
  </si>
  <si>
    <t>-25.409280</t>
  </si>
  <si>
    <t>-49.255084</t>
  </si>
  <si>
    <t>Terminal Hauer &gt; Expresso &gt; Centro</t>
  </si>
  <si>
    <t>-25.481695</t>
  </si>
  <si>
    <t>-49.246998</t>
  </si>
  <si>
    <t>Camera15</t>
  </si>
  <si>
    <t>Terminal Hauer &gt; ET Centro Cívico</t>
  </si>
  <si>
    <t>-25.481202</t>
  </si>
  <si>
    <t>-49.246983</t>
  </si>
  <si>
    <t>Terminal Cabral &gt; Interbairros II &gt; A. Horario</t>
  </si>
  <si>
    <t>-25.406679</t>
  </si>
  <si>
    <t>-49.252466</t>
  </si>
  <si>
    <t>Terminal Hauer &gt; Interbairros II &gt; A. Horario</t>
  </si>
  <si>
    <t>-25.481682</t>
  </si>
  <si>
    <t>-49.246863</t>
  </si>
  <si>
    <t>Terminal Cabral &gt; Tamandare Cabral</t>
  </si>
  <si>
    <t>-49.252888</t>
  </si>
  <si>
    <t>Terminal Cabral &gt;ET Maracanã/Cabral &gt; MaracanÂ</t>
  </si>
  <si>
    <t>-25.407030</t>
  </si>
  <si>
    <t>-49.252632</t>
  </si>
  <si>
    <t>ET Praça Rui Barbosa &gt; Centenario</t>
  </si>
  <si>
    <t>-25.435958</t>
  </si>
  <si>
    <t>-49.274872</t>
  </si>
  <si>
    <t>ET Praça Rui Barbosa &gt; Pinheirinho 1</t>
  </si>
  <si>
    <t>-25.436185</t>
  </si>
  <si>
    <t>-49.274076</t>
  </si>
  <si>
    <t>ET Praça Rui Barbosa &gt; Pinheirinho &gt; Desembarque</t>
  </si>
  <si>
    <t>-25.436226</t>
  </si>
  <si>
    <t>-49.273907</t>
  </si>
  <si>
    <t>ET Praça Rui Barbosa &gt; Pinheirinho 2</t>
  </si>
  <si>
    <t>-25.436127</t>
  </si>
  <si>
    <t>-49.274184</t>
  </si>
  <si>
    <t>PANE Terminal Capão da Imbuia &gt; Expresso &gt; Centro</t>
  </si>
  <si>
    <t>-25.439991</t>
  </si>
  <si>
    <t>-49.221603</t>
  </si>
  <si>
    <t>ET Praça Rui Barbosa &gt; Pinheirinho &gt; Catraca</t>
  </si>
  <si>
    <t>-25.436110</t>
  </si>
  <si>
    <t>-49.274260</t>
  </si>
  <si>
    <t>ET Praça Rui Barbosa &gt; Pinheirinho &gt; Desembarque 2</t>
  </si>
  <si>
    <t>-25.436253</t>
  </si>
  <si>
    <t>-49.273783</t>
  </si>
  <si>
    <t>ET Praça Rui Barbosa &gt; Pinheirinho &gt; Catraca 2</t>
  </si>
  <si>
    <t>-25.436155</t>
  </si>
  <si>
    <t>-49.274053</t>
  </si>
  <si>
    <t>ET Praça Rui Barbosa &gt; Pinheirinho &gt; Catraca 3</t>
  </si>
  <si>
    <t>-25.436106</t>
  </si>
  <si>
    <t>-49.274140</t>
  </si>
  <si>
    <t>Camera29</t>
  </si>
  <si>
    <t>ET Praça Rui Barbosa &gt; Pinheirinho &gt; Catraca 4</t>
  </si>
  <si>
    <t>-25.436130</t>
  </si>
  <si>
    <t>-49.274049</t>
  </si>
  <si>
    <t>Camera30</t>
  </si>
  <si>
    <t>ET Praça Rui Barbosa &gt; Centenario &gt; Catraca</t>
  </si>
  <si>
    <t>-25.436005</t>
  </si>
  <si>
    <t>-49.274862</t>
  </si>
  <si>
    <t>Camera31</t>
  </si>
  <si>
    <t>ET João Vianna Seiler &gt; Bairro Parolin</t>
  </si>
  <si>
    <t>-25.455458</t>
  </si>
  <si>
    <t>-49.260067</t>
  </si>
  <si>
    <t>Camera32</t>
  </si>
  <si>
    <t>PANE ET Getulio vargas &gt; Bairro</t>
  </si>
  <si>
    <t>-25.444699</t>
  </si>
  <si>
    <t>-49.265302</t>
  </si>
  <si>
    <t>Camera33</t>
  </si>
  <si>
    <t>ET TRE &gt; Bairro</t>
  </si>
  <si>
    <t>-25.459171</t>
  </si>
  <si>
    <t>-49.258253</t>
  </si>
  <si>
    <t>Camera34</t>
  </si>
  <si>
    <t>ET Eufrasio Correia &gt; Norte 1</t>
  </si>
  <si>
    <t>-25.437613</t>
  </si>
  <si>
    <t>-49.266786</t>
  </si>
  <si>
    <t>Camera35</t>
  </si>
  <si>
    <t>PANE ET Alm. Gonçalves &gt; Bairro</t>
  </si>
  <si>
    <t>-25.448526</t>
  </si>
  <si>
    <t>-49.263422</t>
  </si>
  <si>
    <t>Camera36</t>
  </si>
  <si>
    <t>ET Conselheiro Dantas &gt; Bairro Parolin</t>
  </si>
  <si>
    <t>-25.452492</t>
  </si>
  <si>
    <t>-49.261524</t>
  </si>
  <si>
    <t>Camera37</t>
  </si>
  <si>
    <t>ET Getulio vargas &gt; Centro</t>
  </si>
  <si>
    <t>-25.443603</t>
  </si>
  <si>
    <t>-49.265709</t>
  </si>
  <si>
    <t>Camera38</t>
  </si>
  <si>
    <t>ET Alm. Gonçalves &gt; Centro</t>
  </si>
  <si>
    <t>-25.447471</t>
  </si>
  <si>
    <t>-49.263811</t>
  </si>
  <si>
    <t>Camera40</t>
  </si>
  <si>
    <t>ET Mariano Torres &gt; C. Comprido</t>
  </si>
  <si>
    <t>-25.435646</t>
  </si>
  <si>
    <t>-49.260779</t>
  </si>
  <si>
    <t>Camera41</t>
  </si>
  <si>
    <t>Terminal Campina do Siqueira &gt; Inter II &gt; horario</t>
  </si>
  <si>
    <t>-25.436238</t>
  </si>
  <si>
    <t>-49.307512</t>
  </si>
  <si>
    <t>Camera42</t>
  </si>
  <si>
    <t>Terminal Campina do Siqueira &gt; Pinhais &gt; Pinhais</t>
  </si>
  <si>
    <t>-49.307206</t>
  </si>
  <si>
    <t>Camera43</t>
  </si>
  <si>
    <t>Terminal Capão da Imbuia &gt; Inter II &gt; A. Horario</t>
  </si>
  <si>
    <t>-25.439707</t>
  </si>
  <si>
    <t>-49.222075</t>
  </si>
  <si>
    <t>Camera44</t>
  </si>
  <si>
    <t>-25.435752</t>
  </si>
  <si>
    <t>-49.307346</t>
  </si>
  <si>
    <t>Camera45</t>
  </si>
  <si>
    <t>Terminal Campina do Siqueira &gt; Interbairros II A. Horario</t>
  </si>
  <si>
    <t>-25.436084</t>
  </si>
  <si>
    <t>-49.307889</t>
  </si>
  <si>
    <t>Camera46</t>
  </si>
  <si>
    <t>Terminal Hauer &gt; Expresso &gt; Centro 2</t>
  </si>
  <si>
    <t>-25.481980</t>
  </si>
  <si>
    <t>-49.246868</t>
  </si>
  <si>
    <t>Camera47</t>
  </si>
  <si>
    <t>Terminal Campina do Siqueira &gt; Interbairros II &gt; Horario</t>
  </si>
  <si>
    <t>-25.435835</t>
  </si>
  <si>
    <t>-49.306843</t>
  </si>
  <si>
    <t>Camera48</t>
  </si>
  <si>
    <t>Terminal Campina do Siqueira &gt;Expresso &gt; Bairro</t>
  </si>
  <si>
    <t>-49.307544</t>
  </si>
  <si>
    <t>Camera49</t>
  </si>
  <si>
    <t>Terminal Campina do Siqueira &gt; Inter II &gt; A. horario</t>
  </si>
  <si>
    <t>-25.435738</t>
  </si>
  <si>
    <t>-49.307338</t>
  </si>
  <si>
    <t>Camera50</t>
  </si>
  <si>
    <t>Terminal Campina do Siqueira &gt; Campo Largo &gt; C. Largo</t>
  </si>
  <si>
    <t>-25.435639</t>
  </si>
  <si>
    <t>-49.307035</t>
  </si>
  <si>
    <t>Camera51</t>
  </si>
  <si>
    <t>Terminal Campina do Siqueira &gt;Expresso &gt; Centro</t>
  </si>
  <si>
    <t>-25.435774</t>
  </si>
  <si>
    <t>-49.307029</t>
  </si>
  <si>
    <t>Camera52</t>
  </si>
  <si>
    <t>Terminal Campina do Siqueira &gt; Campo Largo &gt; COHAB</t>
  </si>
  <si>
    <t>-25.436009</t>
  </si>
  <si>
    <t>-49.306875</t>
  </si>
  <si>
    <t>Camera53</t>
  </si>
  <si>
    <t>Terminal Capão da Imbuia &gt; Interbairros II &gt; A. Horario</t>
  </si>
  <si>
    <t>-25.439694</t>
  </si>
  <si>
    <t>-49.222263</t>
  </si>
  <si>
    <t>Camera54</t>
  </si>
  <si>
    <t>Terminal Hauer &gt; ET Inter II &gt; C. Imbuia</t>
  </si>
  <si>
    <t>-25.481477</t>
  </si>
  <si>
    <t>-49.246846</t>
  </si>
  <si>
    <t>Camera55</t>
  </si>
  <si>
    <t>ET Praça Rui Barbosa &gt;Centenario &gt; C. Comprido&gt; Catraca</t>
  </si>
  <si>
    <t>-25.435600</t>
  </si>
  <si>
    <t>-49.274345</t>
  </si>
  <si>
    <t>Camera56</t>
  </si>
  <si>
    <t>ET Praça Rui Barbosa &gt;Centenario &gt; C. Comprido</t>
  </si>
  <si>
    <t>-25.435658</t>
  </si>
  <si>
    <t>-49.274386</t>
  </si>
  <si>
    <t>Camera57</t>
  </si>
  <si>
    <t>PANE Terminal Capão da Imbuia &gt; Inter II &gt; Hauer</t>
  </si>
  <si>
    <t>-25.439788</t>
  </si>
  <si>
    <t>-49.222333</t>
  </si>
  <si>
    <t>Camera58</t>
  </si>
  <si>
    <t>ET Praça Rui Barbosa &gt;Centenario &gt; C. Comprido&gt; Catraca 2</t>
  </si>
  <si>
    <t>-25.435699</t>
  </si>
  <si>
    <t>-49.274479</t>
  </si>
  <si>
    <t>Camera59</t>
  </si>
  <si>
    <t>ET Praça Rui Barbosa &gt;Centenario &gt; C. Comprido 2</t>
  </si>
  <si>
    <t>-25.435661</t>
  </si>
  <si>
    <t>Camera62</t>
  </si>
  <si>
    <t>ET Eufrasio Correia &gt; Leste 1</t>
  </si>
  <si>
    <t>-25.437726</t>
  </si>
  <si>
    <t>-49.266840</t>
  </si>
  <si>
    <t>Camera63</t>
  </si>
  <si>
    <t>ET Eufrasio Correia &gt; Norte 2</t>
  </si>
  <si>
    <t>-25.437531</t>
  </si>
  <si>
    <t>-49.266578</t>
  </si>
  <si>
    <t>Camera89</t>
  </si>
  <si>
    <t>ET Carlos Gomes &gt; Pineirinho portas</t>
  </si>
  <si>
    <t>-25.434047</t>
  </si>
  <si>
    <t>-49.269153</t>
  </si>
  <si>
    <t>TE023CFTV01</t>
  </si>
  <si>
    <t>TERM. GUDALUPE C1</t>
  </si>
  <si>
    <t>TE023CFTV02</t>
  </si>
  <si>
    <t>TERM. GUDALUPE C2</t>
  </si>
  <si>
    <t>TE023CFTV03</t>
  </si>
  <si>
    <t>TERM. GUDALUPE C3</t>
  </si>
  <si>
    <t>TE023CFTV04</t>
  </si>
  <si>
    <t>TERM. GUDALUPE C4</t>
  </si>
  <si>
    <t>TE023CFTV05</t>
  </si>
  <si>
    <t>TERM. GUDALUPE C5</t>
  </si>
  <si>
    <t>TE023CFTV06</t>
  </si>
  <si>
    <t>TERM. GUDALUPE C6</t>
  </si>
  <si>
    <t>TE023CFTV07</t>
  </si>
  <si>
    <t>TERM. GUDALUPE C7</t>
  </si>
  <si>
    <t>GUARATUBA</t>
  </si>
  <si>
    <t>https://monitoramento.pm.pr.gov.br/proxy_image_6/</t>
  </si>
  <si>
    <t>C.001</t>
  </si>
  <si>
    <t>SPD - Av. Atlântica x R.Alois Cicatka (Ponta Caleiras)</t>
  </si>
  <si>
    <t>-25.872658</t>
  </si>
  <si>
    <t>-48.564636</t>
  </si>
  <si>
    <t>Siscop1234</t>
  </si>
  <si>
    <t>C.002</t>
  </si>
  <si>
    <t>Av. Atlântica x R.Alois Cicatka (Ponta Caleiras)</t>
  </si>
  <si>
    <t>-48.564629</t>
  </si>
  <si>
    <t>C.003</t>
  </si>
  <si>
    <t>Saguao da Prefeitura Sede Nova</t>
  </si>
  <si>
    <t>-25.876272</t>
  </si>
  <si>
    <t>-48.575081</t>
  </si>
  <si>
    <t>C.004</t>
  </si>
  <si>
    <t>SPD - Av. 29 de Abril x Av. Curitiba</t>
  </si>
  <si>
    <t>-25.881739</t>
  </si>
  <si>
    <t>-48.568729</t>
  </si>
  <si>
    <t>C.005</t>
  </si>
  <si>
    <t>Av. 29 de Abril x Av. Curitiba</t>
  </si>
  <si>
    <t>-25.881800</t>
  </si>
  <si>
    <t>-48.568718</t>
  </si>
  <si>
    <t>C.006</t>
  </si>
  <si>
    <t>-25.881729</t>
  </si>
  <si>
    <t>-48.568722</t>
  </si>
  <si>
    <t>C.007</t>
  </si>
  <si>
    <t>SPD - Av. Atlântica - Morro do Cristo</t>
  </si>
  <si>
    <t>-25.889862</t>
  </si>
  <si>
    <t>-48.563019</t>
  </si>
  <si>
    <t>C.008</t>
  </si>
  <si>
    <t>Av. Atlântica - Morro do Cristo</t>
  </si>
  <si>
    <t>-25.889889</t>
  </si>
  <si>
    <t>-48.563068</t>
  </si>
  <si>
    <t>C.009</t>
  </si>
  <si>
    <t>PR 412 - Rodovia Máximo Jamur</t>
  </si>
  <si>
    <t>-25.950075</t>
  </si>
  <si>
    <t>-48.621109</t>
  </si>
  <si>
    <t>C.010</t>
  </si>
  <si>
    <t>SPD - Centro Poliesportivo (Guarita)</t>
  </si>
  <si>
    <t>-25.880312</t>
  </si>
  <si>
    <t>-48.592670</t>
  </si>
  <si>
    <t>C.011</t>
  </si>
  <si>
    <t>Av. Brejatuba x R. Jacarezinho (Praia dos Paraguaios)</t>
  </si>
  <si>
    <t>-25.893213</t>
  </si>
  <si>
    <t>-48.563290</t>
  </si>
  <si>
    <t>C.012</t>
  </si>
  <si>
    <t>SPD - Av. Brejatuba x R. Jacarezinho (Praia dos Paraguaios)</t>
  </si>
  <si>
    <t>-25.893202</t>
  </si>
  <si>
    <t>-48.563301</t>
  </si>
  <si>
    <t>C.013</t>
  </si>
  <si>
    <t>SPD - Rotatória Coroados</t>
  </si>
  <si>
    <t>-25.947420</t>
  </si>
  <si>
    <t>-48.596344</t>
  </si>
  <si>
    <t>C.014</t>
  </si>
  <si>
    <t>Rotatória Coroados</t>
  </si>
  <si>
    <t>-25.947409</t>
  </si>
  <si>
    <t>-48.596321</t>
  </si>
  <si>
    <t>C.015</t>
  </si>
  <si>
    <t>Xavier da Silxa x 29 de Abril (sent. centro)</t>
  </si>
  <si>
    <t>-25.879892</t>
  </si>
  <si>
    <t>-48.570248</t>
  </si>
  <si>
    <t>C.016</t>
  </si>
  <si>
    <t>Rotatória Coroados - Sentido Centro</t>
  </si>
  <si>
    <t>C.017</t>
  </si>
  <si>
    <t>SPD - Av. 29 de Abril x José Nicolau Abagge</t>
  </si>
  <si>
    <t>-25.877350</t>
  </si>
  <si>
    <t>-48.572762</t>
  </si>
  <si>
    <t>C.018</t>
  </si>
  <si>
    <t>Av. 29 de Abril x José Nicolau Abagge</t>
  </si>
  <si>
    <t>-25.877348</t>
  </si>
  <si>
    <t>-48.572758</t>
  </si>
  <si>
    <t>C.019</t>
  </si>
  <si>
    <t>-25.877357</t>
  </si>
  <si>
    <t>C.020</t>
  </si>
  <si>
    <t>-25.877413</t>
  </si>
  <si>
    <t>-48.572788</t>
  </si>
  <si>
    <t>C.021</t>
  </si>
  <si>
    <t>SPD - R. Cel. Afonso B de Souza x Tv. Dr Luis Sobrinho (Praça dos Namorados)</t>
  </si>
  <si>
    <t>-25.872929</t>
  </si>
  <si>
    <t>-48.576691</t>
  </si>
  <si>
    <t>C.022</t>
  </si>
  <si>
    <t>R. Cel. Afonso B de Souza x Tv. Dr Luis Sobrinho (Praça dos Namorados)</t>
  </si>
  <si>
    <t>-25.872923</t>
  </si>
  <si>
    <t>C.023</t>
  </si>
  <si>
    <t>C.024</t>
  </si>
  <si>
    <t>SPD - Av. Damião Botelho x R. Menelau A. Torres (Rodoviária)</t>
  </si>
  <si>
    <t>-25.877256</t>
  </si>
  <si>
    <t>-48.585129</t>
  </si>
  <si>
    <t>C.025</t>
  </si>
  <si>
    <t>Av. Damião Botelho x R. Menelau A. Torres (Rodoviária)</t>
  </si>
  <si>
    <t>-25.877258</t>
  </si>
  <si>
    <t>-48.585117</t>
  </si>
  <si>
    <t>C.026</t>
  </si>
  <si>
    <t>-48.585125</t>
  </si>
  <si>
    <t>C.027</t>
  </si>
  <si>
    <t>SPD - Av. Damião Botelho x Av. Patriarca (Curva do Melodia)</t>
  </si>
  <si>
    <t>-25.878042</t>
  </si>
  <si>
    <t>-48.592651</t>
  </si>
  <si>
    <t>C.028</t>
  </si>
  <si>
    <t>Av. Damião Botelho x Av. Patriarca (Curva do Melodia)</t>
  </si>
  <si>
    <t>-25.878033</t>
  </si>
  <si>
    <t>-48.592648</t>
  </si>
  <si>
    <t>C.029</t>
  </si>
  <si>
    <t>-25.878025</t>
  </si>
  <si>
    <t>C.030</t>
  </si>
  <si>
    <t>SPD - R. Amaro F. Vieira x Av. Tiradentes (Escola do Mirim)</t>
  </si>
  <si>
    <t>-25.879061</t>
  </si>
  <si>
    <t>-48.618736</t>
  </si>
  <si>
    <t>C.031</t>
  </si>
  <si>
    <t>SPD - Rotatória Cohapar</t>
  </si>
  <si>
    <t>-25.884724</t>
  </si>
  <si>
    <t>-48.584816</t>
  </si>
  <si>
    <t>C.032</t>
  </si>
  <si>
    <t>Rotatória Cohapar</t>
  </si>
  <si>
    <t>-25.884716</t>
  </si>
  <si>
    <t>-48.584827</t>
  </si>
  <si>
    <t>C.033</t>
  </si>
  <si>
    <t>-48.584824</t>
  </si>
  <si>
    <t>C.034</t>
  </si>
  <si>
    <t>SPD - Av. 29 de Abril x Rua Vieira dos Santos</t>
  </si>
  <si>
    <t>-25.874269</t>
  </si>
  <si>
    <t>-48.575180</t>
  </si>
  <si>
    <t>C.035</t>
  </si>
  <si>
    <t>Av. 29 de Abril x Rua Vieira dos Santos</t>
  </si>
  <si>
    <t>-25.874275</t>
  </si>
  <si>
    <t>C.036</t>
  </si>
  <si>
    <t>-25.874256</t>
  </si>
  <si>
    <t>-48.575191</t>
  </si>
  <si>
    <t>C.037</t>
  </si>
  <si>
    <t>SPD - Av. 29 de Abril x R. Carlos Cavalcanti</t>
  </si>
  <si>
    <t>-25.875837</t>
  </si>
  <si>
    <t>-48.573860</t>
  </si>
  <si>
    <t>C.038</t>
  </si>
  <si>
    <t>Av. 29 de Abril x R. Carlos Cavalcanti</t>
  </si>
  <si>
    <t>-25.875843</t>
  </si>
  <si>
    <t>-48.573849</t>
  </si>
  <si>
    <t>C.039</t>
  </si>
  <si>
    <t>-25.875853</t>
  </si>
  <si>
    <t>-48.573833</t>
  </si>
  <si>
    <t>C.040</t>
  </si>
  <si>
    <t>-25.875839</t>
  </si>
  <si>
    <t>C.041</t>
  </si>
  <si>
    <t>SPD - Praça Central</t>
  </si>
  <si>
    <t>-25.873096</t>
  </si>
  <si>
    <t>-48.575878</t>
  </si>
  <si>
    <t>C.042</t>
  </si>
  <si>
    <t>SPD - Av. Atlantica x R. Valdomiro Pedroso (Praça da Bíblia)</t>
  </si>
  <si>
    <t>-25.886829</t>
  </si>
  <si>
    <t>-48.568180</t>
  </si>
  <si>
    <t>C.043</t>
  </si>
  <si>
    <t>Poste Poliesportivo (Pista Skate)</t>
  </si>
  <si>
    <t>-25.880310</t>
  </si>
  <si>
    <t>-48.592655</t>
  </si>
  <si>
    <t>C.044</t>
  </si>
  <si>
    <t>SPD - R. José Nicolau Abagge x R. Alexandre Correa (Ginásio José Richa)</t>
  </si>
  <si>
    <t>-25.883526</t>
  </si>
  <si>
    <t>-48.581696</t>
  </si>
  <si>
    <t>C.045</t>
  </si>
  <si>
    <t>SPD - Av. Ponta Grossa x R. Vieira dos Santos (Vovó Inês)</t>
  </si>
  <si>
    <t>-25.875526</t>
  </si>
  <si>
    <t>-48.576920</t>
  </si>
  <si>
    <t>C.046</t>
  </si>
  <si>
    <t>Av. Ponta Grossa x R. Vieira dos Santos (Vovó Inês)</t>
  </si>
  <si>
    <t>-25.875523</t>
  </si>
  <si>
    <t>-48.576923</t>
  </si>
  <si>
    <t>C.047</t>
  </si>
  <si>
    <t>SPD - R. Randolfo Bastos x R. Paulo Saporski Filho (Garagem)</t>
  </si>
  <si>
    <t>-25.887079</t>
  </si>
  <si>
    <t>-48.589733</t>
  </si>
  <si>
    <t>C.048</t>
  </si>
  <si>
    <t>SPD - Rotatória Av. Paraná</t>
  </si>
  <si>
    <t>-25.884420</t>
  </si>
  <si>
    <t>-48.576374</t>
  </si>
  <si>
    <t>C.049</t>
  </si>
  <si>
    <t>Rotatória Av. Paraná</t>
  </si>
  <si>
    <t>-25.884428</t>
  </si>
  <si>
    <t>-48.576378</t>
  </si>
  <si>
    <t>C.050</t>
  </si>
  <si>
    <t>SPD - Escola Heinz Wittitz</t>
  </si>
  <si>
    <t>-25.881599</t>
  </si>
  <si>
    <t>-48.588455</t>
  </si>
  <si>
    <t>C.051</t>
  </si>
  <si>
    <t>R. Joinville x R. Alm. Tamandaré (Hainz)</t>
  </si>
  <si>
    <t>-48.588459</t>
  </si>
  <si>
    <t>C.052</t>
  </si>
  <si>
    <t>-25.874268</t>
  </si>
  <si>
    <t>-48.575184</t>
  </si>
  <si>
    <t>C.053</t>
  </si>
  <si>
    <t>R. José Nicolau Abage (Praça da Paz)</t>
  </si>
  <si>
    <t>-25.883553</t>
  </si>
  <si>
    <t>-48.581722</t>
  </si>
  <si>
    <t>C.054</t>
  </si>
  <si>
    <t>Terminal embarque esquerdo</t>
  </si>
  <si>
    <t>-25.866325</t>
  </si>
  <si>
    <t>-48.571152</t>
  </si>
  <si>
    <t>C.055</t>
  </si>
  <si>
    <t>Terminal embarque direito</t>
  </si>
  <si>
    <t>-25.866117</t>
  </si>
  <si>
    <t>-48.570217</t>
  </si>
  <si>
    <t>C.056</t>
  </si>
  <si>
    <t>Aeródromo Municipal 01</t>
  </si>
  <si>
    <t>-25.875885</t>
  </si>
  <si>
    <t>-48.610535</t>
  </si>
  <si>
    <t>C.057</t>
  </si>
  <si>
    <t>Aeródromo Municipal 02</t>
  </si>
  <si>
    <t>-25.875902</t>
  </si>
  <si>
    <t>-48.610538</t>
  </si>
  <si>
    <t>C.058</t>
  </si>
  <si>
    <t>SPD - Complexo Poliesportivo - Av. Mafra</t>
  </si>
  <si>
    <t>-48.592033</t>
  </si>
  <si>
    <t>C.059</t>
  </si>
  <si>
    <t>SPD - Av. Minas Gerais - Coroados</t>
  </si>
  <si>
    <t>-25.962029</t>
  </si>
  <si>
    <t>-48.601006</t>
  </si>
  <si>
    <t>C.060</t>
  </si>
  <si>
    <t>Av. Minas Gerais - Coroados</t>
  </si>
  <si>
    <t>-25.962019</t>
  </si>
  <si>
    <t>-48.600998</t>
  </si>
  <si>
    <t>C.061</t>
  </si>
  <si>
    <t>SPD - Pavilhao Centro de Eventos</t>
  </si>
  <si>
    <t>-25.874475</t>
  </si>
  <si>
    <t>C.062</t>
  </si>
  <si>
    <t>SPD - Claudino x Paraná</t>
  </si>
  <si>
    <t>-25.888573</t>
  </si>
  <si>
    <t>-48.576897</t>
  </si>
  <si>
    <t>C.063</t>
  </si>
  <si>
    <t>Claudino x Paraná</t>
  </si>
  <si>
    <t>-25.888584</t>
  </si>
  <si>
    <t>-48.576878</t>
  </si>
  <si>
    <t>C.064</t>
  </si>
  <si>
    <t>Base SAMU - Bombeiros</t>
  </si>
  <si>
    <t>-25.873320</t>
  </si>
  <si>
    <t>-48.567909</t>
  </si>
  <si>
    <t>C.065</t>
  </si>
  <si>
    <t>Av. 29 de Abril x Xavier da Silva (cruzamento)</t>
  </si>
  <si>
    <t>-25.879894</t>
  </si>
  <si>
    <t>-48.570259</t>
  </si>
  <si>
    <t>C.066</t>
  </si>
  <si>
    <t>Praia de Caieiras 01</t>
  </si>
  <si>
    <t>-25.863518</t>
  </si>
  <si>
    <t>-48.566238</t>
  </si>
  <si>
    <t>C.067</t>
  </si>
  <si>
    <t>Praia de Caieiras 02</t>
  </si>
  <si>
    <t>-25.863562</t>
  </si>
  <si>
    <t>-48.566231</t>
  </si>
  <si>
    <t>C.068</t>
  </si>
  <si>
    <t>Cruzamento - SAMU</t>
  </si>
  <si>
    <t>-25.873302</t>
  </si>
  <si>
    <t>-48.567913</t>
  </si>
  <si>
    <t>C.069</t>
  </si>
  <si>
    <t>SPD - Praça dos Namorados</t>
  </si>
  <si>
    <t>-25.873310</t>
  </si>
  <si>
    <t>-48.577427</t>
  </si>
  <si>
    <t>C.070</t>
  </si>
  <si>
    <t>Praça Central 01</t>
  </si>
  <si>
    <t>-25.873089</t>
  </si>
  <si>
    <t>-48.575871</t>
  </si>
  <si>
    <t>C.071</t>
  </si>
  <si>
    <t>Praça Central 02</t>
  </si>
  <si>
    <t>-25.873087</t>
  </si>
  <si>
    <t>-48.575874</t>
  </si>
  <si>
    <t>C.072</t>
  </si>
  <si>
    <t>SPD - Antiga cooperativa de pescados - Piçarras</t>
  </si>
  <si>
    <t>-25.873957</t>
  </si>
  <si>
    <t>-48.604847</t>
  </si>
  <si>
    <t>C.073</t>
  </si>
  <si>
    <t>CAIA - Rua Tocantins</t>
  </si>
  <si>
    <t>-25.879765</t>
  </si>
  <si>
    <t>-48.591187</t>
  </si>
  <si>
    <t>C.074</t>
  </si>
  <si>
    <t>CAIA - Rua Ilha das Garças</t>
  </si>
  <si>
    <t>C.075</t>
  </si>
  <si>
    <t>BES - Av. 29 de Abril - Saguao</t>
  </si>
  <si>
    <t>-25.878614</t>
  </si>
  <si>
    <t>-48.571743</t>
  </si>
  <si>
    <t>C.076</t>
  </si>
  <si>
    <t>BES - Av. 29 de Abril - Cruzamento</t>
  </si>
  <si>
    <t>C.077</t>
  </si>
  <si>
    <t>Cruzamento Rua Gabriel de Lara x Santos Dumont</t>
  </si>
  <si>
    <t>-25.887098</t>
  </si>
  <si>
    <t>-48.572754</t>
  </si>
  <si>
    <t>C.078</t>
  </si>
  <si>
    <t>CMAE - Rua Carlos Mafra - Cohapar</t>
  </si>
  <si>
    <t>-25.882954</t>
  </si>
  <si>
    <t>-48.585819</t>
  </si>
  <si>
    <t>C.079</t>
  </si>
  <si>
    <t>CMEI - Saguão - Amor e Carinho - Coroados - Rua dos Navegantes</t>
  </si>
  <si>
    <t>-25.947800</t>
  </si>
  <si>
    <t>-48.593781</t>
  </si>
  <si>
    <t>C.080</t>
  </si>
  <si>
    <t>Antiga Cooperativa - Av. Damião Botelho - Piçarras</t>
  </si>
  <si>
    <t>-25.873924</t>
  </si>
  <si>
    <t>-48.604836</t>
  </si>
  <si>
    <t>C.081</t>
  </si>
  <si>
    <t>Saguão CRAS - R. José Nicolau Abagge, 1330 - Cohapar</t>
  </si>
  <si>
    <t>-25.884033</t>
  </si>
  <si>
    <t>-48.582718</t>
  </si>
  <si>
    <t>C.082</t>
  </si>
  <si>
    <t>Recepção CREAS - R. José Nicolau Abagge, 1330 - Cohapar</t>
  </si>
  <si>
    <t>-25.886595</t>
  </si>
  <si>
    <t>-48.570126</t>
  </si>
  <si>
    <t>C.083</t>
  </si>
  <si>
    <t>Tv. Dr. Waldomiro Pedroso, 49 - Sentido Praia</t>
  </si>
  <si>
    <t>C.084</t>
  </si>
  <si>
    <t>Recepção Epidemiologia</t>
  </si>
  <si>
    <t>-25.874218</t>
  </si>
  <si>
    <t>-48.567894</t>
  </si>
  <si>
    <t>C.085</t>
  </si>
  <si>
    <t>Cruzamento Rua Antonio Rocha x João Prosdócimo (Centro de Eventos)</t>
  </si>
  <si>
    <t>-25.874407</t>
  </si>
  <si>
    <t>-48.568089</t>
  </si>
  <si>
    <t>C.086</t>
  </si>
  <si>
    <t>Av. Mafra x Rua Joinville (Cohapar) - Escola Heinz Wittitz</t>
  </si>
  <si>
    <t>-25.880850</t>
  </si>
  <si>
    <t>-48.588589</t>
  </si>
  <si>
    <t>C.087</t>
  </si>
  <si>
    <t>Secretaria Escola Heinz Wittitz - Bairro Cohapar</t>
  </si>
  <si>
    <t>C.088</t>
  </si>
  <si>
    <t>Bomba abastecimento frota Pública - Rua Randolfo Bastos - Cohapar</t>
  </si>
  <si>
    <t>-25.886488</t>
  </si>
  <si>
    <t>-48.590427</t>
  </si>
  <si>
    <t>C.089</t>
  </si>
  <si>
    <t>Oficina Garagem Educação - Rua Octaviano Henrique Carvalho X Rua Marechal Deodoro</t>
  </si>
  <si>
    <t>-25.888838</t>
  </si>
  <si>
    <t>-48.591488</t>
  </si>
  <si>
    <t>C.090</t>
  </si>
  <si>
    <t>CMEI Samantha Oliveira - Av. Guaira x Av. Ipiranga</t>
  </si>
  <si>
    <t>-25.888691</t>
  </si>
  <si>
    <t>-48.591846</t>
  </si>
  <si>
    <t>C.091</t>
  </si>
  <si>
    <t>Cruzamento Av. Guaira x Av. Ipiranga (Carvoeiro)</t>
  </si>
  <si>
    <t>-25.888630</t>
  </si>
  <si>
    <t>-48.592068</t>
  </si>
  <si>
    <t>C.092</t>
  </si>
  <si>
    <t>Gruta da Santa - Rua Nossa Senhora de Lourdes</t>
  </si>
  <si>
    <t>-25.873945</t>
  </si>
  <si>
    <t>-48.570946</t>
  </si>
  <si>
    <t>C.093</t>
  </si>
  <si>
    <t>Colégio 29 de Abril Cívico Militar - Rua Nossa Senhora de Lourdes</t>
  </si>
  <si>
    <t>-25.874317</t>
  </si>
  <si>
    <t>-48.571007</t>
  </si>
  <si>
    <t>C.094</t>
  </si>
  <si>
    <t>Cruzamento Av. Randolfo Bastos x Av. Paranavaí - Piçarras</t>
  </si>
  <si>
    <t>-25.880222</t>
  </si>
  <si>
    <t>-48.592957</t>
  </si>
  <si>
    <t>C.095</t>
  </si>
  <si>
    <t>UBS Mirim - Saguão - Av. Rocha Pombo, 264 x Av. Guaratuba</t>
  </si>
  <si>
    <t>-25.879568</t>
  </si>
  <si>
    <t>-48.617569</t>
  </si>
  <si>
    <t>C.096</t>
  </si>
  <si>
    <t>Terminal Rodoviário - Pátio cadeiras</t>
  </si>
  <si>
    <t>-25.877375</t>
  </si>
  <si>
    <t>-48.584259</t>
  </si>
  <si>
    <t>C.097</t>
  </si>
  <si>
    <t>Terminal Rodoviário - Embarque ônibus</t>
  </si>
  <si>
    <t>C.098</t>
  </si>
  <si>
    <t>Terminal Rodoviário - Embarque ônibus sentido estacionamento</t>
  </si>
  <si>
    <t>C.099</t>
  </si>
  <si>
    <t>Terminal Rodoviário - Embarque taxis</t>
  </si>
  <si>
    <t>C.100</t>
  </si>
  <si>
    <t>Cruzamento Rua Dr. João Cândido x Av. Vieira dos Santos (Banco Itau)</t>
  </si>
  <si>
    <t>-25.874987</t>
  </si>
  <si>
    <t>-48.576019</t>
  </si>
  <si>
    <t>C.101</t>
  </si>
  <si>
    <t>Saguão Secretaria de Educação</t>
  </si>
  <si>
    <t>-25.874737</t>
  </si>
  <si>
    <t>-48.576069</t>
  </si>
  <si>
    <t>C.102</t>
  </si>
  <si>
    <t>Saguão Secretaria de Saúde</t>
  </si>
  <si>
    <t>-25.876234</t>
  </si>
  <si>
    <t>-48.576450</t>
  </si>
  <si>
    <t>C.103</t>
  </si>
  <si>
    <t>Cruzamento Av. Ponta Grossa x Rua Cel Carlos Mafra</t>
  </si>
  <si>
    <t>-25.876245</t>
  </si>
  <si>
    <t>-48.576172</t>
  </si>
  <si>
    <t>C.104</t>
  </si>
  <si>
    <t>Recepção Secretaria da Pesca</t>
  </si>
  <si>
    <t>-25.874832</t>
  </si>
  <si>
    <t>-48.568993</t>
  </si>
  <si>
    <t>C.105</t>
  </si>
  <si>
    <t>Centro de Eventos - Pavilhão 01 - Rua Antonio Rocha</t>
  </si>
  <si>
    <t>-25.874611</t>
  </si>
  <si>
    <t>-48.568630</t>
  </si>
  <si>
    <t>C.106</t>
  </si>
  <si>
    <t>Centro de Eventos - Pavilhão 02 - Rua Antonio Rocha</t>
  </si>
  <si>
    <t>-25.874594</t>
  </si>
  <si>
    <t>-48.568382</t>
  </si>
  <si>
    <t>C.107</t>
  </si>
  <si>
    <t>Quiosque Por do Sol - Baia de Guaratuba - Praça dos Namorados</t>
  </si>
  <si>
    <t>-25.872696</t>
  </si>
  <si>
    <t>-48.576397</t>
  </si>
  <si>
    <t>C.108</t>
  </si>
  <si>
    <t>Terminal Pesqueiro - Azzu - Sentido Praça Central</t>
  </si>
  <si>
    <t>-25.872679</t>
  </si>
  <si>
    <t>-48.576340</t>
  </si>
  <si>
    <t>C.109</t>
  </si>
  <si>
    <t>Terminal Pesqueiro - Embarque / Desembarque Pescarias</t>
  </si>
  <si>
    <t>-25.872526</t>
  </si>
  <si>
    <t>-48.576370</t>
  </si>
  <si>
    <t>C.110</t>
  </si>
  <si>
    <t>Terminal Pesqueiro - Comércios - Av. 29 de Abril - Praça dos Namorados</t>
  </si>
  <si>
    <t>-25.872948</t>
  </si>
  <si>
    <t>-48.576458</t>
  </si>
  <si>
    <t>C.111</t>
  </si>
  <si>
    <t>UBS Coroados - Saguão Principal - R. Dos Navegantes, 115 - Balneário Coroados</t>
  </si>
  <si>
    <t>-25.947826</t>
  </si>
  <si>
    <t>-48.593395</t>
  </si>
  <si>
    <t>C.112</t>
  </si>
  <si>
    <t>CMEI Amor e Carinho - Entrada - R. Dos Navegantes, 105</t>
  </si>
  <si>
    <t>-25.947754</t>
  </si>
  <si>
    <t>-48.593616</t>
  </si>
  <si>
    <t>C.113</t>
  </si>
  <si>
    <t>UBS Figueira - Saguão Principal - R. João Leopoldo de Santana, 1070 - Brejatuba</t>
  </si>
  <si>
    <t>-25.898289</t>
  </si>
  <si>
    <t>-48.577354</t>
  </si>
  <si>
    <t>C.114</t>
  </si>
  <si>
    <t>R. João Leopoldo de Santana, 1070 - Brejatuba - Sentido Centro</t>
  </si>
  <si>
    <t>C.115</t>
  </si>
  <si>
    <t>R. João Leopoldo de Santana, 1070 - Brejatuba - Sentido Coroados</t>
  </si>
  <si>
    <t>C.116</t>
  </si>
  <si>
    <t>UBS Piçarras - Saguão de atendimento - Av. Água Verde, 722 - Picarras</t>
  </si>
  <si>
    <t>-25.878077</t>
  </si>
  <si>
    <t>-48.600681</t>
  </si>
  <si>
    <t>C.117</t>
  </si>
  <si>
    <t>Av. Água Verde, 722 - Picarras - Sentido Centro</t>
  </si>
  <si>
    <t>-25.877909</t>
  </si>
  <si>
    <t>-48.600704</t>
  </si>
  <si>
    <t>C.118</t>
  </si>
  <si>
    <t>Av. Água Verde, 722 - Picarras - Sentido Mirim</t>
  </si>
  <si>
    <t>-25.877949</t>
  </si>
  <si>
    <t>-48.600803</t>
  </si>
  <si>
    <t>C.119</t>
  </si>
  <si>
    <t>UBS Vila Capricho - Saguão - Av. Mal. Deodoro, 347</t>
  </si>
  <si>
    <t>-25.886972</t>
  </si>
  <si>
    <t>-48.591286</t>
  </si>
  <si>
    <t>C.120</t>
  </si>
  <si>
    <t>Av. Mal. Deodoro x Carlos Mafra - Cohapar II - UBS Vila Capricho</t>
  </si>
  <si>
    <t>-25.886990</t>
  </si>
  <si>
    <t>-48.591438</t>
  </si>
  <si>
    <t>C.121</t>
  </si>
  <si>
    <t>Av. Mal. Deodoro x Paulo Saporski - Cohapar II - UBS Vila Capricho</t>
  </si>
  <si>
    <t>C.122</t>
  </si>
  <si>
    <t>Procuradoria Fiscal - Arrecadação - Atendimento - R. José Nicolau Abagge, 1111</t>
  </si>
  <si>
    <t>-25.884354</t>
  </si>
  <si>
    <t>-48.582737</t>
  </si>
  <si>
    <t>C.123</t>
  </si>
  <si>
    <t>Procuradoria Fiscal - Arrecadação - Escadaria</t>
  </si>
  <si>
    <t>-25.884443</t>
  </si>
  <si>
    <t>-48.582550</t>
  </si>
  <si>
    <t>C.124</t>
  </si>
  <si>
    <t>R. José Nicolau Abagge - Procuradoria Fiscal - Sentido Carvoeiro</t>
  </si>
  <si>
    <t>-25.884415</t>
  </si>
  <si>
    <t>-48.582752</t>
  </si>
  <si>
    <t>C.125</t>
  </si>
  <si>
    <t>R. José Nicolau Abagge - Procuradoria Fiscal - Sentido Centro</t>
  </si>
  <si>
    <t>C.126</t>
  </si>
  <si>
    <t>Vestiário Poliesportivo - Av. Mafra, 321 - Picarras - Sentido Centro.</t>
  </si>
  <si>
    <t>-25.881435</t>
  </si>
  <si>
    <t>-48.590927</t>
  </si>
  <si>
    <t>C.127</t>
  </si>
  <si>
    <t>Quadra Sintético Poliesportivo - Av. Mafra, 321 - Picarras - Sentido Piçarras</t>
  </si>
  <si>
    <t>-25.881361</t>
  </si>
  <si>
    <t>-48.591221</t>
  </si>
  <si>
    <t>C.128</t>
  </si>
  <si>
    <t>Quadra Sintético Poliesportivo - Av. Mafra x Ilha das Garças - Piçarras</t>
  </si>
  <si>
    <t>-25.881536</t>
  </si>
  <si>
    <t>-48.591156</t>
  </si>
  <si>
    <t>C.129</t>
  </si>
  <si>
    <t>Quadra futebol de areia Poliesportivo - Av. Mafra</t>
  </si>
  <si>
    <t>-25.880888</t>
  </si>
  <si>
    <t>-48.590698</t>
  </si>
  <si>
    <t>C.130</t>
  </si>
  <si>
    <t>Vestiários Poliesportivo - Av. Mafra</t>
  </si>
  <si>
    <t>-25.881268</t>
  </si>
  <si>
    <t>-48.591000</t>
  </si>
  <si>
    <t>C.131</t>
  </si>
  <si>
    <t>Escola Olga Silveira - R. Otaviano Henrique de Carvalho, 2043 -Cohapar</t>
  </si>
  <si>
    <t>-25.884449</t>
  </si>
  <si>
    <t>-48.584133</t>
  </si>
  <si>
    <t>C.132</t>
  </si>
  <si>
    <t>Escola Olga Silveira - Salas - R. Otaviano Henrique de Carvalho, 2043 -Cohapar</t>
  </si>
  <si>
    <t>C.133</t>
  </si>
  <si>
    <t>Sec. Obras - Patio Garagem Municipal - R. Cel. Carlos Mafra, 1989</t>
  </si>
  <si>
    <t>-25.886789</t>
  </si>
  <si>
    <t>-48.590672</t>
  </si>
  <si>
    <t>C.134</t>
  </si>
  <si>
    <t>Rua Octaviano Henrique de Carvalho sentido Centro - Escola Olga Silveira</t>
  </si>
  <si>
    <t>-25.884380</t>
  </si>
  <si>
    <t>-48.584324</t>
  </si>
  <si>
    <t>C.135</t>
  </si>
  <si>
    <t>Rua Octaviano Henrique de Carvalho sentido Carvoeiro - Escola Olga Silveira</t>
  </si>
  <si>
    <t>C.136</t>
  </si>
  <si>
    <t>Mercado Municipal - Saguão Central - R. Newton de Souza</t>
  </si>
  <si>
    <t>-25.875832</t>
  </si>
  <si>
    <t>-48.584553</t>
  </si>
  <si>
    <t>C.137</t>
  </si>
  <si>
    <t>Mercado Municipal - Depósito de Pescados 01 - R. Newton de Souza</t>
  </si>
  <si>
    <t>C.138</t>
  </si>
  <si>
    <t>Mercado Municipal - Depósito de Pescados 02 - R. Newton de Souza</t>
  </si>
  <si>
    <t>C.139</t>
  </si>
  <si>
    <t>Mercado Municipal - Depósito de Pescados 03 - R. Newton de Souza</t>
  </si>
  <si>
    <t>C.140</t>
  </si>
  <si>
    <t>Mercado Municipal - Estacionamento - Sentido PMPR - R. Newton de Souza</t>
  </si>
  <si>
    <t>C.141</t>
  </si>
  <si>
    <t>Escola Máximo Jamur - Caieiras - Corredores Salas</t>
  </si>
  <si>
    <t>-25.866005</t>
  </si>
  <si>
    <t>-48.565044</t>
  </si>
  <si>
    <t>C.142</t>
  </si>
  <si>
    <t>Escola Máximo Jamur - Caieiras - Rua da Igreja Sentido Praia</t>
  </si>
  <si>
    <t>C.143</t>
  </si>
  <si>
    <t>Escola Máximo Jamur - Caieiras - Rua da Igreja Sentido Morro</t>
  </si>
  <si>
    <t>C.144</t>
  </si>
  <si>
    <t>Pronto Socorro Municipal - Saguão de atendimento - R. Guilherme Pequeno, 1179 - Cohapar</t>
  </si>
  <si>
    <t>-25.884386</t>
  </si>
  <si>
    <t>-48.579090</t>
  </si>
  <si>
    <t>C.145</t>
  </si>
  <si>
    <t>Pronto Socorro Municipal - Porta de entrada - R. Guilherme Pequeno, 1179 - Cohapar</t>
  </si>
  <si>
    <t>C.146</t>
  </si>
  <si>
    <t>Terminal Rodoviário - Sala de espera para embarque</t>
  </si>
  <si>
    <t>C.147</t>
  </si>
  <si>
    <t>Cruzamento Av. Guaratuba x Rocha Pombo - Bairro Mirim</t>
  </si>
  <si>
    <t>-25.879656</t>
  </si>
  <si>
    <t>-48.617287</t>
  </si>
  <si>
    <t>C.148</t>
  </si>
  <si>
    <t>Av. Guaratuba x Rocha Pombo - Bairro Mirim</t>
  </si>
  <si>
    <t>-25.879694</t>
  </si>
  <si>
    <t>-48.617401</t>
  </si>
  <si>
    <t>C.149</t>
  </si>
  <si>
    <t>R. Tocantins, 20 - Picarras- Centro, Acesso a Baia</t>
  </si>
  <si>
    <t>-25.875448</t>
  </si>
  <si>
    <t>-48.592426</t>
  </si>
  <si>
    <t>C.150</t>
  </si>
  <si>
    <t>R. Tocantins, 20 - Picarras - Centro, Acesso a Baia</t>
  </si>
  <si>
    <t>C.151</t>
  </si>
  <si>
    <t>R. Octaviano Henrique x Trav. Guaraci - Praça Carvoeiro</t>
  </si>
  <si>
    <t>-25.894321</t>
  </si>
  <si>
    <t>-48.597683</t>
  </si>
  <si>
    <t>C.152</t>
  </si>
  <si>
    <t>SPD - R. Octaviano Henrique x Trav. Guaraci - Praça Carvoeiro</t>
  </si>
  <si>
    <t>C.153</t>
  </si>
  <si>
    <t>Av. Octaviano Henrique de Carvalho x Sentido Centro</t>
  </si>
  <si>
    <t>-25.888887</t>
  </si>
  <si>
    <t>-48.590755</t>
  </si>
  <si>
    <t>C.154</t>
  </si>
  <si>
    <t>Av. Octaviano Henrique de Carvalho x Sentido Carvoeiro</t>
  </si>
  <si>
    <t>C.155</t>
  </si>
  <si>
    <t>Av. Octaviano Henrique de Carvalho x Sentido Av. Marechal Deodoro</t>
  </si>
  <si>
    <t>C.156</t>
  </si>
  <si>
    <t>Parquinho da Igreja de Caieiras</t>
  </si>
  <si>
    <t>-25.865808</t>
  </si>
  <si>
    <t>-48.564919</t>
  </si>
  <si>
    <t>C.157</t>
  </si>
  <si>
    <t>CAMPINA GRANDE DO SUL</t>
  </si>
  <si>
    <t>https://monitoramento.pm.pr.gov.br/proxy_image_7/</t>
  </si>
  <si>
    <t>P001_Cxt</t>
  </si>
  <si>
    <t>Ent. olhos D’agua</t>
  </si>
  <si>
    <t>-25.322374</t>
  </si>
  <si>
    <t>-49.077702</t>
  </si>
  <si>
    <t>P002_Cxt</t>
  </si>
  <si>
    <t>Araçatuba (Ana Ferreira)</t>
  </si>
  <si>
    <t>-25.333996</t>
  </si>
  <si>
    <t>-49.078571</t>
  </si>
  <si>
    <t>P003_Cxt</t>
  </si>
  <si>
    <t>Estrada colonia Japonesa</t>
  </si>
  <si>
    <t>-25.337990</t>
  </si>
  <si>
    <t>-49.078579</t>
  </si>
  <si>
    <t>P004_Cxt</t>
  </si>
  <si>
    <t>Rod. Caqui-Santa Rita (Posto Petrobras)</t>
  </si>
  <si>
    <t>-25.343405</t>
  </si>
  <si>
    <t>-49.084084</t>
  </si>
  <si>
    <t>P005_Cxt</t>
  </si>
  <si>
    <t>Santa Rosa (Pensão Toninho)</t>
  </si>
  <si>
    <t>-25.346409</t>
  </si>
  <si>
    <t>-49.083843</t>
  </si>
  <si>
    <t>P006.1_Cxt</t>
  </si>
  <si>
    <t>Av. Marcos G. Strapasson x Br116 Area Industrial</t>
  </si>
  <si>
    <t>-25.356106</t>
  </si>
  <si>
    <t>-49.069016</t>
  </si>
  <si>
    <t>P006.2_LPR</t>
  </si>
  <si>
    <t>Rua Marcos Nicolau Strapassoni, Campina Grande do Sul - PR</t>
  </si>
  <si>
    <t>-25.356131</t>
  </si>
  <si>
    <t>-49.069050</t>
  </si>
  <si>
    <t>P007.1_LPR</t>
  </si>
  <si>
    <t>Trevo sentido Hosp Caron</t>
  </si>
  <si>
    <t>-25.360474</t>
  </si>
  <si>
    <t>-49.082745</t>
  </si>
  <si>
    <t>P007.2_A_Cxt</t>
  </si>
  <si>
    <t>Rod Caqui Sentido Br116</t>
  </si>
  <si>
    <t>-25.358891</t>
  </si>
  <si>
    <t>-49.083260</t>
  </si>
  <si>
    <t>P007.2_B_LPR</t>
  </si>
  <si>
    <t>Rod. Pr 506 Rod Do Caqui, 135, próximo a Duílio Calderari, sentido BR 116, Campina Grande do Sul - PR</t>
  </si>
  <si>
    <t>-25.358683</t>
  </si>
  <si>
    <t>-49.083305</t>
  </si>
  <si>
    <t>P007.3_LPR</t>
  </si>
  <si>
    <t>R. Prof. Duílio Calderari, 183, sentido Rod Caqui - Jardim Paulista, Campina Grande do Sul - PR</t>
  </si>
  <si>
    <t>-25.360109</t>
  </si>
  <si>
    <t>-49.084068</t>
  </si>
  <si>
    <t>P007.4_Cxt</t>
  </si>
  <si>
    <t>Trevo de acesso BR 116</t>
  </si>
  <si>
    <t>-25.360582</t>
  </si>
  <si>
    <t>-49.082943</t>
  </si>
  <si>
    <t>P008.1_LPR</t>
  </si>
  <si>
    <t>R. Pedro Pasa, 272 - Jardim Paulista, Campina Grande do Sul - PR</t>
  </si>
  <si>
    <t>-25.365297</t>
  </si>
  <si>
    <t>-49.092731</t>
  </si>
  <si>
    <t>P008.2_Cxt</t>
  </si>
  <si>
    <t>Pedro Pasa x São João Batista</t>
  </si>
  <si>
    <t>-25.365318</t>
  </si>
  <si>
    <t>-49.093334</t>
  </si>
  <si>
    <t>P009.2_LPR</t>
  </si>
  <si>
    <t>Pedro Pasa (Churrascaria)</t>
  </si>
  <si>
    <t>-25.366217</t>
  </si>
  <si>
    <t>-49.098400</t>
  </si>
  <si>
    <t>P009_Cxt</t>
  </si>
  <si>
    <t>P010_A_Cxt</t>
  </si>
  <si>
    <t>Pedro Pasa (Trincheira)</t>
  </si>
  <si>
    <t>-25.367069</t>
  </si>
  <si>
    <t>-49.101311</t>
  </si>
  <si>
    <t>P010_B_LPR</t>
  </si>
  <si>
    <t>-25.367033</t>
  </si>
  <si>
    <t>P010_C_Cxt</t>
  </si>
  <si>
    <t>P011.2_LPR</t>
  </si>
  <si>
    <t>RuaPedro Pasa x Jose Sbalchiero</t>
  </si>
  <si>
    <t>-25.368536</t>
  </si>
  <si>
    <t>-49.113007</t>
  </si>
  <si>
    <t>P011_Cxt</t>
  </si>
  <si>
    <t>Pedro Pasa x Jose Sbalchiero</t>
  </si>
  <si>
    <t>-25.367102</t>
  </si>
  <si>
    <t>-49.103458</t>
  </si>
  <si>
    <t>P012.2_Cxt</t>
  </si>
  <si>
    <t>R. Pedro Pasa, 1696, Jardim Paulista, Campina Grande do Sul - PR</t>
  </si>
  <si>
    <t>-25.367857</t>
  </si>
  <si>
    <t>-49.107197</t>
  </si>
  <si>
    <t>P012_LPR</t>
  </si>
  <si>
    <t>P013.2_LPR</t>
  </si>
  <si>
    <t>Av Ver. Waldrido Maschio x Lourenço Bagio, Jardim Ipanema</t>
  </si>
  <si>
    <t>P013_Cxt</t>
  </si>
  <si>
    <t>P014.1_LPR</t>
  </si>
  <si>
    <t>Av. Annibale Ferrarini próx esq. c Rua Marcelino Zanon, São Cosme, Campina Grande do Sul - PR</t>
  </si>
  <si>
    <t>-25.360846</t>
  </si>
  <si>
    <t>-49.127159</t>
  </si>
  <si>
    <t>P014.2_Cxt</t>
  </si>
  <si>
    <t>Av. Annibale Ferrarini x Rua Marcelino Zanon, São Cosme</t>
  </si>
  <si>
    <t>-25.357078</t>
  </si>
  <si>
    <t>-49.117500</t>
  </si>
  <si>
    <t>P014.3_LPR</t>
  </si>
  <si>
    <t>P015_Cxt</t>
  </si>
  <si>
    <t>Anibale Ferrarini x Jacob Ceccon</t>
  </si>
  <si>
    <t>-25.352371</t>
  </si>
  <si>
    <t>-49.120708</t>
  </si>
  <si>
    <t>P016_Cxt</t>
  </si>
  <si>
    <t>Estrada do Corredor - EM Antonio Jose de Carvalho</t>
  </si>
  <si>
    <t>-25.351110</t>
  </si>
  <si>
    <t>-49.119019</t>
  </si>
  <si>
    <t>P017.2_LPR</t>
  </si>
  <si>
    <t>Rua Julio Luvisoto x Sebastião Leandro Rocha , Campina Grande do Sul - PR</t>
  </si>
  <si>
    <t>-25.347076</t>
  </si>
  <si>
    <t>-49.109921</t>
  </si>
  <si>
    <t>P017_Cxt</t>
  </si>
  <si>
    <t>Estrada do Corredor x Sebastião Leandro Rocha</t>
  </si>
  <si>
    <t>-25.347019</t>
  </si>
  <si>
    <t>-49.109871</t>
  </si>
  <si>
    <t>P018_Cxt</t>
  </si>
  <si>
    <t>R. Lucidio Florêncio Ribeiro x R. Antonio Collere - JD Água Doce (Praça CEU)</t>
  </si>
  <si>
    <t>-25.354397</t>
  </si>
  <si>
    <t>-49.110497</t>
  </si>
  <si>
    <t>P019_PTZ</t>
  </si>
  <si>
    <t>Rua Lucídio Florêncio Ribeiro, 411</t>
  </si>
  <si>
    <t>-25.356323</t>
  </si>
  <si>
    <t>-49.110306</t>
  </si>
  <si>
    <t>P020.1_Cxt</t>
  </si>
  <si>
    <t>Gin. Ricieri Bernardi (frente)</t>
  </si>
  <si>
    <t>-25.361906</t>
  </si>
  <si>
    <t>-49.104347</t>
  </si>
  <si>
    <t>P020.2_Cxt</t>
  </si>
  <si>
    <t>Gin. Ricieri Bernardi (Fundos)</t>
  </si>
  <si>
    <t>-25.361227</t>
  </si>
  <si>
    <t>-49.104210</t>
  </si>
  <si>
    <t>P020.3_Cxt</t>
  </si>
  <si>
    <t>Gin. Ricieri Bernardi</t>
  </si>
  <si>
    <t>P020.4_Cxt</t>
  </si>
  <si>
    <t>P020.5_Cxt</t>
  </si>
  <si>
    <t>P021_PTZ</t>
  </si>
  <si>
    <t>João Trevisan (terminal JP)</t>
  </si>
  <si>
    <t>-25.363197</t>
  </si>
  <si>
    <t>-49.101376</t>
  </si>
  <si>
    <t>P022.2_Cxt</t>
  </si>
  <si>
    <t>Duílio Calderari</t>
  </si>
  <si>
    <t>-25.364361</t>
  </si>
  <si>
    <t>-49.101810</t>
  </si>
  <si>
    <t>P022.3_Cxt</t>
  </si>
  <si>
    <t>P022_PTZ</t>
  </si>
  <si>
    <t>Duilio calderari x Leonardo Francisccheli</t>
  </si>
  <si>
    <t>-25.364355</t>
  </si>
  <si>
    <t>-49.101791</t>
  </si>
  <si>
    <t>P023.2_Cxt</t>
  </si>
  <si>
    <t>Rodovia do Caqui (caron)</t>
  </si>
  <si>
    <t>-25.315445</t>
  </si>
  <si>
    <t>-49.073868</t>
  </si>
  <si>
    <t>P023_PTZ</t>
  </si>
  <si>
    <t>Rod. Caqui (Caron)</t>
  </si>
  <si>
    <t>-25.351753</t>
  </si>
  <si>
    <t>-49.082840</t>
  </si>
  <si>
    <t>P024_A_Cxt</t>
  </si>
  <si>
    <t>Rod. Caqui entrada Roseira</t>
  </si>
  <si>
    <t>P024_B_LPR</t>
  </si>
  <si>
    <t>-25.315456</t>
  </si>
  <si>
    <t>-49.073849</t>
  </si>
  <si>
    <t>P025_Cxt</t>
  </si>
  <si>
    <t>Rod. Caqui Terminal Sede</t>
  </si>
  <si>
    <t>-25.305527</t>
  </si>
  <si>
    <t>-49.055786</t>
  </si>
  <si>
    <t>P026_A_Cxt</t>
  </si>
  <si>
    <t>João Candido (banco)</t>
  </si>
  <si>
    <t>-25.305689</t>
  </si>
  <si>
    <t>-49.054050</t>
  </si>
  <si>
    <t>P026_B_Cxt</t>
  </si>
  <si>
    <t>João Candido (Prefeitura)</t>
  </si>
  <si>
    <t>-25.305725</t>
  </si>
  <si>
    <t>-49.054043</t>
  </si>
  <si>
    <t>P026_C_Cxt</t>
  </si>
  <si>
    <t>João Candido (Procuradoria)</t>
  </si>
  <si>
    <t>-25.305704</t>
  </si>
  <si>
    <t>-49.054047</t>
  </si>
  <si>
    <t>P027_Cxt</t>
  </si>
  <si>
    <t>João Candido (Unidade Saúde)</t>
  </si>
  <si>
    <t>-25.312574</t>
  </si>
  <si>
    <t>-49.053143</t>
  </si>
  <si>
    <t>P028_Cxt</t>
  </si>
  <si>
    <t>Antonio M. Sobrinho (Arena)</t>
  </si>
  <si>
    <t>-25.303274</t>
  </si>
  <si>
    <t>-49.055241</t>
  </si>
  <si>
    <t>P029_A_Cxt</t>
  </si>
  <si>
    <t>Estr. Mandassaia (igreja)</t>
  </si>
  <si>
    <t>-25.283312</t>
  </si>
  <si>
    <t>-49.031765</t>
  </si>
  <si>
    <t>P029_B_LPR</t>
  </si>
  <si>
    <t>Estr. Mandaçaia (igreja)</t>
  </si>
  <si>
    <t>-25.283295</t>
  </si>
  <si>
    <t>-49.031788</t>
  </si>
  <si>
    <t>P030_A_Cxt</t>
  </si>
  <si>
    <t>Estr. Cupim x Estr. Mandassaia</t>
  </si>
  <si>
    <t>-25.310471</t>
  </si>
  <si>
    <t>-49.039310</t>
  </si>
  <si>
    <t>P030_B_LPR</t>
  </si>
  <si>
    <t>-25.310467</t>
  </si>
  <si>
    <t>-49.039295</t>
  </si>
  <si>
    <t>P030_C_LPR</t>
  </si>
  <si>
    <t>-25.310488</t>
  </si>
  <si>
    <t>P031_A_Cxt</t>
  </si>
  <si>
    <t>Taquari (Unidade de Saúde)</t>
  </si>
  <si>
    <t>-25.247101</t>
  </si>
  <si>
    <t>-48.937660</t>
  </si>
  <si>
    <t>P031_B_LPR</t>
  </si>
  <si>
    <t>-25.247259</t>
  </si>
  <si>
    <t>-48.937904</t>
  </si>
  <si>
    <t>P032.1_Cxt</t>
  </si>
  <si>
    <t>R. Wilson João Corleto, em frente a chácara do Levi Camargo - Campina Grande do Sul - PR</t>
  </si>
  <si>
    <t>-25.262907</t>
  </si>
  <si>
    <t>-48.935818</t>
  </si>
  <si>
    <t>P032.2_Cxt</t>
  </si>
  <si>
    <t>-25.263012</t>
  </si>
  <si>
    <t>-48.936275</t>
  </si>
  <si>
    <t>P033_A_Cxt</t>
  </si>
  <si>
    <t>R. João Fiorêncio dos Reis, 330-345 - Terra Boa, Campina Grande do Sul - PR</t>
  </si>
  <si>
    <t>-25.219599</t>
  </si>
  <si>
    <t>-48.902973</t>
  </si>
  <si>
    <t>P033_B_LPR</t>
  </si>
  <si>
    <t>-25.219603</t>
  </si>
  <si>
    <t>-48.902977</t>
  </si>
  <si>
    <t>P034.1_A_Cxt</t>
  </si>
  <si>
    <t>Barragem (US PedroCasemiro)</t>
  </si>
  <si>
    <t>-25.140171</t>
  </si>
  <si>
    <t>-48.855587</t>
  </si>
  <si>
    <t>P034.1_B_LPR</t>
  </si>
  <si>
    <t>-25.140162</t>
  </si>
  <si>
    <t>-48.855598</t>
  </si>
  <si>
    <t>P034.2_Cxt</t>
  </si>
  <si>
    <t>Barragem-(igreja Visão Miss.)</t>
  </si>
  <si>
    <t>-25.136621</t>
  </si>
  <si>
    <t>-48.856274</t>
  </si>
  <si>
    <t>P034.3_Cxt</t>
  </si>
  <si>
    <t>Barragem (Vila Sapo)</t>
  </si>
  <si>
    <t>-25.131739</t>
  </si>
  <si>
    <t>-48.856853</t>
  </si>
  <si>
    <t>P034.4_A_Cxt</t>
  </si>
  <si>
    <t>Barragem (panificadora)</t>
  </si>
  <si>
    <t>-25.138180</t>
  </si>
  <si>
    <t>-48.857372</t>
  </si>
  <si>
    <t>P034.4_B_LPR</t>
  </si>
  <si>
    <t>-25.138184</t>
  </si>
  <si>
    <t>-48.857384</t>
  </si>
  <si>
    <t>P035_A_Cxt</t>
  </si>
  <si>
    <t>Jaguatirica</t>
  </si>
  <si>
    <t>-25.108986</t>
  </si>
  <si>
    <t>-48.835655</t>
  </si>
  <si>
    <t>P035_B_LPR</t>
  </si>
  <si>
    <t>-25.108988</t>
  </si>
  <si>
    <t>-48.835667</t>
  </si>
  <si>
    <t>P036.1_A_Cxt</t>
  </si>
  <si>
    <t>Ribeirão Grande (Alpino 1)</t>
  </si>
  <si>
    <t>-25.110418</t>
  </si>
  <si>
    <t>-48.816235</t>
  </si>
  <si>
    <t>P036.1_B_LPR</t>
  </si>
  <si>
    <t>-25.109932</t>
  </si>
  <si>
    <t>-48.807945</t>
  </si>
  <si>
    <t>P036.2_LPR</t>
  </si>
  <si>
    <t>Ribeirão Grande R. Octavio dos Santos Souza x BR 116 Sentido Norte</t>
  </si>
  <si>
    <t>-25.109930</t>
  </si>
  <si>
    <t>-48.807953</t>
  </si>
  <si>
    <t>P036.3_LPR</t>
  </si>
  <si>
    <t>Ribeirão Grande - R. Pedro Estefano Camargo esq. Com R. Octavio dos Santos Souza</t>
  </si>
  <si>
    <t>-25.109224</t>
  </si>
  <si>
    <t>-48.805473</t>
  </si>
  <si>
    <t>P036.4_Cxt</t>
  </si>
  <si>
    <t>Ribeirão Grande R. Octavio dos Santos Souza x R. Loisel Cordeiro de Assunção</t>
  </si>
  <si>
    <t>-25.107971</t>
  </si>
  <si>
    <t>-48.808105</t>
  </si>
  <si>
    <t>P037.1_LPR</t>
  </si>
  <si>
    <t>Estrada da Figueira esq. com BR 116, Campina Grande do Sul - PR</t>
  </si>
  <si>
    <t>-25.100494</t>
  </si>
  <si>
    <t>-48.826927</t>
  </si>
  <si>
    <t>P037.2_Cxt</t>
  </si>
  <si>
    <t>Estrada da Figueira</t>
  </si>
  <si>
    <t>P038.1_PTZ</t>
  </si>
  <si>
    <t>Parque Linear Timbu - Jardim Paulista, Campina Grande do Sul - PR</t>
  </si>
  <si>
    <t>-25.358633</t>
  </si>
  <si>
    <t>-49.090950</t>
  </si>
  <si>
    <t>P038.2_CXT</t>
  </si>
  <si>
    <t>P038.3_CXT</t>
  </si>
  <si>
    <t>P038.4_CXT</t>
  </si>
  <si>
    <t>P038.5_CXT</t>
  </si>
  <si>
    <t>P039_Cxt</t>
  </si>
  <si>
    <t>Estr. Cupim (ponte)</t>
  </si>
  <si>
    <t>-25.315025</t>
  </si>
  <si>
    <t>-49.021786</t>
  </si>
  <si>
    <t>P040.1_Cxt</t>
  </si>
  <si>
    <t>Rua Ernesto Ferreira,38 - Bosque Das Araucárias</t>
  </si>
  <si>
    <t>-25.362972</t>
  </si>
  <si>
    <t>-49.100769</t>
  </si>
  <si>
    <t>P040.2_Cxt</t>
  </si>
  <si>
    <t>P041.1_Cxt</t>
  </si>
  <si>
    <t>Av. São João, 743 - Praça da Biblia</t>
  </si>
  <si>
    <t>P041.2_Cxt</t>
  </si>
  <si>
    <t>P042.1_Cxt</t>
  </si>
  <si>
    <t>Av. São João, 200 - Pista de Caminha da Sede</t>
  </si>
  <si>
    <t>P042.2_Cxt</t>
  </si>
  <si>
    <t>P043.1_Cxt</t>
  </si>
  <si>
    <t>Terminal de onibus Jd. Paulista</t>
  </si>
  <si>
    <t>P043.2_Cxt</t>
  </si>
  <si>
    <t>TerOnibus Jd. Pauli Catraca Entrada RF</t>
  </si>
  <si>
    <t>P043.3_Cxt</t>
  </si>
  <si>
    <t>TerOnibuJD.PaulistaCatracaSaida RF</t>
  </si>
  <si>
    <t>P043.4_Cxt</t>
  </si>
  <si>
    <t>P044.1_LPR</t>
  </si>
  <si>
    <t>Rua Darvil José Caron, Campina Grande do Sul - PR</t>
  </si>
  <si>
    <t>-25.346741</t>
  </si>
  <si>
    <t>-49.075741</t>
  </si>
  <si>
    <t>P045.1_LPR</t>
  </si>
  <si>
    <t>-25.356291</t>
  </si>
  <si>
    <t>-49.082882</t>
  </si>
  <si>
    <t>P046.1_LPR</t>
  </si>
  <si>
    <t>Rua Estrada Gengiro Abe, 3794, Campina Grande do Sul - PR</t>
  </si>
  <si>
    <t>P046.2_Cxt</t>
  </si>
  <si>
    <t>P047.1_LPR</t>
  </si>
  <si>
    <t>Rua Estrada da Barra da Cruz, Campina Grande do Sul - PR</t>
  </si>
  <si>
    <t>P049.1_LPR</t>
  </si>
  <si>
    <t>-25.120686</t>
  </si>
  <si>
    <t>-48.855412</t>
  </si>
  <si>
    <t>P049.2_CXT</t>
  </si>
  <si>
    <t>BR 116 KM 34 SUL SAIDA</t>
  </si>
  <si>
    <t>P049.3_CXT</t>
  </si>
  <si>
    <t>BR 116 KM 34 SUL ENTRADA</t>
  </si>
  <si>
    <t>PMPR-CASCAVEL</t>
  </si>
  <si>
    <t>CASCAVEL</t>
  </si>
  <si>
    <r>
      <rPr>
        <rFont val="Calibri, sans-serif"/>
        <color rgb="FF1155CC"/>
        <sz val="11.0"/>
        <u/>
      </rPr>
      <t>https://monitoramento.pm.pr.gov.br/proxy_image_8/</t>
    </r>
  </si>
  <si>
    <t>Av. Brasil - ptz</t>
  </si>
  <si>
    <t>Câmera situada no Totem em frente a Catedral da Av. Brasil.</t>
  </si>
  <si>
    <t>-24.955454</t>
  </si>
  <si>
    <t>-53.455811</t>
  </si>
  <si>
    <r>
      <rPr>
        <rFont val="Calibri, sans-serif"/>
        <color rgb="FF1155CC"/>
        <sz val="11.0"/>
        <u/>
      </rPr>
      <t>https://monitoramento.pm.pr.gov.br/proxy_image_8/</t>
    </r>
  </si>
  <si>
    <t>Av. Brasil - Totem 01</t>
  </si>
  <si>
    <t>-24.955446</t>
  </si>
  <si>
    <t>-53.455856</t>
  </si>
  <si>
    <r>
      <rPr>
        <rFont val="Calibri, sans-serif"/>
        <color rgb="FF1155CC"/>
        <sz val="11.0"/>
        <u/>
      </rPr>
      <t>https://monitoramento.pm.pr.gov.br/proxy_image_8/</t>
    </r>
  </si>
  <si>
    <t>Av. Brasil - Totem 02</t>
  </si>
  <si>
    <t>-24.955450</t>
  </si>
  <si>
    <t>-53.455849</t>
  </si>
  <si>
    <r>
      <rPr>
        <rFont val="Calibri, sans-serif"/>
        <color rgb="FF1155CC"/>
        <sz val="11.0"/>
        <u/>
      </rPr>
      <t>https://monitoramento.pm.pr.gov.br/proxy_image_8/</t>
    </r>
  </si>
  <si>
    <t>Av. Brasil x Av. Rocha Pombo</t>
  </si>
  <si>
    <t>Câmera situada na Praça Itália no cruzamento da Av. Brasil x Rocha Pombo.</t>
  </si>
  <si>
    <t>-24.952526</t>
  </si>
  <si>
    <t>-53.421471</t>
  </si>
  <si>
    <r>
      <rPr>
        <rFont val="Calibri, sans-serif"/>
        <color rgb="FF1155CC"/>
        <sz val="11.0"/>
        <u/>
      </rPr>
      <t>https://monitoramento.pm.pr.gov.br/proxy_image_8/</t>
    </r>
  </si>
  <si>
    <t>Av. Brasil x Bartinik</t>
  </si>
  <si>
    <t>Câmera situada no cruzamento da Av. Brasil x Bartinik.</t>
  </si>
  <si>
    <t>-24.953575</t>
  </si>
  <si>
    <t>-53.490833</t>
  </si>
  <si>
    <r>
      <rPr>
        <rFont val="Calibri, sans-serif"/>
        <color rgb="FF1155CC"/>
        <sz val="11.0"/>
        <u/>
      </rPr>
      <t>https://monitoramento.pm.pr.gov.br/proxy_image_8/</t>
    </r>
  </si>
  <si>
    <t>Av. Papagaios - Totem 01</t>
  </si>
  <si>
    <t>Câmera situada em frente a Sala do Empreendedor na Região Norte.</t>
  </si>
  <si>
    <t>-24.924780</t>
  </si>
  <si>
    <t>-53.421688</t>
  </si>
  <si>
    <r>
      <rPr>
        <rFont val="Calibri, sans-serif"/>
        <color rgb="FF1155CC"/>
        <sz val="11.0"/>
        <u/>
      </rPr>
      <t>https://monitoramento.pm.pr.gov.br/proxy_image_8/</t>
    </r>
  </si>
  <si>
    <t>Av. Papagaios - Totem 02</t>
  </si>
  <si>
    <t>-53.421696</t>
  </si>
  <si>
    <r>
      <rPr>
        <rFont val="Calibri, sans-serif"/>
        <color rgb="FF1155CC"/>
        <sz val="11.0"/>
        <u/>
      </rPr>
      <t>https://monitoramento.pm.pr.gov.br/proxy_image_8/</t>
    </r>
  </si>
  <si>
    <t>EcoPark - Santa Cruz 01</t>
  </si>
  <si>
    <t>Câmera situada no EcoPark do bairro Santa Cruz.</t>
  </si>
  <si>
    <t>-24.955631</t>
  </si>
  <si>
    <t>-53.498425</t>
  </si>
  <si>
    <r>
      <rPr>
        <rFont val="Calibri, sans-serif"/>
        <color rgb="FF1155CC"/>
        <sz val="11.0"/>
        <u/>
      </rPr>
      <t>https://monitoramento.pm.pr.gov.br/proxy_image_8/</t>
    </r>
  </si>
  <si>
    <t>EcoPark - Santa Cruz 02</t>
  </si>
  <si>
    <t>-24.953106</t>
  </si>
  <si>
    <t>-53.498959</t>
  </si>
  <si>
    <r>
      <rPr>
        <rFont val="Calibri, sans-serif"/>
        <color rgb="FF1155CC"/>
        <sz val="11.0"/>
        <u/>
      </rPr>
      <t>https://monitoramento.pm.pr.gov.br/proxy_image_8/</t>
    </r>
  </si>
  <si>
    <t>EcoPark - Santa Cruz 03</t>
  </si>
  <si>
    <t>-24.946451</t>
  </si>
  <si>
    <t>-53.501297</t>
  </si>
  <si>
    <r>
      <rPr>
        <rFont val="Calibri, sans-serif"/>
        <color rgb="FF1155CC"/>
        <sz val="11.0"/>
        <u/>
      </rPr>
      <t>https://monitoramento.pm.pr.gov.br/proxy_image_8/</t>
    </r>
  </si>
  <si>
    <t>Estacao Cidadania 01</t>
  </si>
  <si>
    <t>Câmera situada na Estação Cidadania na Av. Brasil x Jacarezinho.</t>
  </si>
  <si>
    <t>-24.946615</t>
  </si>
  <si>
    <t>-53.433559</t>
  </si>
  <si>
    <r>
      <rPr>
        <rFont val="Calibri, sans-serif"/>
        <color rgb="FF1155CC"/>
        <sz val="11.0"/>
        <u/>
      </rPr>
      <t>https://monitoramento.pm.pr.gov.br/proxy_image_8/</t>
    </r>
  </si>
  <si>
    <t>Estacao Cidadania 02</t>
  </si>
  <si>
    <t>-24.946880</t>
  </si>
  <si>
    <t>-53.433132</t>
  </si>
  <si>
    <r>
      <rPr>
        <rFont val="Calibri, sans-serif"/>
        <color rgb="FF1155CC"/>
        <sz val="11.0"/>
        <u/>
      </rPr>
      <t>https://monitoramento.pm.pr.gov.br/proxy_image_8/</t>
    </r>
  </si>
  <si>
    <t>Farmacia Basica</t>
  </si>
  <si>
    <t>Câmera situada na farmácia básica.</t>
  </si>
  <si>
    <t>-24.960117</t>
  </si>
  <si>
    <t>-53.476334</t>
  </si>
  <si>
    <r>
      <rPr>
        <rFont val="Calibri, sans-serif"/>
        <color rgb="FF1155CC"/>
        <sz val="11.0"/>
        <u/>
      </rPr>
      <t>https://monitoramento.pm.pr.gov.br/proxy_image_8/</t>
    </r>
  </si>
  <si>
    <t>Gralha-Azul - Guaruja</t>
  </si>
  <si>
    <t>Câmera situada na R. Gralha-Azul no bairro Guarujá.</t>
  </si>
  <si>
    <t>-24.987011</t>
  </si>
  <si>
    <t>-53.493313</t>
  </si>
  <si>
    <r>
      <rPr>
        <rFont val="Calibri, sans-serif"/>
        <color rgb="FF1155CC"/>
        <sz val="11.0"/>
        <u/>
      </rPr>
      <t>https://monitoramento.pm.pr.gov.br/proxy_image_8/</t>
    </r>
  </si>
  <si>
    <t>Interlagos - 01</t>
  </si>
  <si>
    <t>Câmera situada no DIS localizado na Av. Interlagos.</t>
  </si>
  <si>
    <t>-24.916399</t>
  </si>
  <si>
    <t>-53.437981</t>
  </si>
  <si>
    <r>
      <rPr>
        <rFont val="Calibri, sans-serif"/>
        <color rgb="FF1155CC"/>
        <sz val="11.0"/>
        <u/>
      </rPr>
      <t>https://monitoramento.pm.pr.gov.br/proxy_image_8/</t>
    </r>
  </si>
  <si>
    <t>Interlagos - 02</t>
  </si>
  <si>
    <t>-24.916405</t>
  </si>
  <si>
    <r>
      <rPr>
        <rFont val="Calibri, sans-serif"/>
        <color rgb="FF1155CC"/>
        <sz val="11.0"/>
        <u/>
      </rPr>
      <t>https://monitoramento.pm.pr.gov.br/proxy_image_8/</t>
    </r>
  </si>
  <si>
    <t>Interlagos - 03</t>
  </si>
  <si>
    <t>-24.916401</t>
  </si>
  <si>
    <t>-53.437977</t>
  </si>
  <si>
    <r>
      <rPr>
        <rFont val="Calibri, sans-serif"/>
        <color rgb="FF1155CC"/>
        <sz val="11.0"/>
        <u/>
      </rPr>
      <t>https://monitoramento.pm.pr.gov.br/proxy_image_8/</t>
    </r>
  </si>
  <si>
    <t>Interlagos - PTZ</t>
  </si>
  <si>
    <t>-24.916410</t>
  </si>
  <si>
    <r>
      <rPr>
        <rFont val="Calibri, sans-serif"/>
        <color rgb="FF1155CC"/>
        <sz val="11.0"/>
        <u/>
      </rPr>
      <t>https://monitoramento.pm.pr.gov.br/proxy_image_8/</t>
    </r>
  </si>
  <si>
    <t>Lago Municipal</t>
  </si>
  <si>
    <t>Câmera situada no chafariz do lago municipal.</t>
  </si>
  <si>
    <t>-24.965275</t>
  </si>
  <si>
    <t>-53.437099</t>
  </si>
  <si>
    <r>
      <rPr>
        <rFont val="Calibri, sans-serif"/>
        <color rgb="FF1155CC"/>
        <sz val="11.0"/>
        <u/>
      </rPr>
      <t>https://monitoramento.pm.pr.gov.br/proxy_image_8/</t>
    </r>
  </si>
  <si>
    <t>Parana x Av. Piquiri</t>
  </si>
  <si>
    <t>Câmera situada no cruzamento da Paraná x Av. Piquiri.</t>
  </si>
  <si>
    <t>-24.946079</t>
  </si>
  <si>
    <t>-53.440968</t>
  </si>
  <si>
    <r>
      <rPr>
        <rFont val="Calibri, sans-serif"/>
        <color rgb="FF1155CC"/>
        <sz val="11.0"/>
        <u/>
      </rPr>
      <t>https://monitoramento.pm.pr.gov.br/proxy_image_8/</t>
    </r>
  </si>
  <si>
    <t>Parana x Manoel Ribas</t>
  </si>
  <si>
    <t>Câmera situada na Paraná x Manoel Ribas.</t>
  </si>
  <si>
    <t>-24.953783</t>
  </si>
  <si>
    <t>-53.470207</t>
  </si>
  <si>
    <r>
      <rPr>
        <rFont val="Calibri, sans-serif"/>
        <color rgb="FF1155CC"/>
        <sz val="11.0"/>
        <u/>
      </rPr>
      <t>https://monitoramento.pm.pr.gov.br/proxy_image_8/</t>
    </r>
  </si>
  <si>
    <t>Parana x Pio XII</t>
  </si>
  <si>
    <t>Câmera situada na Paraná x Pio XII.</t>
  </si>
  <si>
    <t>-24.953705</t>
  </si>
  <si>
    <t>-53.469162</t>
  </si>
  <si>
    <r>
      <rPr>
        <rFont val="Calibri, sans-serif"/>
        <color rgb="FF1155CC"/>
        <sz val="11.0"/>
        <u/>
      </rPr>
      <t>https://monitoramento.pm.pr.gov.br/proxy_image_8/</t>
    </r>
  </si>
  <si>
    <t>Parana x Souza Naves</t>
  </si>
  <si>
    <t>Câmera situada na Rua Paraná x Souza Naves.</t>
  </si>
  <si>
    <t>-24.954334</t>
  </si>
  <si>
    <t>-53.457706</t>
  </si>
  <si>
    <r>
      <rPr>
        <rFont val="Calibri, sans-serif"/>
        <color rgb="FF1155CC"/>
        <sz val="11.0"/>
        <u/>
      </rPr>
      <t>https://monitoramento.pm.pr.gov.br/proxy_image_8/</t>
    </r>
  </si>
  <si>
    <t>Pedreira Municipal 01</t>
  </si>
  <si>
    <t>Câmera situada próxima a máquina da Pedreira Municipal.</t>
  </si>
  <si>
    <t>-24.992714</t>
  </si>
  <si>
    <t>-53.489933</t>
  </si>
  <si>
    <r>
      <rPr>
        <rFont val="Calibri, sans-serif"/>
        <color rgb="FF1155CC"/>
        <sz val="11.0"/>
        <u/>
      </rPr>
      <t>https://monitoramento.pm.pr.gov.br/proxy_image_8/</t>
    </r>
  </si>
  <si>
    <t>Pedreira Municipal 02</t>
  </si>
  <si>
    <t>Câmera situada na entrada da Pedreira Municipal.</t>
  </si>
  <si>
    <t>-24.990435</t>
  </si>
  <si>
    <t>-53.490715</t>
  </si>
  <si>
    <r>
      <rPr>
        <rFont val="Calibri, sans-serif"/>
        <color rgb="FF1155CC"/>
        <sz val="11.0"/>
        <u/>
      </rPr>
      <t>https://monitoramento.pm.pr.gov.br/proxy_image_8/</t>
    </r>
  </si>
  <si>
    <t>Praca da Biblia</t>
  </si>
  <si>
    <t>Câmera situada na Praça da Bíblia.</t>
  </si>
  <si>
    <t>-24.954229</t>
  </si>
  <si>
    <t>-53.477688</t>
  </si>
  <si>
    <r>
      <rPr>
        <rFont val="Calibri, sans-serif"/>
        <color rgb="FF1155CC"/>
        <sz val="11.0"/>
        <u/>
      </rPr>
      <t>https://monitoramento.pm.pr.gov.br/proxy_image_8/</t>
    </r>
  </si>
  <si>
    <t>Praca do Cancelli</t>
  </si>
  <si>
    <t>Câmera situada em frente ao salão comunitário do bairro Cancelli.</t>
  </si>
  <si>
    <t>-24.938.551</t>
  </si>
  <si>
    <t>-53.468315</t>
  </si>
  <si>
    <r>
      <rPr>
        <rFont val="Calibri, sans-serif"/>
        <color rgb="FF1155CC"/>
        <sz val="11.0"/>
        <u/>
      </rPr>
      <t>https://monitoramento.pm.pr.gov.br/proxy_image_8/</t>
    </r>
  </si>
  <si>
    <t>Praca Riviera</t>
  </si>
  <si>
    <t>Câmera situada na praça do bairro Riviera.</t>
  </si>
  <si>
    <t>-24.911657</t>
  </si>
  <si>
    <t>-53.406120</t>
  </si>
  <si>
    <r>
      <rPr>
        <rFont val="Calibri, sans-serif"/>
        <color rgb="FF1155CC"/>
        <sz val="11.0"/>
        <u/>
      </rPr>
      <t>https://monitoramento.pm.pr.gov.br/proxy_image_8/</t>
    </r>
  </si>
  <si>
    <t>Prefeitura - Porta Detras</t>
  </si>
  <si>
    <t>Câmera situada na porta detras da prefeitura.</t>
  </si>
  <si>
    <t>-24.952272</t>
  </si>
  <si>
    <t>-53.479892</t>
  </si>
  <si>
    <r>
      <rPr>
        <rFont val="Calibri, sans-serif"/>
        <color rgb="FF1155CC"/>
        <sz val="11.0"/>
        <u/>
      </rPr>
      <t>https://monitoramento.pm.pr.gov.br/proxy_image_8/</t>
    </r>
  </si>
  <si>
    <t>Prefeitura - Recepcao Gabinete</t>
  </si>
  <si>
    <t>Câmera situada na recepção do gabinete do prefeito.</t>
  </si>
  <si>
    <t>-24.952379</t>
  </si>
  <si>
    <t>-53.478795</t>
  </si>
  <si>
    <r>
      <rPr>
        <rFont val="Calibri, sans-serif"/>
        <color rgb="FF1155CC"/>
        <sz val="11.0"/>
        <u/>
      </rPr>
      <t>https://monitoramento.pm.pr.gov.br/proxy_image_8/</t>
    </r>
  </si>
  <si>
    <t>Restaurante Popular - Cascavel Velho</t>
  </si>
  <si>
    <t>Câmera situada no restaurante popular do bairro Cascavel Velho.</t>
  </si>
  <si>
    <t>-24.974148</t>
  </si>
  <si>
    <t>-53.410774</t>
  </si>
  <si>
    <r>
      <rPr>
        <rFont val="Calibri, sans-serif"/>
        <color rgb="FF1155CC"/>
        <sz val="11.0"/>
        <u/>
      </rPr>
      <t>https://monitoramento.pm.pr.gov.br/proxy_image_8/</t>
    </r>
  </si>
  <si>
    <t>Restaurante Popular - Centro</t>
  </si>
  <si>
    <t>Câmera situada no restaurante popular do Centro.</t>
  </si>
  <si>
    <t>-24.958021</t>
  </si>
  <si>
    <t>-53.450897</t>
  </si>
  <si>
    <r>
      <rPr>
        <rFont val="Calibri, sans-serif"/>
        <color rgb="FF1155CC"/>
        <sz val="11.0"/>
        <u/>
      </rPr>
      <t>https://monitoramento.pm.pr.gov.br/proxy_image_8/</t>
    </r>
  </si>
  <si>
    <t>Restaurante Popular - Santa Cruz</t>
  </si>
  <si>
    <t>Câmera situada no restaurante popular do bairro Santa Cruz.</t>
  </si>
  <si>
    <t>-24.973812</t>
  </si>
  <si>
    <t>-53.503315</t>
  </si>
  <si>
    <r>
      <rPr>
        <rFont val="Calibri, sans-serif"/>
        <color rgb="FF1155CC"/>
        <sz val="11.0"/>
        <u/>
      </rPr>
      <t>https://monitoramento.pm.pr.gov.br/proxy_image_8/</t>
    </r>
  </si>
  <si>
    <t>Rio do Salto</t>
  </si>
  <si>
    <t>Câmera situada em frente a subprefeitura do Rio do Salto.</t>
  </si>
  <si>
    <t>-25.137991</t>
  </si>
  <si>
    <t>-53.332024</t>
  </si>
  <si>
    <r>
      <rPr>
        <rFont val="Calibri, sans-serif"/>
        <color rgb="FF1155CC"/>
        <sz val="11.0"/>
        <u/>
      </rPr>
      <t>https://monitoramento.pm.pr.gov.br/proxy_image_8/</t>
    </r>
  </si>
  <si>
    <t>Rio Grande do Sul x Carlos Gomes</t>
  </si>
  <si>
    <t>Câmera situada na Rio Grande do Sul x Carlos Gomes.</t>
  </si>
  <si>
    <t>-24.956917</t>
  </si>
  <si>
    <t>-53.453712</t>
  </si>
  <si>
    <r>
      <rPr>
        <rFont val="Calibri, sans-serif"/>
        <color rgb="FF1155CC"/>
        <sz val="11.0"/>
        <u/>
      </rPr>
      <t>https://monitoramento.pm.pr.gov.br/proxy_image_8/</t>
    </r>
  </si>
  <si>
    <t>Rio Grande do Sul x Castro Alves</t>
  </si>
  <si>
    <t>Câmera situada na Rio Grande do Sul x Castro Alves.</t>
  </si>
  <si>
    <t>-24.956455</t>
  </si>
  <si>
    <t>-53.461723</t>
  </si>
  <si>
    <r>
      <rPr>
        <rFont val="Calibri, sans-serif"/>
        <color rgb="FF1155CC"/>
        <sz val="11.0"/>
        <u/>
      </rPr>
      <t>https://monitoramento.pm.pr.gov.br/proxy_image_8/</t>
    </r>
  </si>
  <si>
    <t>Sala de Vacinas</t>
  </si>
  <si>
    <t>Câmera situada na sala de Vacinas do Município.</t>
  </si>
  <si>
    <t>-24.952542</t>
  </si>
  <si>
    <t>-53.479433</t>
  </si>
  <si>
    <r>
      <rPr>
        <rFont val="Calibri, sans-serif"/>
        <color rgb="FF1155CC"/>
        <sz val="11.0"/>
        <u/>
      </rPr>
      <t>https://monitoramento.pm.pr.gov.br/proxy_image_8/</t>
    </r>
  </si>
  <si>
    <t>Santos Dumont - Marginal</t>
  </si>
  <si>
    <t>Câmera situada na marginal da BR no bairro Santos Dumont.</t>
  </si>
  <si>
    <t>-24.989441</t>
  </si>
  <si>
    <t>-53.509121</t>
  </si>
  <si>
    <r>
      <rPr>
        <rFont val="Calibri, sans-serif"/>
        <color rgb="FF1155CC"/>
        <sz val="11.0"/>
        <u/>
      </rPr>
      <t>https://monitoramento.pm.pr.gov.br/proxy_image_8/</t>
    </r>
  </si>
  <si>
    <t>Santos Dumont - Salao Comunitario</t>
  </si>
  <si>
    <t>Câmera situada em frente ao salão comunitário do bairro Santos Dumont.</t>
  </si>
  <si>
    <t>-24.985628</t>
  </si>
  <si>
    <t>-53.513483</t>
  </si>
  <si>
    <r>
      <rPr>
        <rFont val="Calibri, sans-serif"/>
        <color rgb="FF1155CC"/>
        <sz val="11.0"/>
        <u/>
      </rPr>
      <t>https://monitoramento.pm.pr.gov.br/proxy_image_8/</t>
    </r>
  </si>
  <si>
    <t>SESAU - Sede 01</t>
  </si>
  <si>
    <t>Câmera situada na porta da frente da SESAU.</t>
  </si>
  <si>
    <t>-24.951220</t>
  </si>
  <si>
    <t>-53.478767</t>
  </si>
  <si>
    <r>
      <rPr>
        <rFont val="Calibri, sans-serif"/>
        <color rgb="FF1155CC"/>
        <sz val="11.0"/>
        <u/>
      </rPr>
      <t>https://monitoramento.pm.pr.gov.br/proxy_image_8/</t>
    </r>
  </si>
  <si>
    <t>SESAU - Sede 02</t>
  </si>
  <si>
    <t>Câmera situada na recepção da SESAU.</t>
  </si>
  <si>
    <t>-24.951903</t>
  </si>
  <si>
    <t>-53.478785</t>
  </si>
  <si>
    <r>
      <rPr>
        <rFont val="Calibri, sans-serif"/>
        <color rgb="FF1155CC"/>
        <sz val="11.0"/>
        <u/>
      </rPr>
      <t>https://monitoramento.pm.pr.gov.br/proxy_image_8/</t>
    </r>
  </si>
  <si>
    <t>SESOP - Borracharia</t>
  </si>
  <si>
    <t>Câmera situada no interior do pátio da SESOP.</t>
  </si>
  <si>
    <t>-24.969807</t>
  </si>
  <si>
    <t>-53.485973</t>
  </si>
  <si>
    <r>
      <rPr>
        <rFont val="Calibri, sans-serif"/>
        <color rgb="FF1155CC"/>
        <sz val="11.0"/>
        <u/>
      </rPr>
      <t>https://monitoramento.pm.pr.gov.br/proxy_image_8/</t>
    </r>
  </si>
  <si>
    <t>SESOP - PTZ</t>
  </si>
  <si>
    <t>Câmera situada no pátio da SESOP.</t>
  </si>
  <si>
    <t>-24.969879</t>
  </si>
  <si>
    <t>-53.485703</t>
  </si>
  <si>
    <r>
      <rPr>
        <rFont val="Calibri, sans-serif"/>
        <color rgb="FF1155CC"/>
        <sz val="11.0"/>
        <u/>
      </rPr>
      <t>https://monitoramento.pm.pr.gov.br/proxy_image_8/</t>
    </r>
  </si>
  <si>
    <t>SESPPRO - Base Cascavel Velho</t>
  </si>
  <si>
    <t>Câmera situada na Base Sul no bairro Cascavel Velho.</t>
  </si>
  <si>
    <t>-24.976517</t>
  </si>
  <si>
    <t>-53.426548</t>
  </si>
  <si>
    <r>
      <rPr>
        <rFont val="Calibri, sans-serif"/>
        <color rgb="FF1155CC"/>
        <sz val="11.0"/>
        <u/>
      </rPr>
      <t>https://monitoramento.pm.pr.gov.br/proxy_image_8/</t>
    </r>
  </si>
  <si>
    <t>SESPPRO - Base Praca Wilson J0re</t>
  </si>
  <si>
    <t>Câmera situada dentro da base da GM na praça Wilson J0re.</t>
  </si>
  <si>
    <t>-24.957291</t>
  </si>
  <si>
    <t>-53.461304</t>
  </si>
  <si>
    <r>
      <rPr>
        <rFont val="Calibri, sans-serif"/>
        <color rgb="FF1155CC"/>
        <sz val="11.0"/>
        <u/>
      </rPr>
      <t>https://monitoramento.pm.pr.gov.br/proxy_image_8/</t>
    </r>
  </si>
  <si>
    <t>SESPPRO - Central Monitoramento</t>
  </si>
  <si>
    <t>Câmera situada na central de monitoramento da SESPPRO.</t>
  </si>
  <si>
    <t>-24.955238</t>
  </si>
  <si>
    <t>-53.421436</t>
  </si>
  <si>
    <r>
      <rPr>
        <rFont val="Calibri, sans-serif"/>
        <color rgb="FF1155CC"/>
        <sz val="11.0"/>
        <u/>
      </rPr>
      <t>https://monitoramento.pm.pr.gov.br/proxy_image_8/</t>
    </r>
  </si>
  <si>
    <t>SESPPRO - Cofre</t>
  </si>
  <si>
    <t>Câmera situada na sede administrativa da SESPPRO.</t>
  </si>
  <si>
    <t>-24.970143</t>
  </si>
  <si>
    <t>-53.486322</t>
  </si>
  <si>
    <r>
      <rPr>
        <rFont val="Calibri, sans-serif"/>
        <color rgb="FF1155CC"/>
        <sz val="11.0"/>
        <u/>
      </rPr>
      <t>https://monitoramento.pm.pr.gov.br/proxy_image_8/</t>
    </r>
  </si>
  <si>
    <t>SESPPRO - Corredor</t>
  </si>
  <si>
    <t>Câmera situada no sede administrativa da SESPPRO.</t>
  </si>
  <si>
    <t>-24.969655</t>
  </si>
  <si>
    <t>-53.486290</t>
  </si>
  <si>
    <r>
      <rPr>
        <rFont val="Calibri, sans-serif"/>
        <color rgb="FF1155CC"/>
        <sz val="11.0"/>
        <u/>
      </rPr>
      <t>https://monitoramento.pm.pr.gov.br/proxy_image_8/</t>
    </r>
  </si>
  <si>
    <t>SESPPRO - PTZ</t>
  </si>
  <si>
    <t>Câmera situada na Rua Martin Afonso de Souza em frente a SESPPRO.</t>
  </si>
  <si>
    <t>-24.955275</t>
  </si>
  <si>
    <t>-53.421444</t>
  </si>
  <si>
    <r>
      <rPr>
        <rFont val="Calibri, sans-serif"/>
        <color rgb="FF1155CC"/>
        <sz val="11.0"/>
        <u/>
      </rPr>
      <t>https://monitoramento.pm.pr.gov.br/proxy_image_8/</t>
    </r>
  </si>
  <si>
    <t>SESPPRO - Recepcao</t>
  </si>
  <si>
    <t>Câmera situada na recepção da SESPPRO.</t>
  </si>
  <si>
    <t>-24.970022</t>
  </si>
  <si>
    <t>-53.486712</t>
  </si>
  <si>
    <r>
      <rPr>
        <rFont val="Calibri, sans-serif"/>
        <color rgb="FF1155CC"/>
        <sz val="11.0"/>
        <u/>
      </rPr>
      <t>https://monitoramento.pm.pr.gov.br/proxy_image_8/</t>
    </r>
  </si>
  <si>
    <t>Terminal - Leste</t>
  </si>
  <si>
    <t>Câmera situada no Terminal Leste.</t>
  </si>
  <si>
    <t>-24.953043</t>
  </si>
  <si>
    <t>-53.418892</t>
  </si>
  <si>
    <r>
      <rPr>
        <rFont val="Calibri, sans-serif"/>
        <color rgb="FF1155CC"/>
        <sz val="11.0"/>
        <u/>
      </rPr>
      <t>https://monitoramento.pm.pr.gov.br/proxy_image_8/</t>
    </r>
  </si>
  <si>
    <t>Terminal - Nordesde 2</t>
  </si>
  <si>
    <t>Câmera situada no terminal Nordeste.</t>
  </si>
  <si>
    <t>-24.926622</t>
  </si>
  <si>
    <t>-53.445747</t>
  </si>
  <si>
    <r>
      <rPr>
        <rFont val="Calibri, sans-serif"/>
        <color rgb="FF1155CC"/>
        <sz val="11.0"/>
        <u/>
      </rPr>
      <t>https://monitoramento.pm.pr.gov.br/proxy_image_8/</t>
    </r>
  </si>
  <si>
    <t>Terminal - Nordeste</t>
  </si>
  <si>
    <r>
      <rPr>
        <rFont val="Calibri, sans-serif"/>
        <color rgb="FF1155CC"/>
        <sz val="11.0"/>
        <u/>
      </rPr>
      <t>https://monitoramento.pm.pr.gov.br/proxy_image_8/</t>
    </r>
  </si>
  <si>
    <t>Terminal - Oeste</t>
  </si>
  <si>
    <t>Câmera situada no Terminal Oeste.</t>
  </si>
  <si>
    <t>-24.955336</t>
  </si>
  <si>
    <t>-53.478947</t>
  </si>
  <si>
    <r>
      <rPr>
        <rFont val="Calibri, sans-serif"/>
        <color rgb="FF1155CC"/>
        <sz val="11.0"/>
        <u/>
      </rPr>
      <t>https://monitoramento.pm.pr.gov.br/proxy_image_8/</t>
    </r>
  </si>
  <si>
    <t>Terminal - Sudoeste</t>
  </si>
  <si>
    <t>Câmera situada no Terminal Sudoeste.</t>
  </si>
  <si>
    <t>-24.976713</t>
  </si>
  <si>
    <t>-53.502029</t>
  </si>
  <si>
    <r>
      <rPr>
        <rFont val="Calibri, sans-serif"/>
        <color rgb="FF1155CC"/>
        <sz val="11.0"/>
        <u/>
      </rPr>
      <t>https://monitoramento.pm.pr.gov.br/proxy_image_8/</t>
    </r>
  </si>
  <si>
    <t>Trevo Cataratas</t>
  </si>
  <si>
    <t>Câmera situada no Trevo Cataratas em Cascavel-PR</t>
  </si>
  <si>
    <t>-24.963903</t>
  </si>
  <si>
    <t>-53.409340</t>
  </si>
  <si>
    <r>
      <rPr>
        <rFont val="Calibri, sans-serif"/>
        <color rgb="FF1155CC"/>
        <sz val="11.0"/>
        <u/>
      </rPr>
      <t>https://monitoramento.pm.pr.gov.br/proxy_image_8/</t>
    </r>
  </si>
  <si>
    <t>Tv. Parana x Cristo Rei</t>
  </si>
  <si>
    <t>Câmera situada na Tv. Parana x Cristo Rei.</t>
  </si>
  <si>
    <t>-24.953863</t>
  </si>
  <si>
    <t>-53.454655</t>
  </si>
  <si>
    <r>
      <rPr>
        <rFont val="Calibri, sans-serif"/>
        <color rgb="FF1155CC"/>
        <sz val="11.0"/>
        <u/>
      </rPr>
      <t>https://monitoramento.pm.pr.gov.br/proxy_image_8/</t>
    </r>
  </si>
  <si>
    <t>UBS - Caludete 02</t>
  </si>
  <si>
    <t>Câmera situada a na frente da UBS do Claudete.</t>
  </si>
  <si>
    <t>-24.941301</t>
  </si>
  <si>
    <t>-53.474737</t>
  </si>
  <si>
    <r>
      <rPr>
        <rFont val="Calibri, sans-serif"/>
        <color rgb="FF1155CC"/>
        <sz val="11.0"/>
        <u/>
      </rPr>
      <t>https://monitoramento.pm.pr.gov.br/proxy_image_8/</t>
    </r>
  </si>
  <si>
    <t>UBS - Caludete 04</t>
  </si>
  <si>
    <t>Câmera situada na portaria da UBS do Claudete.</t>
  </si>
  <si>
    <r>
      <rPr>
        <rFont val="Calibri, sans-serif"/>
        <color rgb="FF1155CC"/>
        <sz val="11.0"/>
        <u/>
      </rPr>
      <t>https://monitoramento.pm.pr.gov.br/proxy_image_8/</t>
    </r>
  </si>
  <si>
    <t>UBS - Cancelli 03</t>
  </si>
  <si>
    <t>Câmera situada na portaria da UBS do Cancelli.</t>
  </si>
  <si>
    <t>-24.943114</t>
  </si>
  <si>
    <t>-53.465825</t>
  </si>
  <si>
    <r>
      <rPr>
        <rFont val="Calibri, sans-serif"/>
        <color rgb="FF1155CC"/>
        <sz val="11.0"/>
        <u/>
      </rPr>
      <t>https://monitoramento.pm.pr.gov.br/proxy_image_8/</t>
    </r>
  </si>
  <si>
    <t>UBS - Cancelli 05</t>
  </si>
  <si>
    <t>Câmera situada na porta de entrada da UBS do Cancelli.</t>
  </si>
  <si>
    <r>
      <rPr>
        <rFont val="Calibri, sans-serif"/>
        <color rgb="FF1155CC"/>
        <sz val="11.0"/>
        <u/>
      </rPr>
      <t>https://monitoramento.pm.pr.gov.br/proxy_image_8/</t>
    </r>
  </si>
  <si>
    <t>UPA - Brasilia 07</t>
  </si>
  <si>
    <t>Câmera situada na porta de entrada das ambulâncias.</t>
  </si>
  <si>
    <t>-24.941024</t>
  </si>
  <si>
    <t>-53.426393</t>
  </si>
  <si>
    <r>
      <rPr>
        <rFont val="Calibri, sans-serif"/>
        <color rgb="FF1155CC"/>
        <sz val="11.0"/>
        <u/>
      </rPr>
      <t>https://monitoramento.pm.pr.gov.br/proxy_image_8/</t>
    </r>
  </si>
  <si>
    <t>UPA - Brasilia 14</t>
  </si>
  <si>
    <t>Câmera situada na entrada do UPA lado de dentro.</t>
  </si>
  <si>
    <r>
      <rPr>
        <rFont val="Calibri, sans-serif"/>
        <color rgb="FF1155CC"/>
        <sz val="11.0"/>
        <u/>
      </rPr>
      <t>https://monitoramento.pm.pr.gov.br/proxy_image_8/</t>
    </r>
  </si>
  <si>
    <t>UPA - Brasilia 16</t>
  </si>
  <si>
    <t>Câmera situada na entrada do UPA lado de fora.</t>
  </si>
  <si>
    <r>
      <rPr>
        <rFont val="Calibri, sans-serif"/>
        <color rgb="FF1155CC"/>
        <sz val="11.0"/>
        <u/>
      </rPr>
      <t>https://monitoramento.pm.pr.gov.br/proxy_image_8/</t>
    </r>
  </si>
  <si>
    <t>UPA - Pediatria</t>
  </si>
  <si>
    <t>Câmera situada na UPA Pediátrica.</t>
  </si>
  <si>
    <t>-24.970463</t>
  </si>
  <si>
    <t>-53.487068</t>
  </si>
  <si>
    <r>
      <rPr>
        <rFont val="Calibri, sans-serif"/>
        <color rgb="FF1155CC"/>
        <sz val="11.0"/>
        <u/>
      </rPr>
      <t>https://monitoramento.pm.pr.gov.br/proxy_image_8/</t>
    </r>
  </si>
  <si>
    <t>UPA - Tancredo 11</t>
  </si>
  <si>
    <t>Câmera situada na recepção da UPA Tancredo - Adultos.</t>
  </si>
  <si>
    <t>-24.969765</t>
  </si>
  <si>
    <t>-53.488746</t>
  </si>
  <si>
    <r>
      <rPr>
        <rFont val="Calibri, sans-serif"/>
        <color rgb="FF1155CC"/>
        <sz val="11.0"/>
        <u/>
      </rPr>
      <t>https://monitoramento.pm.pr.gov.br/proxy_image_8/</t>
    </r>
  </si>
  <si>
    <t>UPA - Tancredo 13</t>
  </si>
  <si>
    <t>Câmera situada na recepção da UPA Tancredo - Pediátrica.</t>
  </si>
  <si>
    <r>
      <rPr>
        <rFont val="Calibri, sans-serif"/>
        <color rgb="FF1155CC"/>
        <sz val="11.0"/>
        <u/>
      </rPr>
      <t>https://monitoramento.pm.pr.gov.br/proxy_image_8/</t>
    </r>
  </si>
  <si>
    <t>UPA - Veneza</t>
  </si>
  <si>
    <t>Câmera situada no UPA do Veneza.</t>
  </si>
  <si>
    <t>-24.974016</t>
  </si>
  <si>
    <t>-53.411671</t>
  </si>
  <si>
    <r>
      <rPr>
        <rFont val="Calibri, sans-serif"/>
        <color rgb="FF1155CC"/>
        <sz val="11.0"/>
        <u/>
      </rPr>
      <t>https://monitoramento.pm.pr.gov.br/proxy_image_8/</t>
    </r>
  </si>
  <si>
    <t>USF - Cataratas 01</t>
  </si>
  <si>
    <t>Câmera situada na recepção da USF do Cataratas.</t>
  </si>
  <si>
    <t>-24.962375</t>
  </si>
  <si>
    <t>-53.402525</t>
  </si>
  <si>
    <r>
      <rPr>
        <rFont val="Calibri, sans-serif"/>
        <color rgb="FF1155CC"/>
        <sz val="11.0"/>
        <u/>
      </rPr>
      <t>https://monitoramento.pm.pr.gov.br/proxy_image_8/</t>
    </r>
  </si>
  <si>
    <t>USF - Cidade Verde 01</t>
  </si>
  <si>
    <t>Câmera situada no lado de fora da USF do Cidade Verde.</t>
  </si>
  <si>
    <t>-24.936823</t>
  </si>
  <si>
    <t>-53.491929</t>
  </si>
  <si>
    <r>
      <rPr>
        <rFont val="Calibri, sans-serif"/>
        <color rgb="FF1155CC"/>
        <sz val="11.0"/>
        <u/>
      </rPr>
      <t>https://monitoramento.pm.pr.gov.br/proxy_image_8/</t>
    </r>
  </si>
  <si>
    <t>USF - Cidade Verde 09</t>
  </si>
  <si>
    <t>Câmera situada na recepção da USF do Cidade Verde.</t>
  </si>
  <si>
    <r>
      <rPr>
        <rFont val="Calibri, sans-serif"/>
        <color rgb="FF1155CC"/>
        <sz val="11.0"/>
        <u/>
      </rPr>
      <t>https://monitoramento.pm.pr.gov.br/proxy_image_8/</t>
    </r>
  </si>
  <si>
    <t>USF - Guaruja 03</t>
  </si>
  <si>
    <t>Câmera situada na recepção da USF do Guarujá.</t>
  </si>
  <si>
    <t>-24.984344</t>
  </si>
  <si>
    <t>-53.501516</t>
  </si>
  <si>
    <r>
      <rPr>
        <rFont val="Calibri, sans-serif"/>
        <color rgb="FF1155CC"/>
        <sz val="11.0"/>
        <u/>
      </rPr>
      <t>https://monitoramento.pm.pr.gov.br/proxy_image_8/</t>
    </r>
  </si>
  <si>
    <t>USF - Guaruja 05</t>
  </si>
  <si>
    <r>
      <rPr>
        <rFont val="Calibri, sans-serif"/>
        <color rgb="FF1155CC"/>
        <sz val="11.0"/>
        <u/>
      </rPr>
      <t>https://monitoramento.pm.pr.gov.br/proxy_image_8/</t>
    </r>
  </si>
  <si>
    <t>USF - Morumbi 01</t>
  </si>
  <si>
    <t>Câmera situada do lado de fora da USF do Morumbi.</t>
  </si>
  <si>
    <t>-24.937795</t>
  </si>
  <si>
    <t>-53.405199</t>
  </si>
  <si>
    <r>
      <rPr>
        <rFont val="Calibri, sans-serif"/>
        <color rgb="FF1155CC"/>
        <sz val="11.0"/>
        <u/>
      </rPr>
      <t>https://monitoramento.pm.pr.gov.br/proxy_image_8/</t>
    </r>
  </si>
  <si>
    <t>USF - Morumbi 02</t>
  </si>
  <si>
    <t>Câmera situada na recepção da USF do Morumbi.</t>
  </si>
  <si>
    <r>
      <rPr>
        <rFont val="Calibri, sans-serif"/>
        <color rgb="FF1155CC"/>
        <sz val="11.0"/>
        <u/>
      </rPr>
      <t>https://monitoramento.pm.pr.gov.br/proxy_image_8/</t>
    </r>
  </si>
  <si>
    <t>USF - Rio do Salto 08</t>
  </si>
  <si>
    <t>Câmera situada no estacionamento da USF do Rio do Salto.</t>
  </si>
  <si>
    <t>-25.140571</t>
  </si>
  <si>
    <t>-53.336147</t>
  </si>
  <si>
    <r>
      <rPr>
        <rFont val="Calibri, sans-serif"/>
        <color rgb="FF1155CC"/>
        <sz val="11.0"/>
        <u/>
      </rPr>
      <t>https://monitoramento.pm.pr.gov.br/proxy_image_8/</t>
    </r>
  </si>
  <si>
    <t>USF - Rio do Salto 09</t>
  </si>
  <si>
    <t>Câmera situada na recepção da USF do Rio do Salto.</t>
  </si>
  <si>
    <r>
      <rPr>
        <rFont val="Calibri, sans-serif"/>
        <color rgb="FF1155CC"/>
        <sz val="11.0"/>
        <u/>
      </rPr>
      <t>https://monitoramento.pm.pr.gov.br/proxy_image_8/</t>
    </r>
  </si>
  <si>
    <t>USF - Sanga Funda 01</t>
  </si>
  <si>
    <t>Câmera situada na recepção da USF do Sanga Funda.</t>
  </si>
  <si>
    <t>-24.911543</t>
  </si>
  <si>
    <t>-53.428009</t>
  </si>
  <si>
    <r>
      <rPr>
        <rFont val="Calibri, sans-serif"/>
        <color rgb="FF1155CC"/>
        <sz val="11.0"/>
        <u/>
      </rPr>
      <t>https://monitoramento.pm.pr.gov.br/proxy_image_8/</t>
    </r>
  </si>
  <si>
    <t>USF - Sanga Funda 09</t>
  </si>
  <si>
    <t>Câmera situada na porta da frente da USF do Sanga Funda.</t>
  </si>
  <si>
    <r>
      <rPr>
        <rFont val="Calibri, sans-serif"/>
        <color rgb="FF1155CC"/>
        <sz val="11.0"/>
        <u/>
      </rPr>
      <t>https://monitoramento.pm.pr.gov.br/proxy_image_8/</t>
    </r>
  </si>
  <si>
    <t>USF - Sanga Funda 10</t>
  </si>
  <si>
    <r>
      <rPr>
        <rFont val="Calibri, sans-serif"/>
        <color rgb="FF1155CC"/>
        <sz val="11.0"/>
        <u/>
      </rPr>
      <t>https://monitoramento.pm.pr.gov.br/proxy_image_8/</t>
    </r>
  </si>
  <si>
    <t>USF - Santo Inacio 07</t>
  </si>
  <si>
    <t>Câmera situada no lado de fora da USF do Santo Inácio.</t>
  </si>
  <si>
    <t>-24.949689</t>
  </si>
  <si>
    <t>-53.507956</t>
  </si>
  <si>
    <r>
      <rPr>
        <rFont val="Calibri, sans-serif"/>
        <color rgb="FF1155CC"/>
        <sz val="11.0"/>
        <u/>
      </rPr>
      <t>https://monitoramento.pm.pr.gov.br/proxy_image_8/</t>
    </r>
  </si>
  <si>
    <t>USF - Santo Inacio 08</t>
  </si>
  <si>
    <t>Câmera situada na recepção da USF do Santo Inácio.</t>
  </si>
  <si>
    <r>
      <rPr>
        <rFont val="Calibri, sans-serif"/>
        <color rgb="FF1155CC"/>
        <sz val="11.0"/>
        <u/>
      </rPr>
      <t>https://monitoramento.pm.pr.gov.br/proxy_image_8/</t>
    </r>
  </si>
  <si>
    <t>USF - Universitario 03</t>
  </si>
  <si>
    <t>Câmera situada ao lado de fora da USF do Universitário.</t>
  </si>
  <si>
    <t>-24.979856</t>
  </si>
  <si>
    <t>-53.443900</t>
  </si>
  <si>
    <r>
      <rPr>
        <rFont val="Calibri, sans-serif"/>
        <color rgb="FF1155CC"/>
        <sz val="11.0"/>
        <u/>
      </rPr>
      <t>https://monitoramento.pm.pr.gov.br/proxy_image_8/</t>
    </r>
  </si>
  <si>
    <t>USF - Universitario 04</t>
  </si>
  <si>
    <t>Câmera situada na recepção da USF do Universitário.</t>
  </si>
  <si>
    <t>GMC-CURITIBA</t>
  </si>
  <si>
    <t>https://monitoramento.pm.pr.gov.br/proxy_image_16/</t>
  </si>
  <si>
    <t>GCM01</t>
  </si>
  <si>
    <t>praça santos andrade-frente a UFPR</t>
  </si>
  <si>
    <t>-25.429161</t>
  </si>
  <si>
    <t>-49.267213</t>
  </si>
  <si>
    <t>GCM02</t>
  </si>
  <si>
    <t>praça santos andrade-fixa</t>
  </si>
  <si>
    <t>-25.429030</t>
  </si>
  <si>
    <t>-49.267271</t>
  </si>
  <si>
    <t>GCM03</t>
  </si>
  <si>
    <t>rua xv,n 621-acp esquina com rua presidente faria</t>
  </si>
  <si>
    <t>-25.429681</t>
  </si>
  <si>
    <t>-49.267824</t>
  </si>
  <si>
    <t>GCM04</t>
  </si>
  <si>
    <t>rua. xv esquina com r. barão do rio branco , n 525-cta1262</t>
  </si>
  <si>
    <t>-25.430214</t>
  </si>
  <si>
    <t>-49.269173</t>
  </si>
  <si>
    <t>GCM05</t>
  </si>
  <si>
    <t>RUA XV, N 382-LOJAS RENER-CTA1264</t>
  </si>
  <si>
    <t>-25.430559</t>
  </si>
  <si>
    <t>-49.270039</t>
  </si>
  <si>
    <t>GCM06</t>
  </si>
  <si>
    <t>RUA XV ESQUINA RUA MONSENHOR CELSO, N 98-BANCO ITAÚ-CATA1265</t>
  </si>
  <si>
    <t>-25.430833</t>
  </si>
  <si>
    <t>-49.270720</t>
  </si>
  <si>
    <t>GCM07</t>
  </si>
  <si>
    <t>R. XV N245-LOJA MARISA-CTA 1266</t>
  </si>
  <si>
    <t>-25.431078</t>
  </si>
  <si>
    <t>-49.271418</t>
  </si>
  <si>
    <t>GCM08</t>
  </si>
  <si>
    <t>R. XV COM AV MARECHAL FLORIANO PEIXOTO-GALERIA RITZ-CTA1267</t>
  </si>
  <si>
    <t>-25.431251</t>
  </si>
  <si>
    <t>-49.271849</t>
  </si>
  <si>
    <t>GCM09</t>
  </si>
  <si>
    <t>R. XV N 141-FRENTE A LOJA CA-CTA1268</t>
  </si>
  <si>
    <t>-25.431390</t>
  </si>
  <si>
    <t>-49.272221</t>
  </si>
  <si>
    <t>GCM10</t>
  </si>
  <si>
    <t>RUA XV N 41-LOJA PRATA FINA-CTA1269</t>
  </si>
  <si>
    <t>-25.431771</t>
  </si>
  <si>
    <t>-49.273206</t>
  </si>
  <si>
    <t>GCM11</t>
  </si>
  <si>
    <t>R. XV ESQUINA COM RUA ÉBANO PEREIRA, N 11-BONDINHO-CTA1270</t>
  </si>
  <si>
    <t>-25.431873</t>
  </si>
  <si>
    <t>-49.273737</t>
  </si>
  <si>
    <t>GCM12</t>
  </si>
  <si>
    <t>R.XV, PROXIMO A AV. LUIZ XAVIER, N75-HOTEL SLAVEIRO-CTA1271</t>
  </si>
  <si>
    <t>-25.432263</t>
  </si>
  <si>
    <t>-49.274224</t>
  </si>
  <si>
    <t>GCM13</t>
  </si>
  <si>
    <t>R.XV COM RUA VOLUNTARIOS DA PATRIA,N368-BOTICARIO-CTA1272</t>
  </si>
  <si>
    <t>-25.432449</t>
  </si>
  <si>
    <t>-49.275055</t>
  </si>
  <si>
    <t>GCM14</t>
  </si>
  <si>
    <t>praça osorio em cima do crimec-laje do cimec-cta1273</t>
  </si>
  <si>
    <t>-25.432743</t>
  </si>
  <si>
    <t>-49.275856</t>
  </si>
  <si>
    <t>GCM15</t>
  </si>
  <si>
    <t>R. RIA .COM PAÇO MUNICIPAL-RESTAURANTE  MINEIRO-CTA4016</t>
  </si>
  <si>
    <t>-25.429632</t>
  </si>
  <si>
    <t>-49.269187</t>
  </si>
  <si>
    <t>GCM16</t>
  </si>
  <si>
    <t>PRAÇA TIRADENTES(MEIO DA PRAÇA)</t>
  </si>
  <si>
    <t>-25.429776</t>
  </si>
  <si>
    <t>-49.271945</t>
  </si>
  <si>
    <t>GCM17</t>
  </si>
  <si>
    <t>PRAÇA TIRADENTES-ESTAÇÃO-ESTAÇÃO TURBO</t>
  </si>
  <si>
    <t>GCM18</t>
  </si>
  <si>
    <t>PRAÇA TIRADENTES COM R. MOSENHIR CELSO-LOJAS P. - CTA4017</t>
  </si>
  <si>
    <t>-25.430096</t>
  </si>
  <si>
    <t>-49.270991</t>
  </si>
  <si>
    <t>GCM19</t>
  </si>
  <si>
    <t>PRAÇA TIRADENTES ESQUINA PÇA BORGES DE MACEDO-CTA4018</t>
  </si>
  <si>
    <t>-25.429706</t>
  </si>
  <si>
    <t>-49.270784</t>
  </si>
  <si>
    <t>GCM20</t>
  </si>
  <si>
    <t>R.SALDANHA MARINHO ESQUINA R. DOUTOR MURICY</t>
  </si>
  <si>
    <t>-25.429434</t>
  </si>
  <si>
    <t>-49.273605</t>
  </si>
  <si>
    <t>GCM21</t>
  </si>
  <si>
    <t>R. BARÃO DE SERRO AZUL COM R. SÃO FRANCISCO-LIVRARIA JOÃO H.</t>
  </si>
  <si>
    <t>-25.427903</t>
  </si>
  <si>
    <t>-49.270833</t>
  </si>
  <si>
    <t>GCM22</t>
  </si>
  <si>
    <t>R.CLAUDINO DOS SANTOS X RUA MATEUS LEME- LARGO ORDEM</t>
  </si>
  <si>
    <t>-25.427663</t>
  </si>
  <si>
    <t>-49.272011</t>
  </si>
  <si>
    <t>GCM23</t>
  </si>
  <si>
    <t>RUA CLAUDINO DOS SANTOS-FRENTE AO MEMORIAL-CTA4006</t>
  </si>
  <si>
    <t>-25.427505</t>
  </si>
  <si>
    <t>-49.272821</t>
  </si>
  <si>
    <t>GCM24</t>
  </si>
  <si>
    <t>R. CLAUDINO DOS SANTOS DO ROSARIO-IGREJA PRETA-CTA4005</t>
  </si>
  <si>
    <t>-25.427583</t>
  </si>
  <si>
    <t>-49.273653</t>
  </si>
  <si>
    <t>GCM25</t>
  </si>
  <si>
    <t>PRAÇA CARIBALDI CAVALO BABAO</t>
  </si>
  <si>
    <t>-25.427262</t>
  </si>
  <si>
    <t>-49.273991</t>
  </si>
  <si>
    <t>GCM26</t>
  </si>
  <si>
    <t>RUINAS SÃO FRANSISCO</t>
  </si>
  <si>
    <t>-25.427114</t>
  </si>
  <si>
    <t>-49.275271</t>
  </si>
  <si>
    <t>GCM27</t>
  </si>
  <si>
    <t>ESCADARIA-FIXA RUINAS SÃO FRANCISCO</t>
  </si>
  <si>
    <t>-25.427171</t>
  </si>
  <si>
    <t>-49.275283</t>
  </si>
  <si>
    <t>GCM28</t>
  </si>
  <si>
    <t>PRAÇA JOAO CANDIDO PALACIO BELVEDERE</t>
  </si>
  <si>
    <t>-25.426968</t>
  </si>
  <si>
    <t>-49.276029</t>
  </si>
  <si>
    <t>GCM29</t>
  </si>
  <si>
    <t>#</t>
  </si>
  <si>
    <t>0</t>
  </si>
  <si>
    <t>GCM30</t>
  </si>
  <si>
    <t>GCM31</t>
  </si>
  <si>
    <t>R. MAL. DEODORO R. AL. DR.MURICY</t>
  </si>
  <si>
    <t>-25.432548</t>
  </si>
  <si>
    <t>-49.272140</t>
  </si>
  <si>
    <t>GCM32</t>
  </si>
  <si>
    <t xml:space="preserve">R. MAL. DEODORO </t>
  </si>
  <si>
    <t>-25.432039</t>
  </si>
  <si>
    <t>-49.271528</t>
  </si>
  <si>
    <t>GCM33</t>
  </si>
  <si>
    <t>AV. MAL DEODORO</t>
  </si>
  <si>
    <t>-25.430973</t>
  </si>
  <si>
    <t>-49.268947</t>
  </si>
  <si>
    <t>GCM34</t>
  </si>
  <si>
    <t>RUA MAL.DEODORO R. CONS. LAURINDO</t>
  </si>
  <si>
    <t>-25.429573</t>
  </si>
  <si>
    <t>-49.265175</t>
  </si>
  <si>
    <t>GCM35</t>
  </si>
  <si>
    <t>RUA. MARECHAL DEODORO COM R. MARIANO TORRES</t>
  </si>
  <si>
    <t>-25.428765</t>
  </si>
  <si>
    <t>-49.263219</t>
  </si>
  <si>
    <t>GCM36</t>
  </si>
  <si>
    <t>R. PRES. FARIAS R. 13 DE MAIO</t>
  </si>
  <si>
    <t>-25.427360</t>
  </si>
  <si>
    <t>-49.268612</t>
  </si>
  <si>
    <t>GCM37</t>
  </si>
  <si>
    <t>R. PRES. CARLOS CAVALCANTI R. RIACHUELO</t>
  </si>
  <si>
    <t>-25.426174</t>
  </si>
  <si>
    <t>-49.269521</t>
  </si>
  <si>
    <t>GCM39</t>
  </si>
  <si>
    <t>GCM38</t>
  </si>
  <si>
    <t>GCM40</t>
  </si>
  <si>
    <t>GCM41</t>
  </si>
  <si>
    <t>GCM42</t>
  </si>
  <si>
    <t>R .CANDIDO DE ABREU R.INACIO LUSTOSA</t>
  </si>
  <si>
    <t>-25.424529</t>
  </si>
  <si>
    <t>-49.269971</t>
  </si>
  <si>
    <t>GCM43</t>
  </si>
  <si>
    <t>PREFEITURA MUNICIPAL</t>
  </si>
  <si>
    <t>-25.417076</t>
  </si>
  <si>
    <t>-49.269327</t>
  </si>
  <si>
    <t>GCM44</t>
  </si>
  <si>
    <t>ESTACIONAMENTO PMC FIXA</t>
  </si>
  <si>
    <t>-25.417202</t>
  </si>
  <si>
    <t>-49.269319</t>
  </si>
  <si>
    <t>GCM45</t>
  </si>
  <si>
    <t>PCA. N. SRA. DA SALETE</t>
  </si>
  <si>
    <t>-25.416614</t>
  </si>
  <si>
    <t>-49.268563</t>
  </si>
  <si>
    <t>GCM46</t>
  </si>
  <si>
    <t>PRAÇA NOSSA SENHORA DA SALETE-FIXA</t>
  </si>
  <si>
    <t>-25.416650</t>
  </si>
  <si>
    <t>-49.268488</t>
  </si>
  <si>
    <t>GCM47</t>
  </si>
  <si>
    <t>GCM48</t>
  </si>
  <si>
    <t>PRAÇA DA ESPANHA- LADO SALDANHA MARINHO- 3496</t>
  </si>
  <si>
    <t>-25.434573</t>
  </si>
  <si>
    <t>-49.287123</t>
  </si>
  <si>
    <t>GCM49</t>
  </si>
  <si>
    <t>RUA INÁCIO LUSTOSA ESQ. RUA TRAJANO REIS- 3501</t>
  </si>
  <si>
    <t>-25.423791</t>
  </si>
  <si>
    <t>-49.274141</t>
  </si>
  <si>
    <t>GCM50</t>
  </si>
  <si>
    <t>RUA TRAJANO REIS ESQ R. TREZE DE MAIO- LOJA MASIERO</t>
  </si>
  <si>
    <t>-25.426505</t>
  </si>
  <si>
    <t>-49.273705</t>
  </si>
  <si>
    <t>GCM51</t>
  </si>
  <si>
    <t>RUA MARIA CLARA COM RUA AMÂNICO MORO- IGREJA 2432</t>
  </si>
  <si>
    <t>-25.421110</t>
  </si>
  <si>
    <t>-49.261513</t>
  </si>
  <si>
    <t>GCM52</t>
  </si>
  <si>
    <t>R. IVO ESQ R. AMÂNCIO-MORO</t>
  </si>
  <si>
    <t>-25.420776</t>
  </si>
  <si>
    <t>-49.261066</t>
  </si>
  <si>
    <t>GCM53</t>
  </si>
  <si>
    <t>GCM54</t>
  </si>
  <si>
    <t>R. BRIGADEIRO FRANCO ESQ R.COMENDADOR ARAÚJO</t>
  </si>
  <si>
    <t>-25.436699</t>
  </si>
  <si>
    <t>-49.279929</t>
  </si>
  <si>
    <t>GCM55</t>
  </si>
  <si>
    <t>R. BRIGADEIRO FRANCO ESQ CELL MENNA BARRETO MONCLARO</t>
  </si>
  <si>
    <t>-25.437311</t>
  </si>
  <si>
    <t>-49.279009</t>
  </si>
  <si>
    <t>GCM56</t>
  </si>
  <si>
    <t>R.JOAO NEGRÃO ESQ ANDRE DE BARROS- LOJA DA MODA 4022</t>
  </si>
  <si>
    <t>-25.433308</t>
  </si>
  <si>
    <t>-49.265282</t>
  </si>
  <si>
    <t>GCM57</t>
  </si>
  <si>
    <t>GCM58</t>
  </si>
  <si>
    <t>GCM59</t>
  </si>
  <si>
    <t>GCM60</t>
  </si>
  <si>
    <t>GCM61</t>
  </si>
  <si>
    <t>AV.PRES.AFFONSO CAMARGO ESQ GENERAL CARNEIRO(RODOF.)</t>
  </si>
  <si>
    <t>-25.435865</t>
  </si>
  <si>
    <t>-49.257104</t>
  </si>
  <si>
    <t>GCM62</t>
  </si>
  <si>
    <t>AV. PRES, AFFONSO CAMARGO ESQ MARIANO TORRES-LOJA DE CARROS</t>
  </si>
  <si>
    <t>-25.435640</t>
  </si>
  <si>
    <t>-49.260186</t>
  </si>
  <si>
    <t>GCM63</t>
  </si>
  <si>
    <t>GCM64</t>
  </si>
  <si>
    <t>RUA WILSTON CHURCHILL,969- CTA3504</t>
  </si>
  <si>
    <t>-25.504648</t>
  </si>
  <si>
    <t>-49.296017</t>
  </si>
  <si>
    <t>GCM65</t>
  </si>
  <si>
    <t>AV.SETE DE SETEMBRO ESQ JOÃO NEGRÃO (PONTE PRETA)</t>
  </si>
  <si>
    <t>-25.436531</t>
  </si>
  <si>
    <t>-49.263693</t>
  </si>
  <si>
    <t>GCM66</t>
  </si>
  <si>
    <t>AV. SETE DE SETEMBRO ESQ TIBAGI</t>
  </si>
  <si>
    <t>-25.435611</t>
  </si>
  <si>
    <t>-49.261387</t>
  </si>
  <si>
    <t>GCM67</t>
  </si>
  <si>
    <t>AV. SETE DE SETEMBRO ESQ VIADUTO DO CAPEMA</t>
  </si>
  <si>
    <t>-49.254925</t>
  </si>
  <si>
    <t>GCM68</t>
  </si>
  <si>
    <t>GCM69</t>
  </si>
  <si>
    <t>GCM70</t>
  </si>
  <si>
    <t>GCM71</t>
  </si>
  <si>
    <t>GCM72</t>
  </si>
  <si>
    <t>CONSELHEIRO LAURINDO ESQ PEDRO IVO.</t>
  </si>
  <si>
    <t>-25.432127</t>
  </si>
  <si>
    <t>-49.264183</t>
  </si>
  <si>
    <t>GCM73</t>
  </si>
  <si>
    <t>RUA IZAAC FERREIRA DA CRUZ ESQ FILOSOFO-HUMBERTO  RONDEN- CTA 2424</t>
  </si>
  <si>
    <t>-25.537872</t>
  </si>
  <si>
    <t>-49.278005</t>
  </si>
  <si>
    <t>GCM74</t>
  </si>
  <si>
    <t>LOURENÇO PINTO, 339- ENTRADA LATERA DA CAMERA MUNICIPAL DE CURITIBA-CTA 2346</t>
  </si>
  <si>
    <t>-25.437000</t>
  </si>
  <si>
    <t>-49.267636</t>
  </si>
  <si>
    <t>GCM75</t>
  </si>
  <si>
    <t>GCM76</t>
  </si>
  <si>
    <t>GCM77</t>
  </si>
  <si>
    <t>GCM78</t>
  </si>
  <si>
    <t>GCM79</t>
  </si>
  <si>
    <t>RUA DA CIDADANIA BAIRRO NOVO- RUA TIJUCAS DO SUL, 1700-CTA-</t>
  </si>
  <si>
    <t>-25.544893</t>
  </si>
  <si>
    <t>-49.266035</t>
  </si>
  <si>
    <t>GCM80</t>
  </si>
  <si>
    <t>R. TIJUCAS DO SUL ESQ NOVA AURORA</t>
  </si>
  <si>
    <t>-25.545411</t>
  </si>
  <si>
    <t>-49.264964</t>
  </si>
  <si>
    <t>GCM81</t>
  </si>
  <si>
    <t>GCM82</t>
  </si>
  <si>
    <t>GCM83</t>
  </si>
  <si>
    <t>GCM84</t>
  </si>
  <si>
    <t>PRAÇA ARISTIDIS O,H, FILHO- R, CELESTE TORTADO C/ R. FILOSOFO H. ROHDEN</t>
  </si>
  <si>
    <t>-25.541408</t>
  </si>
  <si>
    <t>-49.272188</t>
  </si>
  <si>
    <t>GCM85</t>
  </si>
  <si>
    <t>GCM86</t>
  </si>
  <si>
    <t>GCM87</t>
  </si>
  <si>
    <t>R. SÃO JOSÉ DOS PINHAIS ESQ R. OURIZONA</t>
  </si>
  <si>
    <t>-25.543590</t>
  </si>
  <si>
    <t>-49.261215</t>
  </si>
  <si>
    <t>GCM88</t>
  </si>
  <si>
    <t>R. SÃO JOSÉ DOS PINHAIS ESQ EDGARD C. DE ALBEQUERQUE</t>
  </si>
  <si>
    <t>-25.544387</t>
  </si>
  <si>
    <t>-49.259828</t>
  </si>
  <si>
    <t>GCM89</t>
  </si>
  <si>
    <t>R.TIJUCAS DO SUL COM R. JUSSARA-ESTAÇÃO TURBO-HOSPITAL-CTA 2456</t>
  </si>
  <si>
    <t>-25.547548</t>
  </si>
  <si>
    <t>-49.260355</t>
  </si>
  <si>
    <t>GCM90</t>
  </si>
  <si>
    <t>GCM91</t>
  </si>
  <si>
    <t>R. IZAAC FERREIRA DA CRUZ ESQ DAVID TOWS</t>
  </si>
  <si>
    <t>-25.537258</t>
  </si>
  <si>
    <t>-49.276009</t>
  </si>
  <si>
    <t>GCM92</t>
  </si>
  <si>
    <t>R. IZAAC FERREIRA DA CRUZ N 3560-TERMINAL SITIO CERCADO</t>
  </si>
  <si>
    <t>-25.534105</t>
  </si>
  <si>
    <t>-49.266977</t>
  </si>
  <si>
    <t>GCM93</t>
  </si>
  <si>
    <t>R. IZAAC FERREIRA DA CRUZ N 3540-TERMINAL SITIO CERCADO</t>
  </si>
  <si>
    <t>-25.534877</t>
  </si>
  <si>
    <t>-49.268838</t>
  </si>
  <si>
    <t>GCM94</t>
  </si>
  <si>
    <t>R. IZAAC FERREIRA DA CRUZ N 3173 ESQ R.PIRAQUARA(BANCO ITAÚ)</t>
  </si>
  <si>
    <t>-25.535953</t>
  </si>
  <si>
    <t>-49.272312</t>
  </si>
  <si>
    <t>GCM95</t>
  </si>
  <si>
    <t>GCM96</t>
  </si>
  <si>
    <t>R. IZAAC FERREIRA DA CRUZ COM R. QUITANDINHA</t>
  </si>
  <si>
    <t>-25.536890</t>
  </si>
  <si>
    <t>-49.275134</t>
  </si>
  <si>
    <t>GCM97</t>
  </si>
  <si>
    <t>GCM98</t>
  </si>
  <si>
    <t>R. IZAAC FERREIRA DA CRUZ N 339 COM R, SÃO JOSÉ DOS PINHAIS-FIXA</t>
  </si>
  <si>
    <t>-25.537096</t>
  </si>
  <si>
    <t>-49.275624</t>
  </si>
  <si>
    <t>GCM99</t>
  </si>
  <si>
    <t>GCM100</t>
  </si>
  <si>
    <t>GCM101</t>
  </si>
  <si>
    <t>RUA DA CIDADANIA BOQUEIRÃO-CANCHAS</t>
  </si>
  <si>
    <t>-25.501615</t>
  </si>
  <si>
    <t>-49.238649</t>
  </si>
  <si>
    <t>GCM102</t>
  </si>
  <si>
    <t>RUA DA CIDADANIA BOQUEIRÃO-ESTACIONAMENTO CORETO</t>
  </si>
  <si>
    <t>-25.501620</t>
  </si>
  <si>
    <t>-49.238642</t>
  </si>
  <si>
    <t>GCM103</t>
  </si>
  <si>
    <t>RUA DA CIDADANIA BOQUEIRÃO-FIXA 1</t>
  </si>
  <si>
    <t>-25.501540</t>
  </si>
  <si>
    <t>-49.238788</t>
  </si>
  <si>
    <t>GCM104</t>
  </si>
  <si>
    <t>RUA DA CIDADANIA BOQUEIRÃO-FIXA 2</t>
  </si>
  <si>
    <t>-25.501623</t>
  </si>
  <si>
    <t>-49.238791</t>
  </si>
  <si>
    <t>GCM105</t>
  </si>
  <si>
    <t>RUA DA CIDADANIA BOQUEIRÃO-FIXA 3</t>
  </si>
  <si>
    <t>-25.501470</t>
  </si>
  <si>
    <t>-49.238826</t>
  </si>
  <si>
    <t>GCM106</t>
  </si>
  <si>
    <t>GCM107</t>
  </si>
  <si>
    <t>RUA DA CIDADANIA PINHEIRO-FIXA 1</t>
  </si>
  <si>
    <t>-25.513875</t>
  </si>
  <si>
    <t>-49.295002</t>
  </si>
  <si>
    <t>GCM108</t>
  </si>
  <si>
    <t>RUA DA CIDADANIA PINHEIRO-FIXA 2</t>
  </si>
  <si>
    <t>-25.513902</t>
  </si>
  <si>
    <t>-49.294995</t>
  </si>
  <si>
    <t>GCM109</t>
  </si>
  <si>
    <t>R. WINSTON CHURCHILL COM R. ADEOTADO VOLPI</t>
  </si>
  <si>
    <t>-25.497830</t>
  </si>
  <si>
    <t>-49.295644</t>
  </si>
  <si>
    <t>GCM110</t>
  </si>
  <si>
    <t>RUA WISTON CHURCHILL ESQ R.SANTA MÔNICA.</t>
  </si>
  <si>
    <t>-25.504447</t>
  </si>
  <si>
    <t>-49.296009</t>
  </si>
  <si>
    <t>GCM111</t>
  </si>
  <si>
    <t>AV. BRASILIA ESQ R. INFANTE DOM HENRIQUE</t>
  </si>
  <si>
    <t>-25.495226</t>
  </si>
  <si>
    <t>-49.277213</t>
  </si>
  <si>
    <t>GCM112</t>
  </si>
  <si>
    <t>RUA DA CIDADANIA FAZENDINHA- TERMINAL- ESTACIIONAMENTO</t>
  </si>
  <si>
    <t>-25.477490</t>
  </si>
  <si>
    <t>-49.326840</t>
  </si>
  <si>
    <t>GCM113</t>
  </si>
  <si>
    <t>RUA DA CIDADANIA FAZENDINHA FIXA 1</t>
  </si>
  <si>
    <t>-25.477986</t>
  </si>
  <si>
    <t>-49.326967</t>
  </si>
  <si>
    <t>GCM114</t>
  </si>
  <si>
    <t>-25.478078</t>
  </si>
  <si>
    <t>-49.326431</t>
  </si>
  <si>
    <t>GCM115</t>
  </si>
  <si>
    <t>RUA DA CIDADANIA FAZENDINHA FIXA 3</t>
  </si>
  <si>
    <t>-25.478270</t>
  </si>
  <si>
    <t>-49.327010</t>
  </si>
  <si>
    <t>GCM116</t>
  </si>
  <si>
    <t>CEMITÉRIO ÁGUA VERDE- PRAÇA SAGRADO CORAÇÃO DE JESUS</t>
  </si>
  <si>
    <t>-49.280814</t>
  </si>
  <si>
    <t>GCM117</t>
  </si>
  <si>
    <t>CEMITÉRIO ÁGUA VERDE- PORTÃO FUNDOS</t>
  </si>
  <si>
    <t>-25.454501</t>
  </si>
  <si>
    <t>-49.282238</t>
  </si>
  <si>
    <t>GCM118</t>
  </si>
  <si>
    <t>CEMITÉRIO ÁGUA VERDE- R, MARQUES DO PARANA COM R. GUILHERMA PUSGLEY</t>
  </si>
  <si>
    <t>-25.453784</t>
  </si>
  <si>
    <t>-49.284649</t>
  </si>
  <si>
    <t>GCM119</t>
  </si>
  <si>
    <t>CEMITÉRIO ÁGUA VERDE FIXA 2</t>
  </si>
  <si>
    <t>-25.455263</t>
  </si>
  <si>
    <t>-49.284184</t>
  </si>
  <si>
    <t>GCM120</t>
  </si>
  <si>
    <t>GCM121</t>
  </si>
  <si>
    <t>GCM122</t>
  </si>
  <si>
    <t>RUA DA CIDADANIA SANTA FELICIDADE FIXA 1</t>
  </si>
  <si>
    <t>-25.400190</t>
  </si>
  <si>
    <t>-49.330619</t>
  </si>
  <si>
    <t>GCM123</t>
  </si>
  <si>
    <t>RUA DA CIDADANIA SANTA FELICIDADE FIXA 2</t>
  </si>
  <si>
    <t>-25.400307</t>
  </si>
  <si>
    <t>-49.330546</t>
  </si>
  <si>
    <t>GCM124</t>
  </si>
  <si>
    <t>RUA DA CIDADANIA SANTA FELICIDADE CANCHA FIXA 3</t>
  </si>
  <si>
    <t>-25.400295</t>
  </si>
  <si>
    <t>-49.329994</t>
  </si>
  <si>
    <t>GCM125</t>
  </si>
  <si>
    <t>RUA DA CIADADANIA SANTA FELICIDADE FIXA 4</t>
  </si>
  <si>
    <t>-25.400810</t>
  </si>
  <si>
    <t>-49.329679</t>
  </si>
  <si>
    <t>GCM126</t>
  </si>
  <si>
    <t>R. SANTA BERTILA BOSCARDIN- PRAÇA SÃO MARCOS- CTA3498</t>
  </si>
  <si>
    <t>-25.401661</t>
  </si>
  <si>
    <t>-49.329778</t>
  </si>
  <si>
    <t>GCM127</t>
  </si>
  <si>
    <t>PRAÇA SÃO MARCOS FIXA</t>
  </si>
  <si>
    <t>-25.401595</t>
  </si>
  <si>
    <t>-49.330108</t>
  </si>
  <si>
    <t>GCM128</t>
  </si>
  <si>
    <t>GCM129</t>
  </si>
  <si>
    <t>R. TOALDO TÚLIO(TRÊS MARIAS)</t>
  </si>
  <si>
    <t>-25.424798</t>
  </si>
  <si>
    <t>-49.352596</t>
  </si>
  <si>
    <t>GCM130</t>
  </si>
  <si>
    <t>PARQUE BARIGUI-BISTRO CASA AMARELA</t>
  </si>
  <si>
    <t>-25.424332</t>
  </si>
  <si>
    <t>-49.306232</t>
  </si>
  <si>
    <t>GCM131</t>
  </si>
  <si>
    <t>PARQUE BARIGUI- ESTACIONAMENTO ALAMEDA ECOLOGICA BURLE MARX</t>
  </si>
  <si>
    <t>-25.426239</t>
  </si>
  <si>
    <t>-49.308360</t>
  </si>
  <si>
    <t>GCM132</t>
  </si>
  <si>
    <t>PARQUE BARIGUI - CHURRASQUEIRAS</t>
  </si>
  <si>
    <t>-25.426521</t>
  </si>
  <si>
    <t>-49.311402</t>
  </si>
  <si>
    <t>GCM133</t>
  </si>
  <si>
    <t>GCM134</t>
  </si>
  <si>
    <t>PARQUE BARIGUI- ESTACIONAMENTO BR 277</t>
  </si>
  <si>
    <t>-25.429440</t>
  </si>
  <si>
    <t>-49.315972</t>
  </si>
  <si>
    <t>GCM135</t>
  </si>
  <si>
    <t>RUA DA CIDADANIA BOA-VISTA PATIO INTERNO</t>
  </si>
  <si>
    <t>-25.385212</t>
  </si>
  <si>
    <t>-49.232074</t>
  </si>
  <si>
    <t>GCM136</t>
  </si>
  <si>
    <t>RUA DA CIDADANIA BOA VISTA MODULO DA GMC</t>
  </si>
  <si>
    <t>-25.384970</t>
  </si>
  <si>
    <t>-49.232158</t>
  </si>
  <si>
    <t>GCM137</t>
  </si>
  <si>
    <t>RUA DA CIDADANIA BOA VISTA FIXA 2</t>
  </si>
  <si>
    <t>-25.385101</t>
  </si>
  <si>
    <t>-49.232559</t>
  </si>
  <si>
    <t>GCM138</t>
  </si>
  <si>
    <t>RUA DA CIDADANIA BOA VISTA FIXA 3</t>
  </si>
  <si>
    <t>-25.385443</t>
  </si>
  <si>
    <t>-49.232520</t>
  </si>
  <si>
    <t>GCM139</t>
  </si>
  <si>
    <t>RUA DA CIDADANIA BOA VISTA FIXA 4</t>
  </si>
  <si>
    <t>-25.385511</t>
  </si>
  <si>
    <t>-49.232631</t>
  </si>
  <si>
    <t>GCM140</t>
  </si>
  <si>
    <t>PARQUE DOS TROPEIROS- ENTRADA PRINCIPAL</t>
  </si>
  <si>
    <t>-25.497479</t>
  </si>
  <si>
    <t>-49.359975</t>
  </si>
  <si>
    <t>GCM141</t>
  </si>
  <si>
    <t>PARQUE DOS TROPEIROS-PALCO FIXA 1</t>
  </si>
  <si>
    <t>-25.497460</t>
  </si>
  <si>
    <t>-49.359954</t>
  </si>
  <si>
    <t>GCM142</t>
  </si>
  <si>
    <t>PARQUE DOS TROPEIROS- CHURRASQUEIRA FIXA 2</t>
  </si>
  <si>
    <t>-25.497332</t>
  </si>
  <si>
    <t>-49.359941</t>
  </si>
  <si>
    <t>GCM143</t>
  </si>
  <si>
    <t>PARQUE DOS TROPEIROS- BANHEIRO FIXA 3</t>
  </si>
  <si>
    <t>-25.492410</t>
  </si>
  <si>
    <t>-49.354384</t>
  </si>
  <si>
    <t>GCM144</t>
  </si>
  <si>
    <t>PARQUE DOS TROPEIROS- CENTRAL</t>
  </si>
  <si>
    <t>-25.496267</t>
  </si>
  <si>
    <t>-49.360429</t>
  </si>
  <si>
    <t>GCM145</t>
  </si>
  <si>
    <t>PARQUE DOS TROPEIROS- ENTRADA II- FIXA 4</t>
  </si>
  <si>
    <t>-25.496470</t>
  </si>
  <si>
    <t>-49.358219</t>
  </si>
  <si>
    <t>GCM146</t>
  </si>
  <si>
    <t>GCM147</t>
  </si>
  <si>
    <t>PARQUE DOS TROPEIROS-GOC CANIL FIXA 5</t>
  </si>
  <si>
    <t>-25.497458</t>
  </si>
  <si>
    <t>-49.360214</t>
  </si>
  <si>
    <t>GCM148</t>
  </si>
  <si>
    <t>PARQUE DOS TROPEIROS- GOC LATERAL-FIXA 6</t>
  </si>
  <si>
    <t>-25.497855</t>
  </si>
  <si>
    <t>-49.360043</t>
  </si>
  <si>
    <t>GCM149</t>
  </si>
  <si>
    <t>PARQUE DOS TROPEIROS- ULP -SALÃO FUNDOS-FIXA 7</t>
  </si>
  <si>
    <t>-25.497235</t>
  </si>
  <si>
    <t>-49.361974</t>
  </si>
  <si>
    <t>GCM150</t>
  </si>
  <si>
    <t>GCM151</t>
  </si>
  <si>
    <t>PARQUE DOS TROPEIROS- ULP -SALÃO FRENTE-FIXA 8</t>
  </si>
  <si>
    <t>-25.498320</t>
  </si>
  <si>
    <t>-49.359420</t>
  </si>
  <si>
    <t>GCM152</t>
  </si>
  <si>
    <t>PARQUE NAUTICO-CLUBE DE RAMO</t>
  </si>
  <si>
    <t>-25.436582</t>
  </si>
  <si>
    <t>-49.057573</t>
  </si>
  <si>
    <t>GM-FRG</t>
  </si>
  <si>
    <t>FAZENDA RIO GRANDE</t>
  </si>
  <si>
    <t>https://monitoramento.pm.pr.gov.br/proxy_image_17/</t>
  </si>
  <si>
    <t>AV BRASIL X AV ARAUCARIAS</t>
  </si>
  <si>
    <t>-25.645116</t>
  </si>
  <si>
    <t>-49.304975</t>
  </si>
  <si>
    <t>AV PARAGUAI</t>
  </si>
  <si>
    <t>AV PARAGUAI - US VILA MARLI</t>
  </si>
  <si>
    <t>-25.659224</t>
  </si>
  <si>
    <t>-49.295559</t>
  </si>
  <si>
    <t>AV POLONIA x DINAMARCA</t>
  </si>
  <si>
    <t>-25.661909</t>
  </si>
  <si>
    <t>-49.295595</t>
  </si>
  <si>
    <t>AV PORTUGAL 2</t>
  </si>
  <si>
    <t>AV PORTUGAL</t>
  </si>
  <si>
    <t>-25.656750</t>
  </si>
  <si>
    <t>-49.310202</t>
  </si>
  <si>
    <t>AV PORTUGAL LPR</t>
  </si>
  <si>
    <t>38.771343</t>
  </si>
  <si>
    <t>-9.097353</t>
  </si>
  <si>
    <t>Barracao CME</t>
  </si>
  <si>
    <t>-25.504568</t>
  </si>
  <si>
    <t>-49.228966</t>
  </si>
  <si>
    <t>BRASIL X AUSTRIA</t>
  </si>
  <si>
    <t>AUSTRIA X BRASIL SENTIDO BAIRRO</t>
  </si>
  <si>
    <t>-25.661391</t>
  </si>
  <si>
    <t>-49.308083</t>
  </si>
  <si>
    <t>CAMARA MUNICIPAL2</t>
  </si>
  <si>
    <t>CAMARA MUNICIPAL CENTRO</t>
  </si>
  <si>
    <t>-25.644623</t>
  </si>
  <si>
    <t>-49.316775</t>
  </si>
  <si>
    <t>CARRETA CONHENCIMENTO</t>
  </si>
  <si>
    <t>CARRETA CONHENCIMENTO GRECIA</t>
  </si>
  <si>
    <t>-25.513963</t>
  </si>
  <si>
    <t>-49.235433</t>
  </si>
  <si>
    <t>CESAR CARELLI - CAMARA</t>
  </si>
  <si>
    <t>CAMARA MUNICIPAL</t>
  </si>
  <si>
    <t>-25.644595</t>
  </si>
  <si>
    <t>-49.316828</t>
  </si>
  <si>
    <t>CESAR CARELLI X RIO IVAI</t>
  </si>
  <si>
    <t>-25.645099</t>
  </si>
  <si>
    <t>-49.316736</t>
  </si>
  <si>
    <t>ESTADOS UNIDOS</t>
  </si>
  <si>
    <t>FRANCISCO CLAUDINO</t>
  </si>
  <si>
    <t>FRANCISCO CLAUDINO DOS SANTOS (CEMITÉRIO)</t>
  </si>
  <si>
    <t>-25.646135</t>
  </si>
  <si>
    <t>-49.319809</t>
  </si>
  <si>
    <t>Jacaranda Bairro</t>
  </si>
  <si>
    <t>Traseira: Jacaranda x Bairro / Dianteira: Jacaranda x Br</t>
  </si>
  <si>
    <t>-25.542800</t>
  </si>
  <si>
    <t>-49.273492</t>
  </si>
  <si>
    <t>JACARANDA BR</t>
  </si>
  <si>
    <t>JACARANDA SENTIDO BR</t>
  </si>
  <si>
    <t>JACARANDA SPEED DOME</t>
  </si>
  <si>
    <t>LPR CESAR CARELLI</t>
  </si>
  <si>
    <t>LG LPR BOTICARIO CESAR CARELLI</t>
  </si>
  <si>
    <t>LPR Careli</t>
  </si>
  <si>
    <t>Cesar Careli Boticario</t>
  </si>
  <si>
    <t>MATO GROSSO x NOSSA SRA APARECIDA</t>
  </si>
  <si>
    <t>MATO GROSSO x NOSSA SRA APARECIDA LPR</t>
  </si>
  <si>
    <t>MATO GROSSO x NOSSA SRA APARECIDA (LPR)</t>
  </si>
  <si>
    <t>Nicola Pelanda x Av Brasil</t>
  </si>
  <si>
    <t>PRACA BRASIL</t>
  </si>
  <si>
    <t>SPEED DOME PRACA BRASIL</t>
  </si>
  <si>
    <t>TERMINAL FIXA</t>
  </si>
  <si>
    <t>TERMINAL FIXA ROTATORIA</t>
  </si>
  <si>
    <t>Teste Mobile LPR</t>
  </si>
  <si>
    <t>Traseira Jacaranda x Bairro Dianteira Jacaranda x Br</t>
  </si>
  <si>
    <t>Traseira Nsa Aparecida x Bairro Dianteira Nsa Aparecida x Br</t>
  </si>
  <si>
    <t>Traseira: Nsa Aparecida x Bairro / Dianteira: Nsa Aparecida x Br</t>
  </si>
  <si>
    <t>Trazeira Portugal x Dianteira Portugal Bairro</t>
  </si>
  <si>
    <t>Nome</t>
  </si>
  <si>
    <t>Descrição</t>
  </si>
  <si>
    <t>CAM 01</t>
  </si>
  <si>
    <t>01 - Praça Santos Andrade - Frente a UFPR - CTA1260</t>
  </si>
  <si>
    <t>CAM 02</t>
  </si>
  <si>
    <t>02 - Praça Santos Andrade - Fixa</t>
  </si>
  <si>
    <t>CAM 03</t>
  </si>
  <si>
    <t>03 - Rua XV, nº 621- ACP esquina com Rua Presidente Faria</t>
  </si>
  <si>
    <t>CAM 04</t>
  </si>
  <si>
    <t>04 - R. XV esquina com R. Barão do Rio Branco, n°525 - CTA1262</t>
  </si>
  <si>
    <t>CAM 05</t>
  </si>
  <si>
    <t>05 - Rua XV, n° 382 - Lojas Rener - CTA1264</t>
  </si>
  <si>
    <t>CAM 06</t>
  </si>
  <si>
    <t>06 - Rua XV esquina Rua Monsenhor Celso, n°98 - Banco Itaú - CTA1265</t>
  </si>
  <si>
    <t>CAM 07</t>
  </si>
  <si>
    <t>07 - Rua XV, n°245 - Loja Marisa - CTA 1266</t>
  </si>
  <si>
    <t>CAM 08</t>
  </si>
  <si>
    <t>08 - Rua XV com Av. Marechal Floriano Peixoto - Galeria Ritz - CTA1267</t>
  </si>
  <si>
    <t>CAM 09</t>
  </si>
  <si>
    <t>09 - Rua XV nº 141 - Frente a Loja C&amp;A - CTA1268</t>
  </si>
  <si>
    <t>CAM 10</t>
  </si>
  <si>
    <t>10 - Rua XV, n° 41 - Loja Prata Fina - CTA1269</t>
  </si>
  <si>
    <t>CAM 101</t>
  </si>
  <si>
    <t>101 - Rua da Cidadania Boqueirão - Canchas</t>
  </si>
  <si>
    <t>CAM 102</t>
  </si>
  <si>
    <t>102 - Rua da Cidadania Boqueirão - Estacionamento Coreto</t>
  </si>
  <si>
    <t>CAM 103</t>
  </si>
  <si>
    <t>103 - Rua da Cidadania Boqueirão - Fixa 1</t>
  </si>
  <si>
    <t>CAM 104</t>
  </si>
  <si>
    <t>104 - Rua da Cidadania Boqueirão - Fixa 2</t>
  </si>
  <si>
    <t>CAM 105</t>
  </si>
  <si>
    <t>105 - Rua da Cidadania Boqueirão - Fixa 3</t>
  </si>
  <si>
    <t>CAM 107</t>
  </si>
  <si>
    <t>107 - Rua da Cidadania Pinheirinho -  Fixa 1</t>
  </si>
  <si>
    <t>CAM 108</t>
  </si>
  <si>
    <t>108 - Rua da Cidadania Pinheirinho Fixa 2</t>
  </si>
  <si>
    <t>CAM 109</t>
  </si>
  <si>
    <t>109 - R. Winston Churchill com R. Adeodato Volpi</t>
  </si>
  <si>
    <t>CAM 11</t>
  </si>
  <si>
    <t>11 - Rua XV esquina com Rua Ébano Pereira, n°11 - Bondinho - CTA1270</t>
  </si>
  <si>
    <t>CAM 110</t>
  </si>
  <si>
    <t>110 -Rua Winston Churchill esquina Rua Santa Mônica.</t>
  </si>
  <si>
    <t>CAM 111</t>
  </si>
  <si>
    <t>111- Av. Brasília esquina com R. Infante Dom Henrique</t>
  </si>
  <si>
    <t>CAM 112</t>
  </si>
  <si>
    <t>112 - Rua da Cidadania Fazendinha - Terminal - Estacionamento</t>
  </si>
  <si>
    <t>CAM 113</t>
  </si>
  <si>
    <t>113 - Rua da Cidadania Fazendinha Fixa 1</t>
  </si>
  <si>
    <t>CAM 114</t>
  </si>
  <si>
    <t>114 - Rua da Cidadania Fazendinha Fixa 2</t>
  </si>
  <si>
    <t>CAM 115</t>
  </si>
  <si>
    <t>115 - Rua da Cidadania Fazendinha Fixa 3</t>
  </si>
  <si>
    <t>CAM 116</t>
  </si>
  <si>
    <t>116 - Cemitério Água Verde -  Praça Sagrado Coração de Jesus</t>
  </si>
  <si>
    <t>CAM 117</t>
  </si>
  <si>
    <t>117 - Cemitério Água Verde - Portão Fundos</t>
  </si>
  <si>
    <t>CAM 118</t>
  </si>
  <si>
    <t>118 - Cemitério Água Verde - R. Marques do Parana com R. Guilherme Pusgley</t>
  </si>
  <si>
    <t>CAM 119</t>
  </si>
  <si>
    <t>119 - Cemitério Água Verde Fixa 2</t>
  </si>
  <si>
    <t>CAM 12</t>
  </si>
  <si>
    <t>12 - R. XV, proximo à Av. Luiz Xavier, n°75, - Hotel Slavieiro - CTA1271</t>
  </si>
  <si>
    <t>CAM 122</t>
  </si>
  <si>
    <t>122 - Rua da Cidadania Santa Felicidade Fixa 1</t>
  </si>
  <si>
    <t>CAM 123</t>
  </si>
  <si>
    <t>123 - Rua da Cidadania Santa Felicidade Fixa 2</t>
  </si>
  <si>
    <t>CAM 124</t>
  </si>
  <si>
    <t>124 - Rua da Cidadania Santa Felicidade Cancha Fixa 3</t>
  </si>
  <si>
    <t>CAM 125</t>
  </si>
  <si>
    <t>125 - Rua da Cidadania Santa Felicidade Fixa 4</t>
  </si>
  <si>
    <t>CAM 126</t>
  </si>
  <si>
    <t>126 -  R. Santa Bertila Boscardin - Praça São Marcos - CTA3498</t>
  </si>
  <si>
    <t>CAM 127</t>
  </si>
  <si>
    <t>127 - Praça São Marcos Fixa</t>
  </si>
  <si>
    <t>CAM 129</t>
  </si>
  <si>
    <t>129 - R. Toaldo Túlio (Três Marias)</t>
  </si>
  <si>
    <t>CAM 13</t>
  </si>
  <si>
    <t>13 - R. XV com Rua Voluntários da Pátria, n°368 - Boticário - CTA1272</t>
  </si>
  <si>
    <t>CAM 130</t>
  </si>
  <si>
    <t>130 - Parque Barigui - Bistro Casa amarela</t>
  </si>
  <si>
    <t>CAM 131</t>
  </si>
  <si>
    <t>131 - Parque Barigui - Estacionamento Alameda Ecologica Burle Marx</t>
  </si>
  <si>
    <t>CAM 132</t>
  </si>
  <si>
    <t>132 - Parque Barigui - Churrasqueiras</t>
  </si>
  <si>
    <t>CAM 134</t>
  </si>
  <si>
    <t>134 - Parque Barigui - Estacionamento BR 277</t>
  </si>
  <si>
    <t>CAM 135</t>
  </si>
  <si>
    <t>135 - Rua da Cidadania Boa Vista Patio Interno</t>
  </si>
  <si>
    <t>CAM 136</t>
  </si>
  <si>
    <t>136 - Rua da Cidadania Boa Vista Modulo da GMC</t>
  </si>
  <si>
    <t>CAM 137</t>
  </si>
  <si>
    <t>137 - Rua da Cidadania Boa Vista Fixa 2</t>
  </si>
  <si>
    <t>CAM 138</t>
  </si>
  <si>
    <t>138 - Rua da Cidadania Boa Vista Fixa 3</t>
  </si>
  <si>
    <t>CAM 139</t>
  </si>
  <si>
    <t>139 - Rua da Cidadania Boa Vista Fixa 4</t>
  </si>
  <si>
    <t>CAM 14</t>
  </si>
  <si>
    <t>14 - Praça  Osório em cima do Cimec - Laje do Cimec - CTA1273</t>
  </si>
  <si>
    <t>CAM 140</t>
  </si>
  <si>
    <t>140 - Parque dos Tropeiros - Entrada Principal</t>
  </si>
  <si>
    <t>CAM 141</t>
  </si>
  <si>
    <t>141- Parque dos Tropeiros - Palco Fixa 1</t>
  </si>
  <si>
    <t>CAM 142</t>
  </si>
  <si>
    <t>142 - Parque dos Tropeiros - Churrasqueira fixa 2</t>
  </si>
  <si>
    <t>CAM 143</t>
  </si>
  <si>
    <t>143 Parque dos Tropeiros - Banheiro Fixa 3</t>
  </si>
  <si>
    <t>CAM 144</t>
  </si>
  <si>
    <t>144 - Parque dos Tropeiros - Central</t>
  </si>
  <si>
    <t>CAM 145</t>
  </si>
  <si>
    <t>145 -Parque dos Tropeiros - Entrada II - Fixa 4</t>
  </si>
  <si>
    <t>CAM 147</t>
  </si>
  <si>
    <t>147 - Parque dos Tropeiros - GOC Canil Fixa 5</t>
  </si>
  <si>
    <t>CAM 148</t>
  </si>
  <si>
    <t>148 - Parque dos Tropeiros - GOC Lateral - Fixa 6</t>
  </si>
  <si>
    <t>CAM 149</t>
  </si>
  <si>
    <t>149 - Parque dos Tropeiros - ULP -Salão Fundos - Fixa 7</t>
  </si>
  <si>
    <t>CAM 15</t>
  </si>
  <si>
    <t>15 - R. Riachuelo com Paço Municipal - Restaurante Mineiro - CTA4016</t>
  </si>
  <si>
    <t>CAM 151</t>
  </si>
  <si>
    <t>151 - Parque dos Tropeiros - ULP  Salão Frente  - Fixa 8</t>
  </si>
  <si>
    <t>CAM 152</t>
  </si>
  <si>
    <t>152 - Parque Nautico - Clube de Remo</t>
  </si>
  <si>
    <t>CAM 154</t>
  </si>
  <si>
    <t>154 - Rua André de Barros, em frente ao n° 820 - Terminal Guadalupe - CTA4023</t>
  </si>
  <si>
    <t>CAM 16</t>
  </si>
  <si>
    <t>16 - Praça Tiradentes (meio da Praça)</t>
  </si>
  <si>
    <t>CAM 17</t>
  </si>
  <si>
    <t>17 - Praça Tiradentes - Estaçaõ Tubo</t>
  </si>
  <si>
    <t>CAM 18</t>
  </si>
  <si>
    <t>18 - Praça Tiradentes com R. Monsenhor Celso - Lojas Pernambucanas - CTA4017</t>
  </si>
  <si>
    <t>CAM 19</t>
  </si>
  <si>
    <t>19 - Praça Tiradentes esquina Pça Borges de Macedo - CTA 4018</t>
  </si>
  <si>
    <t>CAM 20</t>
  </si>
  <si>
    <t>20 -  R. Saldanha Marinho esquina R. Doutor Muricy</t>
  </si>
  <si>
    <t>CAM 21</t>
  </si>
  <si>
    <t>21 - R. Barão de Serro Azul com R. São Francisco - Livraria João Halpt</t>
  </si>
  <si>
    <t>CAM 22</t>
  </si>
  <si>
    <t>22 - Rua Claudino dos Santos com Rua Mateus Leme - Igreja Branca - CTA4007</t>
  </si>
  <si>
    <t>CAM 23</t>
  </si>
  <si>
    <t>23 - Rua Claudino dos Santos - Frente ao Memorial - CTA4006</t>
  </si>
  <si>
    <t>CAM 24</t>
  </si>
  <si>
    <t>24 - Rua Claudino dos Santos com Rua do Rosário - Igreja Preta - CTA4005</t>
  </si>
  <si>
    <t>CAM 25</t>
  </si>
  <si>
    <t>25 - Rua Jaime Reis com Rua Trajano Reis  - Bar do Largohi - CTA4004</t>
  </si>
  <si>
    <t>CAM 26</t>
  </si>
  <si>
    <t>26 - Escadarias das Ruínas São Francisco - Arcadas - CTA4003</t>
  </si>
  <si>
    <t>CAM 27</t>
  </si>
  <si>
    <t>27 - R. Jaime Reis  - Ruínas São Francisco - Fixa</t>
  </si>
  <si>
    <t>CAM 28</t>
  </si>
  <si>
    <t>28 - Praça João Cândido - Belvedere - CTA1263</t>
  </si>
  <si>
    <t>CAM 30</t>
  </si>
  <si>
    <t>30 - R. Tobias de Macedo com R. Moreira Garcez</t>
  </si>
  <si>
    <t>CAM 31</t>
  </si>
  <si>
    <t>31 - R. Mal Deodoro com Alameda Dr. Muricy - CTA4009</t>
  </si>
  <si>
    <t>CAM 32</t>
  </si>
  <si>
    <t>32 - R. Marechal Deodoro com R. Marechal Floriano Peixoto - Link PMC</t>
  </si>
  <si>
    <t>CAM 33</t>
  </si>
  <si>
    <t>33 - R. Mal Deodoro com R. Barão do Rio Branco - CTA4011</t>
  </si>
  <si>
    <t>CAM 34</t>
  </si>
  <si>
    <t>34 - Rua Marechal Deodoro com Rua Conselheiro Laurindo - CTA4012</t>
  </si>
  <si>
    <t>CAM 35</t>
  </si>
  <si>
    <t>35 - R. Marechal Deodoro com R. Mariano Torres</t>
  </si>
  <si>
    <t>CAM 36</t>
  </si>
  <si>
    <t>36 - Rua Treze de Maio, 301 - Predio Residêncial</t>
  </si>
  <si>
    <t>CAM 37</t>
  </si>
  <si>
    <t>37 - R. Riachuelo com Presidente Carlos Cavalcanti  - Predio Residêncial - CTA4020</t>
  </si>
  <si>
    <t>CAM 38</t>
  </si>
  <si>
    <t>38 -Sede GMC - Frente Fachada</t>
  </si>
  <si>
    <t>CAM 42</t>
  </si>
  <si>
    <t>42 - R. Candido de Abreu esquina com  R. Inácio Lustosa</t>
  </si>
  <si>
    <t>CAM 43</t>
  </si>
  <si>
    <t>43 - PMC - (Rua Papa João XXIII) - Estacionamento</t>
  </si>
  <si>
    <t>CAM 44</t>
  </si>
  <si>
    <t>44 - PMC - R.  Papa João XXIII - Estacionamento - Fixa</t>
  </si>
  <si>
    <t>CAM 45</t>
  </si>
  <si>
    <t>45 - Av. Cândido de Abreu - Rotatória - CTA4025</t>
  </si>
  <si>
    <t>CAM 46</t>
  </si>
  <si>
    <t>46 - PMC - Praça Nossa Senhora da Salete - Fixa</t>
  </si>
  <si>
    <t>CAM 48</t>
  </si>
  <si>
    <t>48 - Praça da Espanha - Lado Saldanha Marinho - CTA3496</t>
  </si>
  <si>
    <t>CAM 49</t>
  </si>
  <si>
    <t>49 - Rua Inácio Lustosa esquina com Rua Trajano Reis - CTA3501</t>
  </si>
  <si>
    <t>CAM 50</t>
  </si>
  <si>
    <t>50 - Rua Trajano Reis esquina com R. Treze de Maio - Loja MAsiero - CTA3502</t>
  </si>
  <si>
    <t>CAM 51</t>
  </si>
  <si>
    <t>51 - Rua Maria Clara com Rua Amâncio Moro - Igreja Perpétuo Socorro - CTA 2432</t>
  </si>
  <si>
    <t>CAM 52</t>
  </si>
  <si>
    <t>52 - R. Ivo Leão esquina com R. Amâncio Moro</t>
  </si>
  <si>
    <t>CAM 54</t>
  </si>
  <si>
    <t>54 - R. Brigadeiro Franco esquina com R. Comendador Araújo</t>
  </si>
  <si>
    <t>CAM 55</t>
  </si>
  <si>
    <t>55 - R. Brigadeiro Franco esquina com R. Cel. Menna Barreto Monclaro</t>
  </si>
  <si>
    <t>CAM 56</t>
  </si>
  <si>
    <t>56 - R. João Negrao com Andre de Barros - Loja Esquina da Moda - CTA4022</t>
  </si>
  <si>
    <t>CAM 57</t>
  </si>
  <si>
    <t>57 - Praça Rui Barbosa - Rua da Cidadania Matriz</t>
  </si>
  <si>
    <t>CAM 59</t>
  </si>
  <si>
    <t>59 -Praça Rui Barbosa - Rua da Cidadania Matriz (Armazém)</t>
  </si>
  <si>
    <t>CAM 60</t>
  </si>
  <si>
    <t>60 - Praça Rui Barbosa - Rua da Cidadania Matriz (Fundos do Módulo da GM) - Link PMC</t>
  </si>
  <si>
    <t>CAM 61</t>
  </si>
  <si>
    <t>61 - Av. Pres. Affonso Camargo esquina com R.  General Carneiro (rodof.)</t>
  </si>
  <si>
    <t>CAM 62</t>
  </si>
  <si>
    <t>62 - Av. Pres. Affonso Camargo com Rua Mariano Torres - Loja de Carros Artique Car - CTA 2337</t>
  </si>
  <si>
    <t>CAM 64</t>
  </si>
  <si>
    <t>64 - Rua Winston Churchill,969 - CTA3504</t>
  </si>
  <si>
    <t>CAM 65</t>
  </si>
  <si>
    <t>65 - Av. Sete de Setembro esquina com R.  João Negrão (Ponte Preta)</t>
  </si>
  <si>
    <t>CAM 66</t>
  </si>
  <si>
    <t>66 - Av. Sete de Setembro esquina com R.  Tibagi</t>
  </si>
  <si>
    <t>CAM 67</t>
  </si>
  <si>
    <t>67 - Av. Sete de Setembro esquina com Viaduto do Capanema</t>
  </si>
  <si>
    <t>CAM 72</t>
  </si>
  <si>
    <t>72 - R.  Conselheiro Laurindo esquina com R.  Pedro Ivo.</t>
  </si>
  <si>
    <t>CAM 73</t>
  </si>
  <si>
    <t>73 - Rua Izaac Ferreira da Cruz com Rua Filosofo Humberto Rohden - CTA 2424</t>
  </si>
  <si>
    <t>CAM 74</t>
  </si>
  <si>
    <t>74 - R. Lourenço Pinto, 339 - Entrada Latera da Câmara Municipal de Curitiba - CTA 2346</t>
  </si>
  <si>
    <t>CAM 79</t>
  </si>
  <si>
    <t>79 - Rua da Cidadania Bairro Novo - Rua Tijucas do Sul, 1700 - CTA-</t>
  </si>
  <si>
    <t>CAM 80</t>
  </si>
  <si>
    <t>80 - R. Tijucas do Sul com R. Nova Aurora</t>
  </si>
  <si>
    <t>CAM 84</t>
  </si>
  <si>
    <t>84 - Praça Aristides O.H. Filho - R. Celeste Tortado c/ R. Filosofo H. Rohden</t>
  </si>
  <si>
    <t>CAM 86</t>
  </si>
  <si>
    <t>86 - R. Ourizona -  US Jão Candido - Pça Napoleao C. Filho</t>
  </si>
  <si>
    <t>CAM 87</t>
  </si>
  <si>
    <t>87 - R.  São José dos Pinhais esquina com R.  Ourizona</t>
  </si>
  <si>
    <t>CAM 88</t>
  </si>
  <si>
    <t>88 - R.  São José dos Pinhais esquina com R.  Edgard C. de Albuquerque</t>
  </si>
  <si>
    <t>CAM 89</t>
  </si>
  <si>
    <t>89 - R. Tijucas do Sul com R. Jussara - Estação Tubo  - Hospital - CTA 2456</t>
  </si>
  <si>
    <t>CAM 91</t>
  </si>
  <si>
    <t>91 - R.  Izaac Ferreira da Cruz esquina com R.  David Tows</t>
  </si>
  <si>
    <t>CAM 92</t>
  </si>
  <si>
    <t>92 - R.  Izaac Ferreira da Cruz, n°  3560 - Terminal Sito Cercado</t>
  </si>
  <si>
    <t>CAM 93</t>
  </si>
  <si>
    <t>93 - R.  Izaac Ferreira da Cruz n° 3540 - Terminal Sitio Cercado</t>
  </si>
  <si>
    <t>CAM 94</t>
  </si>
  <si>
    <t>94 - R. Izaac Ferreira da Cruz n° 3173 com R.  Piraquara (Banco Itaú)</t>
  </si>
  <si>
    <t>CAM 96</t>
  </si>
  <si>
    <t>96 - R. Izaac Ferreira da Cruz com R. Quitandinha</t>
  </si>
  <si>
    <t>CAM 98</t>
  </si>
  <si>
    <t>98 - R.  Izaac Ferreira da Cruz n° 3391, com R.  São José dos Pinhais - Fixa</t>
  </si>
  <si>
    <t>CONTATO ICI CURITIBA: TEC. THIAGO: 41 99848-9366</t>
  </si>
  <si>
    <t>BARRACÃO</t>
  </si>
  <si>
    <t>NOME</t>
  </si>
  <si>
    <t>LINK</t>
  </si>
  <si>
    <t>ENDEREÇO</t>
  </si>
  <si>
    <t>LATITUDE</t>
  </si>
  <si>
    <t>LONGITUDE</t>
  </si>
  <si>
    <t>BATALHÃO</t>
  </si>
  <si>
    <t>camera 01</t>
  </si>
  <si>
    <t>rtsp://siscop:siscop@10.47.142.100:554/Interface/Cameras/Media?Camera=BRC_VGT_001</t>
  </si>
  <si>
    <t>Avenida Arnaldo Busato x BR-280</t>
  </si>
  <si>
    <t>21 BPM</t>
  </si>
  <si>
    <t>-26.2576271,-53.6186331</t>
  </si>
  <si>
    <t>camera 02</t>
  </si>
  <si>
    <t>rtsp://siscop:siscop@10.47.142.100:554/Interface/Cameras/Media?Camera=BRC_CEN_002</t>
  </si>
  <si>
    <t>Rua Geni Damiani X Rua Pedro Poleto</t>
  </si>
  <si>
    <t>-26.2570373,-53.6281410</t>
  </si>
  <si>
    <t>camera 03</t>
  </si>
  <si>
    <t>rtsp://siscop:siscop@10.47.142.100:554/Interface/Cameras/Media?Camera=BRC_CEN_003</t>
  </si>
  <si>
    <t>Avenida Brasília X Rua T. Neves</t>
  </si>
  <si>
    <t>-26.2510022,-53.6356097</t>
  </si>
  <si>
    <t>camera 04</t>
  </si>
  <si>
    <t>rtsp://siscop:siscop@10.47.142.100:554/Interface/Cameras/Media?Camera=BRC_ALV_004</t>
  </si>
  <si>
    <t>Rua Amazonas X Rua Minas Gerais</t>
  </si>
  <si>
    <t>-26.2491024,-53.6360990</t>
  </si>
  <si>
    <t>camera 05</t>
  </si>
  <si>
    <t>rtsp://siscop:siscop@10.47.142.100:554/Interface/Cameras/Media?Camera=BRC_FNT_005</t>
  </si>
  <si>
    <t>Rua Rep. Argentina X Av. Brasil</t>
  </si>
  <si>
    <t>-26.2496836,-53.6371820</t>
  </si>
  <si>
    <t>camera 06</t>
  </si>
  <si>
    <t>rtsp://siscop:siscop@10.47.142.100:554/Interface/Cameras/Media?Camera=BRC_FNT_006</t>
  </si>
  <si>
    <t>Rua Goias X Cristalino</t>
  </si>
  <si>
    <t>-26.2520192,-53.6388366</t>
  </si>
  <si>
    <t>camera 07</t>
  </si>
  <si>
    <t>rtsp://siscop:siscop@10.47.142.100:554/Interface/Cameras/Media?Camera=BRC_FNT_007</t>
  </si>
  <si>
    <t>Rua Rio Grande do Sul X Rua 7 de Setembro</t>
  </si>
  <si>
    <t>-26.2547771,-53.6361819</t>
  </si>
  <si>
    <t>camera 08</t>
  </si>
  <si>
    <t>rtsp://siscop:siscop@10.47.142.100:554/Interface/Cameras/Media?Camera=BRC_CEN_008</t>
  </si>
  <si>
    <t>Rua Rio Grande do Sul X Rua Bahia</t>
  </si>
  <si>
    <t>-26.2535929,-53.6357097</t>
  </si>
  <si>
    <t>camera 09</t>
  </si>
  <si>
    <t>rtsp://siscop:siscop@10.47.142.100:554/Interface/Cameras/Media?Camera=BRC_FNT_009</t>
  </si>
  <si>
    <t xml:space="preserve">Avenida Paraná – em frente ao Colégio Judite Guarente </t>
  </si>
  <si>
    <t>-26.2575538,-53.6302116</t>
  </si>
  <si>
    <t>camera 10</t>
  </si>
  <si>
    <t>rtsp://siscop:siscop@10.47.142.100:554/Interface/Cameras/Media?Camera=BRC_CEN_010</t>
  </si>
  <si>
    <t>Destacameto Policia Militar</t>
  </si>
  <si>
    <t>-26.2573100,-53.6281890</t>
  </si>
  <si>
    <t>camera 11</t>
  </si>
  <si>
    <t>rtsp://10.47.142.98:554/H264?ch=1-8&amp;subtype=0</t>
  </si>
  <si>
    <t>-26.2572860,-53.6283040</t>
  </si>
  <si>
    <t>camera 12</t>
  </si>
  <si>
    <t>rtsp://10.47.142.98:554/H264?ch=2-8&amp;subtype=0</t>
  </si>
  <si>
    <t>camera 13</t>
  </si>
  <si>
    <t>rtsp://10.47.142.98:554/H264?ch=3-8&amp;subtype=0</t>
  </si>
  <si>
    <t>-26.2573690,-53.6283200</t>
  </si>
  <si>
    <t>camera 14</t>
  </si>
  <si>
    <t>rtsp://10.47.142.98:554/H264?ch=4-8&amp;subtype=0</t>
  </si>
  <si>
    <t>-26.2571260,-53.6285710</t>
  </si>
  <si>
    <t>camera 15</t>
  </si>
  <si>
    <t>rtsp://10.47.142.98:554/H264?ch=5-8&amp;subtype=0</t>
  </si>
  <si>
    <t>-26.2572680,-53.6286260</t>
  </si>
  <si>
    <t>SANTO ANTONIO DO SUDOESTE</t>
  </si>
  <si>
    <t>rtsp://siscop:siscop@10.47.136.100:554/Interface/Cameras/Media?Camera=STA_ENT_001</t>
  </si>
  <si>
    <t>Alfandega</t>
  </si>
  <si>
    <t>-26.056857</t>
  </si>
  <si>
    <t>-53.730064</t>
  </si>
  <si>
    <t>-26.056857, -53.730064</t>
  </si>
  <si>
    <t>rtsp://siscop:siscop@10.47.136.100:554/Interface/Cameras/Media?Camera=STA_ENT_002</t>
  </si>
  <si>
    <t>Avenida Ramalho Piva X BR 168 - Saída Pranchita</t>
  </si>
  <si>
    <t>-26.058044</t>
  </si>
  <si>
    <t>-53.726420</t>
  </si>
  <si>
    <t>-26.058044, -53.726420</t>
  </si>
  <si>
    <t>rtsp://siscop:siscop@10.47.136.100:554/Interface/Cameras/Media?Camera=STA_EMB_003</t>
  </si>
  <si>
    <t>Trevo BR 163 - Saída Ampere</t>
  </si>
  <si>
    <t>-26.059267</t>
  </si>
  <si>
    <t>-53.719973</t>
  </si>
  <si>
    <t>-26.059267, -53.719973</t>
  </si>
  <si>
    <t>rtsp://siscop:siscop@10.47.136.100:554/Interface/Cameras/Media?Camera=STA_ARI_004</t>
  </si>
  <si>
    <t>Rua Jesuíno Teodorico de Andrade – Trevo BR 163</t>
  </si>
  <si>
    <t>-26.074927</t>
  </si>
  <si>
    <t>-53.719062</t>
  </si>
  <si>
    <t>-26.074927, -53.719062</t>
  </si>
  <si>
    <t>rtsp://siscop:siscop@10.47.136.100:554/Interface/Cameras/Media?Camera=STA_CEN_005</t>
  </si>
  <si>
    <t>Avenida Brasil n⁰ 500 - Obelisco</t>
  </si>
  <si>
    <t>-26.072946</t>
  </si>
  <si>
    <t>-53.725773</t>
  </si>
  <si>
    <t>-26.072946, -53.725773</t>
  </si>
  <si>
    <t>rtsp://siscop:siscop@10.47.136.100:554/Interface/Cameras/Media?Camera=STA_CEN_006</t>
  </si>
  <si>
    <t>Avenida Brasil em frente ao n⁰ 301 - Rodoviária</t>
  </si>
  <si>
    <t>-26.075140</t>
  </si>
  <si>
    <t>-53.722765</t>
  </si>
  <si>
    <t>-26.075140, -53.722765</t>
  </si>
  <si>
    <t>rtsp://siscop:siscop@10.47.136.100:554/Interface/Cameras/Media?Camera=STA_AUR_007</t>
  </si>
  <si>
    <t>Rua Tancredo Neves X Rua Arnaldo Sorensen - Vila Aurora</t>
  </si>
  <si>
    <t>-26.055795</t>
  </si>
  <si>
    <t>-53.723456</t>
  </si>
  <si>
    <t>-26.055795, -53.723456</t>
  </si>
  <si>
    <t>rtsp://siscop:siscop@10.47.136.100:554/Interface/Cameras/Media?Camera=STA_NOV_008</t>
  </si>
  <si>
    <t>Avenida Brasil n°1547 - Posto Foquezatto</t>
  </si>
  <si>
    <t>-26.065286</t>
  </si>
  <si>
    <t>-53.725891</t>
  </si>
  <si>
    <t>-26.065286, -53.725891</t>
  </si>
  <si>
    <t>rtsp://siscop:siscop@10.47.136.100:554/Interface/Cameras/Media?Camera=STA_PRI_009</t>
  </si>
  <si>
    <t>Rua Dom Pedro I X Avenida Brasil</t>
  </si>
  <si>
    <t>-26.071459</t>
  </si>
  <si>
    <t>-53.725670</t>
  </si>
  <si>
    <t>-26.071459, -53.725670</t>
  </si>
  <si>
    <t>rtsp://siscop:siscop@10.47.136.100:554/Interface/Cameras/Media?Camera=STA_CEN_010</t>
  </si>
  <si>
    <t>-26.071440</t>
  </si>
  <si>
    <t>-53.730423</t>
  </si>
  <si>
    <t>-26.071440, -53.730423</t>
  </si>
  <si>
    <t>SANTA HELENA</t>
  </si>
  <si>
    <t>rtsp://siscop:siscop@10.47.150.100:554/Interface/Cameras/Media?Camera=STH_ALA_001</t>
  </si>
  <si>
    <t xml:space="preserve">Rua Ângelo Catani x Rua Vereador José Biesdorf </t>
  </si>
  <si>
    <t>-24.87235</t>
  </si>
  <si>
    <t>-54.3342</t>
  </si>
  <si>
    <t>19 BPM</t>
  </si>
  <si>
    <t>-24.87235, -54.3342</t>
  </si>
  <si>
    <t>rtsp://siscop:siscop@10.47.150.100:554/Interface/Cameras/Media?Camera=STH_BXA_002</t>
  </si>
  <si>
    <t xml:space="preserve"> Rua Vereador José Biesdorf  X Rua Para</t>
  </si>
  <si>
    <t>-24.86906</t>
  </si>
  <si>
    <t>-54.34392</t>
  </si>
  <si>
    <t>-24.86906, -54.34392</t>
  </si>
  <si>
    <t>rtsp://siscop:siscop@10.47.150.100:554/Interface/Cameras/Media?Camera=STH_FRN_003</t>
  </si>
  <si>
    <t>Rua do Porto x Rua Argentina</t>
  </si>
  <si>
    <t>-24.8765</t>
  </si>
  <si>
    <t>-54.34565</t>
  </si>
  <si>
    <t>-24.8765, -54.34565</t>
  </si>
  <si>
    <t>rtsp://siscop:siscop@10.47.150.100:554/Interface/Cameras/Media?Camera=STH_CEN_004</t>
  </si>
  <si>
    <t>Avenida Curitiba X Avenida Brasil</t>
  </si>
  <si>
    <t>-24.85896</t>
  </si>
  <si>
    <t>-54.33463</t>
  </si>
  <si>
    <t>-24.85896, -54.33463</t>
  </si>
  <si>
    <t>rtsp://siscop:siscop@10.47.150.100:554/Interface/Cameras/Media?Camera=STH_CEN_005</t>
  </si>
  <si>
    <t>Avenida Deputado Arnaldo Busato x Avenida Paraná</t>
  </si>
  <si>
    <t>-24.85901</t>
  </si>
  <si>
    <t>-54.33225</t>
  </si>
  <si>
    <t>-24.85901, -54.33225</t>
  </si>
  <si>
    <t>rtsp://siscop:siscop@10.47.150.100:554/Interface/Cameras/Media?Camera=STH_CEN_006</t>
  </si>
  <si>
    <t>Avenida Curitiba X Rua Angelo Catani</t>
  </si>
  <si>
    <t>-24.86056</t>
  </si>
  <si>
    <t>-54.32975</t>
  </si>
  <si>
    <t>-24.86056, -54.32975</t>
  </si>
  <si>
    <t>rtsp://siscop:siscop@10.47.150.100:554/Interface/Cameras/Media?Camera=STH_BXA_007</t>
  </si>
  <si>
    <t>Rua Angelo Catani x Rua Paraguai</t>
  </si>
  <si>
    <t>-24.84694</t>
  </si>
  <si>
    <t>-54.32857</t>
  </si>
  <si>
    <t>-24.84694, -54.32857</t>
  </si>
  <si>
    <t>rtsp://siscop:siscop@10.47.150.100:554/Interface/Cameras/Media?Camera=STH_BXA_008</t>
  </si>
  <si>
    <t>Avenida Brasil X Rua Angelo Catani</t>
  </si>
  <si>
    <t>-24.84644</t>
  </si>
  <si>
    <t>-54.32944</t>
  </si>
  <si>
    <t>-24.84644, -54.32944</t>
  </si>
  <si>
    <t>rtsp://siscop:siscop@10.47.150.100:554/Interface/Cameras/Media?Camera=STH_BXA_009</t>
  </si>
  <si>
    <t>Avenida Brasil X Praça Santos Dumont</t>
  </si>
  <si>
    <t>-24.85428</t>
  </si>
  <si>
    <t>-54.33259</t>
  </si>
  <si>
    <t>-24.85428, -54.33259</t>
  </si>
  <si>
    <t>rtsp://siscop:siscop@10.47.150.100:554/Interface/Cameras/Media?Camera=STH_VRC_010</t>
  </si>
  <si>
    <t>Prolongamento da Rua Argentina Sentido Porto, s/n - Zona Rural</t>
  </si>
  <si>
    <t>-24.87806</t>
  </si>
  <si>
    <t>-54.34212</t>
  </si>
  <si>
    <t>-24.87806, -54.34212</t>
  </si>
  <si>
    <t>SÃO MIGUEL DO IGUAÇU</t>
  </si>
  <si>
    <t>rtsp://siscop:siscop@10.47.194.100:554/Interface/Cameras/Media?Camera=SMI_CEN_001</t>
  </si>
  <si>
    <t>Avenida Iguaçú X Rua Caçador</t>
  </si>
  <si>
    <t>-25.34448</t>
  </si>
  <si>
    <t>-54.2308</t>
  </si>
  <si>
    <t>14 BPM</t>
  </si>
  <si>
    <t>-25.34448, -54.2308</t>
  </si>
  <si>
    <t>rtsp://siscop:siscop@10.47.194.100:554/Interface/Cameras/Media?Camera=SMI_PAR_002</t>
  </si>
  <si>
    <t>Rua Marechal Candido Rondon x Rua Caçador</t>
  </si>
  <si>
    <t>-25.33939</t>
  </si>
  <si>
    <t>-54.23784</t>
  </si>
  <si>
    <t>-25.33939, -54.23784</t>
  </si>
  <si>
    <t>rtsp://siscop:siscop@10.47.194.100:554/Interface/Cameras/Media?Camera=SMI_CEN_003</t>
  </si>
  <si>
    <t>Rua Marechal Candido Rondon x Rua Alfredo Chaves</t>
  </si>
  <si>
    <t>-25.34303</t>
  </si>
  <si>
    <t>-54.24498</t>
  </si>
  <si>
    <t>-25.34303, -54.24498</t>
  </si>
  <si>
    <t>rtsp://siscop:siscop@10.47.194.100:554/Interface/Cameras/Media?Camera=SMI_CEN_004</t>
  </si>
  <si>
    <t>Rua Céu Azul X Rua Vânio Ghellere</t>
  </si>
  <si>
    <t>-25.34418</t>
  </si>
  <si>
    <t>-54.23926</t>
  </si>
  <si>
    <t>-25.34418, -54.23926</t>
  </si>
  <si>
    <t>rtsp://siscop:siscop@10.47.194.100:554/Interface/Cameras/Media?Camera=SMI_CEN_005</t>
  </si>
  <si>
    <t>Rua Farroupilha X Rua Castro Alves</t>
  </si>
  <si>
    <t>-25.3474</t>
  </si>
  <si>
    <t>-54.2407</t>
  </si>
  <si>
    <t>-25.3474, -54.2407</t>
  </si>
  <si>
    <t>rtsp://siscop:siscop@10.47.194.100:554/Interface/Cameras/Media?Camera=SMI_CEN_006</t>
  </si>
  <si>
    <t>Avenida Wili Barth X Rua Getúlio Vargas</t>
  </si>
  <si>
    <t>-25.34279</t>
  </si>
  <si>
    <t>-54.23843</t>
  </si>
  <si>
    <t>-25.34279, -54.23843</t>
  </si>
  <si>
    <t>rtsp://siscop:siscop@10.47.194.100:554/Interface/Cameras/Media?Camera=SMI_MUN_007</t>
  </si>
  <si>
    <t>Rua Marechal Candido Rondon X Rua João Valnier</t>
  </si>
  <si>
    <t>-25.34777</t>
  </si>
  <si>
    <t>-54.25373</t>
  </si>
  <si>
    <t>-25.34777, -54.25373</t>
  </si>
  <si>
    <t>rtsp://siscop:siscop@10.47.194.100:554/Interface/Cameras/Media?Camera=SMI_CEN_008</t>
  </si>
  <si>
    <t>Rua Fernando Ferrari X Rua Nadir Maggi</t>
  </si>
  <si>
    <t>-25.35752</t>
  </si>
  <si>
    <t>-54.23613</t>
  </si>
  <si>
    <t>-25.35752, -54.23613</t>
  </si>
  <si>
    <t>rtsp://siscop:siscop@10.47.194.100:554/Interface/Cameras/Media?Camera=SMI_FLO_009</t>
  </si>
  <si>
    <t>Rua Valentin Celeste Palavro X Avenida Iguaçú</t>
  </si>
  <si>
    <t>-25.35961</t>
  </si>
  <si>
    <t>-54.24819</t>
  </si>
  <si>
    <t>-25.35961, -54.24819</t>
  </si>
  <si>
    <t>rtsp://siscop:siscop@10.47.194.100:554/Interface/Cameras/Media?Camera=SMI_CEN_010</t>
  </si>
  <si>
    <t>Rua Vânio Ghellere X Rua Alfredo Chaves</t>
  </si>
  <si>
    <t>-25.34522</t>
  </si>
  <si>
    <t>-54.23877</t>
  </si>
  <si>
    <t>-25.34522, -54.23877</t>
  </si>
  <si>
    <t>rtsp://siscop:siscop@10.47.194.100:554/Interface/Cameras/Media?Camera=SMI_CEN_011</t>
  </si>
  <si>
    <t>Rua Euclides da Cunha, 395</t>
  </si>
  <si>
    <t>-25.3445</t>
  </si>
  <si>
    <t>-54.24275</t>
  </si>
  <si>
    <t>-25.3445, -54.24275</t>
  </si>
  <si>
    <t>GUAÍRA</t>
  </si>
  <si>
    <t>rtsp://siscop:siscop@10.47.159.100:554/Interface/Cameras/Media?Camera=GRA_CEN_001</t>
  </si>
  <si>
    <t>Rotatória PR 163 X PR 272</t>
  </si>
  <si>
    <t>-24.10635</t>
  </si>
  <si>
    <t>-54.23912</t>
  </si>
  <si>
    <t>-24.10635, -54.23912</t>
  </si>
  <si>
    <t>rtsp://siscop:siscop@10.47.159.100:554/Interface/Cameras/Media?Camera=GRA_CEN_002</t>
  </si>
  <si>
    <t>Rua Ministro Gabriel Passos X PR 272</t>
  </si>
  <si>
    <t>-24.1055</t>
  </si>
  <si>
    <t>-54.26347</t>
  </si>
  <si>
    <t>-24.1055, -54.26347</t>
  </si>
  <si>
    <t>rtsp://siscop:siscop@10.47.159.100:554/Interface/Cameras/Media?Camera=GRA_CEN_003</t>
  </si>
  <si>
    <t>Rua Ministro Gabriel Passos X Rua Carlos Gomes</t>
  </si>
  <si>
    <t>-24.08784</t>
  </si>
  <si>
    <t>-54.26641</t>
  </si>
  <si>
    <t>-24.08784, -54.26641</t>
  </si>
  <si>
    <t>rtsp://siscop:siscop@10.47.159.100:554/Interface/Cameras/Media?Camera=GRA_CEN_004</t>
  </si>
  <si>
    <t>Avenida Coronel Otávio Tosta X Rua Bandeirantes</t>
  </si>
  <si>
    <t>-24.08342</t>
  </si>
  <si>
    <t>-54.25704</t>
  </si>
  <si>
    <t>-24.08342, -54.25704</t>
  </si>
  <si>
    <t>rtsp://siscop:siscop@10.47.159.100:554/Interface/Cameras/Media?Camera=GRA_CEN_005</t>
  </si>
  <si>
    <t>Rua Doutor Oliveira Castro X Rua Sete de Setembro</t>
  </si>
  <si>
    <t>-24.08064</t>
  </si>
  <si>
    <t>-54.25401</t>
  </si>
  <si>
    <t>-24.08064, -54.25401</t>
  </si>
  <si>
    <t>rtsp://siscop:siscop@10.47.159.100:554/Interface/Cameras/Media?Camera=GRA_CEN_006</t>
  </si>
  <si>
    <t>PR 163 X Avenida Martin Luther King</t>
  </si>
  <si>
    <t>-24.0835</t>
  </si>
  <si>
    <t>-54.24445</t>
  </si>
  <si>
    <t>-24.0835, -54.24445</t>
  </si>
  <si>
    <t>rtsp://siscop:siscop@10.47.159.100:554/Interface/Cameras/Media?Camera=GRA_CEN_007</t>
  </si>
  <si>
    <t>Avenida Parané X PR 163</t>
  </si>
  <si>
    <t>-24.07749</t>
  </si>
  <si>
    <t>-54.24269</t>
  </si>
  <si>
    <t>-24.07749, -54.24269</t>
  </si>
  <si>
    <t>rtsp://siscop:siscop@10.47.159.100:554/Interface/Cameras/Media?Camera=GRA_CEN_008</t>
  </si>
  <si>
    <t>PR 163 X Rua Julieta de Franca Camargo Ivankiw</t>
  </si>
  <si>
    <t>-24.09304</t>
  </si>
  <si>
    <t>-54.23866</t>
  </si>
  <si>
    <t>-24.09304, -54.23866</t>
  </si>
  <si>
    <t>rtsp://siscop:siscop@10.47.159.100:554/Interface/Cameras/Media?Camera=GRA_CEN_009</t>
  </si>
  <si>
    <t>Rua Ministro Gabriel Passos X Rua da Floresta</t>
  </si>
  <si>
    <t>-24.09682</t>
  </si>
  <si>
    <t>-54.263</t>
  </si>
  <si>
    <t>-24.09682, -54.263</t>
  </si>
  <si>
    <t>rtsp://siscop:siscop@10.47.159.100:554/Interface/Cameras/Media?Camera=GRA_CEN_010</t>
  </si>
  <si>
    <t>Rua das Rosas X Estrada Roland</t>
  </si>
  <si>
    <t>-24.08571</t>
  </si>
  <si>
    <t>-54.2364</t>
  </si>
  <si>
    <t>-24.08571, -54.2364</t>
  </si>
  <si>
    <t>rtsp://siscop:siscop@10.47.159.100:554/Interface/Cameras/Media?Camera=GRA_CEN_011</t>
  </si>
  <si>
    <t>Rua Aquiles Vendrúsculo, 154</t>
  </si>
  <si>
    <t>-24.09022</t>
  </si>
  <si>
    <t>-54.24223</t>
  </si>
  <si>
    <t>-24.09022, -54.24223</t>
  </si>
  <si>
    <t>MARECHAL CÂNDIDO RONDON</t>
  </si>
  <si>
    <t>rtsp://siscop:siscop@10.47.110.8:554/Interface/Cameras/Media?Camera=MCR_CEN_001</t>
  </si>
  <si>
    <t>Avenida Maripá X Rua Nove de Agosto</t>
  </si>
  <si>
    <t>-24.54305</t>
  </si>
  <si>
    <t>-54.0526</t>
  </si>
  <si>
    <t>-24.54305, -54.0526</t>
  </si>
  <si>
    <t>rtsp://siscop:siscop@10.47.110.8:554/Interface/Cameras/Media?Camera=MCR_CEN_002</t>
  </si>
  <si>
    <t>Avenida Maripá X Rua Bélem</t>
  </si>
  <si>
    <t>-24.53491</t>
  </si>
  <si>
    <t>-54.05095</t>
  </si>
  <si>
    <t>-24.53491, -54.05095</t>
  </si>
  <si>
    <t>rtsp://siscop:siscop@10.47.110.8:554/Interface/Cameras/Media?Camera=MCR_CEN_003</t>
  </si>
  <si>
    <t>Rotatório Avenida Maripá X Saída PR 163</t>
  </si>
  <si>
    <t>-24.53118</t>
  </si>
  <si>
    <t>-54.05229</t>
  </si>
  <si>
    <t>-24.53118, -54.05229</t>
  </si>
  <si>
    <t>rtsp://siscop:siscop@10.47.110.8:554/Interface/Cameras/Media?Camera=MCR_CEN_004</t>
  </si>
  <si>
    <t>Avenida Írio Jacob Welp X PR 163</t>
  </si>
  <si>
    <t>-24.54622</t>
  </si>
  <si>
    <t>-54.04418</t>
  </si>
  <si>
    <t>-24.54622, -54.04418</t>
  </si>
  <si>
    <t>rtsp://siscop:siscop@10.47.110.8:554/Interface/Cameras/Media?Camera=MCR_CEN_005</t>
  </si>
  <si>
    <t>PR 163 entre Ruas Um E Rua Três Paços</t>
  </si>
  <si>
    <t>-24.56853</t>
  </si>
  <si>
    <t>-54.02804</t>
  </si>
  <si>
    <t>-24.56853, -54.02804</t>
  </si>
  <si>
    <t>rtsp://siscop:siscop@10.47.110.8:554/Interface/Cameras/Media?Camera=MCR_CEN_006</t>
  </si>
  <si>
    <t xml:space="preserve"> Avenida Írio Jacob Welp X Rua Quatro</t>
  </si>
  <si>
    <t>-24.57441</t>
  </si>
  <si>
    <t>-54.05385</t>
  </si>
  <si>
    <t>-24.57441, -54.05385</t>
  </si>
  <si>
    <t>rtsp://siscop:siscop@10.47.110.8:554/Interface/Cameras/Media?Camera=MCR_CEN_007</t>
  </si>
  <si>
    <t>Rua Dom João VI X Rua Santa Catarina</t>
  </si>
  <si>
    <t>-24.56206</t>
  </si>
  <si>
    <t>-54.06219</t>
  </si>
  <si>
    <t>-24.56206, -54.06219</t>
  </si>
  <si>
    <t>rtsp://siscop:siscop@10.47.110.8:554/Interface/Cameras/Media?Camera=MCR_CEN_008</t>
  </si>
  <si>
    <t>Avenida Rio Grande do Sul X Avenida Maripá</t>
  </si>
  <si>
    <t>-24.56414</t>
  </si>
  <si>
    <t>-54.05921</t>
  </si>
  <si>
    <t>-24.56414, -54.05921</t>
  </si>
  <si>
    <t>rtsp://siscop:siscop@10.47.110.8:554/Interface/Cameras/Media?Camera=MCR_CEN_009</t>
  </si>
  <si>
    <t>Av. Rio Grande do Sul, 6225</t>
  </si>
  <si>
    <t>-24.5602</t>
  </si>
  <si>
    <t>-54.07295</t>
  </si>
  <si>
    <t>-24.5602, -54.07295</t>
  </si>
  <si>
    <t>rtsp://siscop:siscop@10.47.110.8:554/Interface/Cameras/Media?Camera=MCR_CEN_010</t>
  </si>
  <si>
    <t>Av. Rio Grande do Sul, 5045</t>
  </si>
  <si>
    <t>-24.55752</t>
  </si>
  <si>
    <t>-54.08225</t>
  </si>
  <si>
    <t>-24.55752, -54.08225</t>
  </si>
  <si>
    <t>rtsp://siscop:siscop@10.47.110.8:554/Interface/Cameras/Media?Camera=MCR_CEN_011</t>
  </si>
  <si>
    <t>Rua Pernambuco X Rua Dom João VI</t>
  </si>
  <si>
    <t>-24.55512</t>
  </si>
  <si>
    <t>-54.05976</t>
  </si>
  <si>
    <t>-24.55512, -54.05976</t>
  </si>
  <si>
    <t>TERRA ROXA</t>
  </si>
  <si>
    <t>rtsp://pmpr:pm3298pr@10.147.47.50:554/cam/realmonitor?channel=1&amp;subtype=0</t>
  </si>
  <si>
    <t>Av. Costa e Silva, 95,</t>
  </si>
  <si>
    <t>-24.164942</t>
  </si>
  <si>
    <t>-54.097742</t>
  </si>
  <si>
    <t>-24.164942, -54.097742</t>
  </si>
  <si>
    <t>rtsp://pmpr:pm3298pr@10.147.47.50:554/cam/realmonitor?channel=2&amp;subtype=0</t>
  </si>
  <si>
    <t>Av. Pres. Castelo Branco, 791</t>
  </si>
  <si>
    <t>-24.164400</t>
  </si>
  <si>
    <t>-54.096759</t>
  </si>
  <si>
    <t>-24.164400, -54.096759</t>
  </si>
  <si>
    <t>rtsp://pmpr:pm3298pr@10.147.47.50:554/cam/realmonitor?channel=3&amp;subtype=0</t>
  </si>
  <si>
    <t>Av. Pres. Castelo Branco PR-364</t>
  </si>
  <si>
    <t>-24.178072</t>
  </si>
  <si>
    <t>-54.090019</t>
  </si>
  <si>
    <t>-24.178072, -54.090019</t>
  </si>
  <si>
    <t>rtsp://pmpr:pm3298pr@10.147.47.50:554/cam/realmonitor?channel=4&amp;subtype=0</t>
  </si>
  <si>
    <t>Av. Pres. Castelo Branco PR-496</t>
  </si>
  <si>
    <t>-24.155297</t>
  </si>
  <si>
    <t>-54.101242</t>
  </si>
  <si>
    <t>-24.155297, -54.101242</t>
  </si>
  <si>
    <t>rtsp://pmpr:pm3298pr@10.147.47.50:554/cam/realmonitor?channel=5&amp;subtype=0</t>
  </si>
  <si>
    <t>R. Francisco Badaró X Av da Saudade</t>
  </si>
  <si>
    <t>-24.169992</t>
  </si>
  <si>
    <t>-54.106103</t>
  </si>
  <si>
    <t>-24.169992, -54.106103</t>
  </si>
  <si>
    <t>rtsp://pmpr:pm3298pr@10.147.47.50:554/cam/realmonitor?channel=6&amp;subtype=0</t>
  </si>
  <si>
    <t>Av. Getúlio Vargas X Av. Costa e Silva</t>
  </si>
  <si>
    <t>-24.167625</t>
  </si>
  <si>
    <t>-54.099786</t>
  </si>
  <si>
    <t>-24.167625, -54.099786</t>
  </si>
  <si>
    <t>Proxy</t>
  </si>
  <si>
    <t>IP</t>
  </si>
  <si>
    <t>Porta</t>
  </si>
  <si>
    <t xml:space="preserve">Servidor </t>
  </si>
  <si>
    <t>Cidade</t>
  </si>
  <si>
    <t>proxy_image_1</t>
  </si>
  <si>
    <t>10.247.206.2</t>
  </si>
  <si>
    <t>DIGIFORT</t>
  </si>
  <si>
    <t>proxy_image_2</t>
  </si>
  <si>
    <t>proxy_image_3</t>
  </si>
  <si>
    <t>proxy_image_4</t>
  </si>
  <si>
    <t>proxy_image_5</t>
  </si>
  <si>
    <t>proxy_image_6</t>
  </si>
  <si>
    <t>10.247.220.201</t>
  </si>
  <si>
    <t>proxy_image_7</t>
  </si>
  <si>
    <t>10.247.217.201</t>
  </si>
  <si>
    <t>proxy_image_8</t>
  </si>
  <si>
    <t>10.247.231.201</t>
  </si>
  <si>
    <t>proxy_image_9</t>
  </si>
  <si>
    <t>10.247.236.201</t>
  </si>
  <si>
    <t>proxy_image_10</t>
  </si>
  <si>
    <t>10.247.234.201</t>
  </si>
  <si>
    <t>proxy_image_11</t>
  </si>
  <si>
    <t>proxy_image_12</t>
  </si>
  <si>
    <t>10.247.241.201</t>
  </si>
  <si>
    <t>proxy_image_13</t>
  </si>
  <si>
    <t>10.247.219.201</t>
  </si>
  <si>
    <t>proxy_image_14</t>
  </si>
  <si>
    <t>10.248.007.201</t>
  </si>
  <si>
    <t>proxy_image_15</t>
  </si>
  <si>
    <t>10.247.235.201</t>
  </si>
  <si>
    <t>proxy_image_16</t>
  </si>
  <si>
    <t>10.247.206.201</t>
  </si>
  <si>
    <t>proxy_image_17</t>
  </si>
  <si>
    <t>10 247 213 201</t>
  </si>
  <si>
    <t>proxy_image_18</t>
  </si>
  <si>
    <t>10 247 216 201</t>
  </si>
  <si>
    <t>COLOMBO</t>
  </si>
  <si>
    <t>proxy_image_19</t>
  </si>
  <si>
    <t>10 248 002 201</t>
  </si>
  <si>
    <t>proxy_image_20</t>
  </si>
  <si>
    <t>10 247 218 201</t>
  </si>
  <si>
    <t>PARANAGUÁ</t>
  </si>
  <si>
    <t>proxy_image_21</t>
  </si>
  <si>
    <t>TELEMACO BORBA</t>
  </si>
  <si>
    <t>proxy_image_22</t>
  </si>
  <si>
    <t>UBIRATÃ</t>
  </si>
  <si>
    <t>proxy_image_23</t>
  </si>
  <si>
    <t>proxy_image_24</t>
  </si>
  <si>
    <t>proxy_image_25</t>
  </si>
  <si>
    <t>proxy_image_26</t>
  </si>
  <si>
    <t>proxy_image_27</t>
  </si>
  <si>
    <t>proxy_image_28</t>
  </si>
  <si>
    <t>proxy_image_29</t>
  </si>
  <si>
    <t>usuario</t>
  </si>
  <si>
    <t>http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</si>
</sst>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"/>
    <numFmt numFmtId="165" formatCode="#,##0.0000000"/>
  </numFmts>
  <fonts count="25">
    <font>
      <sz val="10.0"/>
      <color rgb="FF000000"/>
      <name val="Arial"/>
    </font>
    <font>
      <sz val="11.0"/>
      <color rgb="FF000000"/>
      <name val="Calibri"/>
    </font>
    <font>
      <sz val="11.0"/>
      <name val="Calibri"/>
    </font>
    <font/>
    <font>
      <b/>
      <sz val="11.0"/>
      <color rgb="FF000000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Calibri"/>
    </font>
    <font>
      <b/>
      <sz val="11.0"/>
      <color rgb="FFFF0000"/>
      <name val="Calibri"/>
    </font>
    <font>
      <color rgb="FF000000"/>
    </font>
    <font>
      <sz val="8.0"/>
      <color rgb="FF000000"/>
      <name val="Arial"/>
    </font>
    <font>
      <u/>
      <sz val="11.0"/>
      <color rgb="FF0000FF"/>
      <name val="Calibri"/>
    </font>
    <font>
      <sz val="8.0"/>
      <name val="Arial"/>
    </font>
    <font>
      <u/>
      <color rgb="FF0000FF"/>
    </font>
    <font>
      <u/>
      <sz val="9.0"/>
      <color rgb="FF000000"/>
      <name val="&quot;Google Sans&quot;"/>
    </font>
    <font>
      <u/>
      <sz val="11.0"/>
      <color rgb="FF0000FF"/>
      <name val="Calibri"/>
    </font>
    <font>
      <u/>
      <color rgb="FF0000FF"/>
    </font>
    <font>
      <sz val="11.0"/>
      <color rgb="FFF7981D"/>
    </font>
    <font>
      <sz val="11.0"/>
      <color rgb="FF000000"/>
      <name val="Arial"/>
    </font>
    <font>
      <sz val="11.0"/>
      <color rgb="FF333333"/>
      <name val="Calibri"/>
    </font>
    <font>
      <sz val="11.0"/>
      <color rgb="FF000000"/>
      <name val="Roboto"/>
    </font>
    <font>
      <sz val="8.0"/>
      <name val="&quot;Liberation Sans&quot;"/>
    </font>
    <font>
      <u/>
      <sz val="8.0"/>
      <color rgb="FF0000FF"/>
      <name val="Liberation Serif"/>
    </font>
    <font>
      <u/>
      <sz val="8.0"/>
      <color rgb="FF0000FF"/>
      <name val="Arial"/>
    </font>
    <font>
      <sz val="8.0"/>
      <name val="Liberation Serif"/>
    </font>
  </fonts>
  <fills count="11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274E13"/>
        <bgColor rgb="FF274E13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1F1F1"/>
        <bgColor rgb="FFF1F1F1"/>
      </patternFill>
    </fill>
    <fill>
      <patternFill patternType="solid">
        <fgColor rgb="FFEFEFEF"/>
        <bgColor rgb="FFEFEFEF"/>
      </patternFill>
    </fill>
    <fill>
      <patternFill patternType="solid">
        <fgColor rgb="FF70AD47"/>
        <bgColor rgb="FF70AD47"/>
      </patternFill>
    </fill>
  </fills>
  <borders count="9">
    <border/>
    <border>
      <bottom/>
    </border>
    <border>
      <right/>
      <bottom/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6" numFmtId="49" xfId="0" applyFont="1" applyNumberFormat="1"/>
    <xf borderId="0" fillId="0" fontId="7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3" numFmtId="0" xfId="0" applyFill="1" applyFont="1"/>
    <xf borderId="0" fillId="4" fontId="1" numFmtId="0" xfId="0" applyAlignment="1" applyFill="1" applyFont="1">
      <alignment vertical="bottom"/>
    </xf>
    <xf borderId="0" fillId="5" fontId="4" numFmtId="0" xfId="0" applyAlignment="1" applyFill="1" applyFont="1">
      <alignment horizontal="center" vertical="bottom"/>
    </xf>
    <xf borderId="0" fillId="6" fontId="1" numFmtId="0" xfId="0" applyAlignment="1" applyFill="1" applyFont="1">
      <alignment readingOrder="0" vertical="bottom"/>
    </xf>
    <xf borderId="0" fillId="6" fontId="1" numFmtId="0" xfId="0" applyAlignment="1" applyFont="1">
      <alignment vertical="bottom"/>
    </xf>
    <xf borderId="0" fillId="6" fontId="3" numFmtId="0" xfId="0" applyAlignment="1" applyFont="1">
      <alignment readingOrder="0"/>
    </xf>
    <xf borderId="0" fillId="6" fontId="3" numFmtId="0" xfId="0" applyFont="1"/>
    <xf borderId="0" fillId="6" fontId="3" numFmtId="164" xfId="0" applyAlignment="1" applyFont="1" applyNumberFormat="1">
      <alignment readingOrder="0"/>
    </xf>
    <xf borderId="0" fillId="7" fontId="4" numFmtId="0" xfId="0" applyAlignment="1" applyFill="1" applyFont="1">
      <alignment horizontal="center" vertical="bottom"/>
    </xf>
    <xf borderId="0" fillId="7" fontId="1" numFmtId="0" xfId="0" applyAlignment="1" applyFont="1">
      <alignment readingOrder="0" vertical="bottom"/>
    </xf>
    <xf borderId="0" fillId="7" fontId="1" numFmtId="0" xfId="0" applyAlignment="1" applyFont="1">
      <alignment vertical="bottom"/>
    </xf>
    <xf borderId="0" fillId="7" fontId="3" numFmtId="0" xfId="0" applyAlignment="1" applyFont="1">
      <alignment readingOrder="0"/>
    </xf>
    <xf borderId="0" fillId="7" fontId="3" numFmtId="0" xfId="0" applyFont="1"/>
    <xf borderId="0" fillId="7" fontId="3" numFmtId="164" xfId="0" applyAlignment="1" applyFont="1" applyNumberFormat="1">
      <alignment readingOrder="0"/>
    </xf>
    <xf borderId="1" fillId="0" fontId="1" numFmtId="0" xfId="0" applyAlignment="1" applyBorder="1" applyFont="1">
      <alignment readingOrder="0" vertical="bottom"/>
    </xf>
    <xf borderId="2" fillId="7" fontId="1" numFmtId="0" xfId="0" applyAlignment="1" applyBorder="1" applyFont="1">
      <alignment readingOrder="0" vertical="bottom"/>
    </xf>
    <xf borderId="0" fillId="6" fontId="4" numFmtId="0" xfId="0" applyAlignment="1" applyFont="1">
      <alignment horizontal="center" vertical="bottom"/>
    </xf>
    <xf borderId="0" fillId="8" fontId="4" numFmtId="0" xfId="0" applyAlignment="1" applyFill="1" applyFont="1">
      <alignment horizontal="center" vertical="bottom"/>
    </xf>
    <xf borderId="0" fillId="2" fontId="3" numFmtId="0" xfId="0" applyFont="1"/>
    <xf borderId="0" fillId="0" fontId="8" numFmtId="0" xfId="0" applyAlignment="1" applyFont="1">
      <alignment vertical="bottom"/>
    </xf>
    <xf borderId="0" fillId="0" fontId="3" numFmtId="49" xfId="0" applyFont="1" applyNumberFormat="1"/>
    <xf borderId="0" fillId="0" fontId="9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3" numFmtId="164" xfId="0" applyFont="1" applyNumberFormat="1"/>
    <xf borderId="0" fillId="7" fontId="10" numFmtId="0" xfId="0" applyAlignment="1" applyFont="1">
      <alignment horizontal="center" readingOrder="0"/>
    </xf>
    <xf borderId="0" fillId="7" fontId="1" numFmtId="0" xfId="0" applyAlignment="1" applyFont="1">
      <alignment horizontal="center" readingOrder="0" vertical="bottom"/>
    </xf>
    <xf borderId="0" fillId="7" fontId="11" numFmtId="0" xfId="0" applyAlignment="1" applyFont="1">
      <alignment readingOrder="0" vertical="bottom"/>
    </xf>
    <xf borderId="0" fillId="7" fontId="1" numFmtId="0" xfId="0" applyAlignment="1" applyFont="1">
      <alignment horizontal="right" readingOrder="0" vertical="bottom"/>
    </xf>
    <xf borderId="0" fillId="7" fontId="12" numFmtId="0" xfId="0" applyAlignment="1" applyFont="1">
      <alignment horizontal="left" readingOrder="0"/>
    </xf>
    <xf borderId="0" fillId="7" fontId="1" numFmtId="0" xfId="0" applyAlignment="1" applyFont="1">
      <alignment readingOrder="0" shrinkToFit="0" vertical="bottom" wrapText="0"/>
    </xf>
    <xf borderId="0" fillId="7" fontId="3" numFmtId="0" xfId="0" applyAlignment="1" applyFont="1">
      <alignment horizontal="center"/>
    </xf>
    <xf borderId="0" fillId="7" fontId="1" numFmtId="0" xfId="0" applyAlignment="1" applyFont="1">
      <alignment readingOrder="0" vertical="bottom"/>
    </xf>
    <xf borderId="0" fillId="7" fontId="13" numFmtId="49" xfId="0" applyFont="1" applyNumberFormat="1"/>
    <xf borderId="0" fillId="7" fontId="3" numFmtId="49" xfId="0" applyAlignment="1" applyFont="1" applyNumberFormat="1">
      <alignment horizontal="center"/>
    </xf>
    <xf borderId="0" fillId="7" fontId="3" numFmtId="49" xfId="0" applyAlignment="1" applyFont="1" applyNumberFormat="1">
      <alignment horizontal="center" readingOrder="0"/>
    </xf>
    <xf borderId="0" fillId="7" fontId="3" numFmtId="49" xfId="0" applyFont="1" applyNumberFormat="1"/>
    <xf borderId="0" fillId="7" fontId="12" numFmtId="0" xfId="0" applyAlignment="1" applyFont="1">
      <alignment horizontal="left" readingOrder="0"/>
    </xf>
    <xf borderId="0" fillId="7" fontId="14" numFmtId="0" xfId="0" applyAlignment="1" applyFont="1">
      <alignment horizontal="left" readingOrder="0"/>
    </xf>
    <xf borderId="0" fillId="9" fontId="10" numFmtId="0" xfId="0" applyAlignment="1" applyFill="1" applyFont="1">
      <alignment horizontal="center" readingOrder="0"/>
    </xf>
    <xf borderId="0" fillId="9" fontId="1" numFmtId="0" xfId="0" applyAlignment="1" applyFont="1">
      <alignment horizontal="center" readingOrder="0" vertical="bottom"/>
    </xf>
    <xf borderId="0" fillId="9" fontId="15" numFmtId="0" xfId="0" applyAlignment="1" applyFont="1">
      <alignment readingOrder="0" vertical="bottom"/>
    </xf>
    <xf borderId="0" fillId="9" fontId="1" numFmtId="0" xfId="0" applyAlignment="1" applyFont="1">
      <alignment horizontal="right" readingOrder="0" vertical="bottom"/>
    </xf>
    <xf borderId="0" fillId="9" fontId="12" numFmtId="0" xfId="0" applyAlignment="1" applyFont="1">
      <alignment horizontal="left" readingOrder="0"/>
    </xf>
    <xf borderId="0" fillId="9" fontId="1" numFmtId="0" xfId="0" applyAlignment="1" applyFont="1">
      <alignment readingOrder="0" shrinkToFit="0" vertical="bottom" wrapText="0"/>
    </xf>
    <xf borderId="0" fillId="9" fontId="3" numFmtId="49" xfId="0" applyAlignment="1" applyFont="1" applyNumberFormat="1">
      <alignment horizontal="center" readingOrder="0"/>
    </xf>
    <xf borderId="0" fillId="9" fontId="1" numFmtId="0" xfId="0" applyAlignment="1" applyFont="1">
      <alignment readingOrder="0" vertical="bottom"/>
    </xf>
    <xf borderId="0" fillId="9" fontId="16" numFmtId="49" xfId="0" applyFont="1" applyNumberFormat="1"/>
    <xf borderId="0" fillId="9" fontId="3" numFmtId="164" xfId="0" applyAlignment="1" applyFont="1" applyNumberFormat="1">
      <alignment readingOrder="0"/>
    </xf>
    <xf borderId="0" fillId="9" fontId="3" numFmtId="49" xfId="0" applyAlignment="1" applyFont="1" applyNumberFormat="1">
      <alignment horizontal="center"/>
    </xf>
    <xf borderId="0" fillId="9" fontId="3" numFmtId="49" xfId="0" applyFont="1" applyNumberFormat="1"/>
    <xf borderId="0" fillId="0" fontId="3" numFmtId="49" xfId="0" applyAlignment="1" applyFont="1" applyNumberFormat="1">
      <alignment horizontal="center"/>
    </xf>
    <xf borderId="0" fillId="0" fontId="3" numFmtId="49" xfId="0" applyAlignment="1" applyFont="1" applyNumberFormat="1">
      <alignment horizontal="center" readingOrder="0"/>
    </xf>
    <xf borderId="3" fillId="0" fontId="2" numFmtId="0" xfId="0" applyAlignment="1" applyBorder="1" applyFont="1">
      <alignment vertical="bottom"/>
    </xf>
    <xf borderId="3" fillId="0" fontId="8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horizontal="center" vertical="bottom"/>
    </xf>
    <xf borderId="6" fillId="0" fontId="2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5" fillId="0" fontId="1" numFmtId="165" xfId="0" applyAlignment="1" applyBorder="1" applyFont="1" applyNumberFormat="1">
      <alignment horizontal="right" vertical="bottom"/>
    </xf>
    <xf borderId="0" fillId="0" fontId="17" numFmtId="0" xfId="0" applyFont="1"/>
    <xf borderId="7" fillId="0" fontId="2" numFmtId="0" xfId="0" applyAlignment="1" applyBorder="1" applyFont="1">
      <alignment vertical="bottom"/>
    </xf>
    <xf borderId="5" fillId="0" fontId="1" numFmtId="2" xfId="0" applyAlignment="1" applyBorder="1" applyFont="1" applyNumberFormat="1">
      <alignment horizontal="right" readingOrder="0" vertical="bottom"/>
    </xf>
    <xf borderId="5" fillId="7" fontId="18" numFmtId="2" xfId="0" applyAlignment="1" applyBorder="1" applyFont="1" applyNumberFormat="1">
      <alignment horizontal="right" readingOrder="0" vertical="bottom"/>
    </xf>
    <xf borderId="7" fillId="7" fontId="18" numFmtId="2" xfId="0" applyAlignment="1" applyBorder="1" applyFont="1" applyNumberFormat="1">
      <alignment horizontal="right" readingOrder="0" vertical="bottom"/>
    </xf>
    <xf borderId="0" fillId="7" fontId="18" numFmtId="2" xfId="0" applyAlignment="1" applyFont="1" applyNumberFormat="1">
      <alignment horizontal="right" readingOrder="0" vertical="bottom"/>
    </xf>
    <xf borderId="0" fillId="7" fontId="18" numFmtId="49" xfId="0" applyAlignment="1" applyFont="1" applyNumberFormat="1">
      <alignment vertical="bottom"/>
    </xf>
    <xf borderId="7" fillId="7" fontId="18" numFmtId="49" xfId="0" applyAlignment="1" applyBorder="1" applyFont="1" applyNumberFormat="1">
      <alignment vertical="bottom"/>
    </xf>
    <xf borderId="3" fillId="7" fontId="18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3" fillId="7" fontId="1" numFmtId="0" xfId="0" applyAlignment="1" applyBorder="1" applyFont="1">
      <alignment vertical="bottom"/>
    </xf>
    <xf borderId="0" fillId="7" fontId="19" numFmtId="0" xfId="0" applyAlignment="1" applyFont="1">
      <alignment vertical="bottom"/>
    </xf>
    <xf borderId="3" fillId="8" fontId="20" numFmtId="0" xfId="0" applyAlignment="1" applyBorder="1" applyFont="1">
      <alignment vertical="bottom"/>
    </xf>
    <xf borderId="0" fillId="7" fontId="18" numFmtId="3" xfId="0" applyAlignment="1" applyFont="1" applyNumberFormat="1">
      <alignment horizontal="right" readingOrder="0" vertical="bottom"/>
    </xf>
    <xf borderId="7" fillId="7" fontId="18" numFmtId="3" xfId="0" applyAlignment="1" applyBorder="1" applyFont="1" applyNumberFormat="1">
      <alignment horizontal="right" readingOrder="0" vertical="bottom"/>
    </xf>
    <xf borderId="0" fillId="0" fontId="8" numFmtId="0" xfId="0" applyAlignment="1" applyFont="1">
      <alignment horizontal="center" vertical="bottom"/>
    </xf>
    <xf borderId="0" fillId="0" fontId="1" numFmtId="3" xfId="0" applyAlignment="1" applyFont="1" applyNumberFormat="1">
      <alignment horizontal="right" readingOrder="0" vertical="bottom"/>
    </xf>
    <xf borderId="0" fillId="6" fontId="2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/>
    </xf>
    <xf borderId="8" fillId="0" fontId="3" numFmtId="49" xfId="0" applyAlignment="1" applyBorder="1" applyFont="1" applyNumberFormat="1">
      <alignment horizontal="center" readingOrder="0"/>
    </xf>
    <xf borderId="8" fillId="7" fontId="3" numFmtId="49" xfId="0" applyAlignment="1" applyBorder="1" applyFont="1" applyNumberFormat="1">
      <alignment horizontal="center" readingOrder="0"/>
    </xf>
    <xf borderId="8" fillId="0" fontId="3" numFmtId="3" xfId="0" applyAlignment="1" applyBorder="1" applyFont="1" applyNumberFormat="1">
      <alignment horizontal="center" readingOrder="0"/>
    </xf>
    <xf borderId="8" fillId="10" fontId="3" numFmtId="3" xfId="0" applyAlignment="1" applyBorder="1" applyFill="1" applyFont="1" applyNumberFormat="1">
      <alignment horizontal="center" readingOrder="0"/>
    </xf>
    <xf borderId="0" fillId="0" fontId="21" numFmtId="0" xfId="0" applyAlignment="1" applyFont="1">
      <alignment horizontal="left" readingOrder="0"/>
    </xf>
    <xf borderId="0" fillId="0" fontId="21" numFmtId="0" xfId="0" applyAlignment="1" applyFont="1">
      <alignment horizontal="center" readingOrder="0"/>
    </xf>
    <xf borderId="0" fillId="0" fontId="21" numFmtId="49" xfId="0" applyAlignment="1" applyFont="1" applyNumberFormat="1">
      <alignment horizontal="left" readingOrder="0"/>
    </xf>
    <xf borderId="0" fillId="0" fontId="22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23" numFmtId="49" xfId="0" applyAlignment="1" applyFont="1" applyNumberFormat="1">
      <alignment horizontal="left" readingOrder="0"/>
    </xf>
    <xf borderId="0" fillId="0" fontId="24" numFmtId="0" xfId="0" applyAlignment="1" applyFont="1">
      <alignment horizontal="left" readingOrder="0"/>
    </xf>
    <xf borderId="0" fillId="0" fontId="12" numFmtId="0" xfId="0" applyAlignment="1" applyFont="1">
      <alignment horizontal="left" readingOrder="0"/>
    </xf>
    <xf borderId="0" fillId="0" fontId="12" numFmtId="49" xfId="0" applyAlignment="1" applyFont="1" applyNumberForma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monitoramento.pm.pr.gov.br/proxy_image_1/" TargetMode="External"/><Relationship Id="rId194" Type="http://schemas.openxmlformats.org/officeDocument/2006/relationships/hyperlink" Target="https://monitoramento.pm.pr.gov.br/proxy_image_1/" TargetMode="External"/><Relationship Id="rId193" Type="http://schemas.openxmlformats.org/officeDocument/2006/relationships/hyperlink" Target="https://monitoramento.pm.pr.gov.br/proxy_image_1/" TargetMode="External"/><Relationship Id="rId192" Type="http://schemas.openxmlformats.org/officeDocument/2006/relationships/hyperlink" Target="https://monitoramento.pm.pr.gov.br/proxy_image_1/" TargetMode="External"/><Relationship Id="rId191" Type="http://schemas.openxmlformats.org/officeDocument/2006/relationships/hyperlink" Target="https://monitoramento.pm.pr.gov.br/proxy_image_1/" TargetMode="External"/><Relationship Id="rId187" Type="http://schemas.openxmlformats.org/officeDocument/2006/relationships/hyperlink" Target="https://monitoramento.pm.pr.gov.br/proxy_image_1/" TargetMode="External"/><Relationship Id="rId186" Type="http://schemas.openxmlformats.org/officeDocument/2006/relationships/hyperlink" Target="https://monitoramento.pm.pr.gov.br/proxy_image_1/" TargetMode="External"/><Relationship Id="rId185" Type="http://schemas.openxmlformats.org/officeDocument/2006/relationships/hyperlink" Target="https://monitoramento.pm.pr.gov.br/proxy_image_1/" TargetMode="External"/><Relationship Id="rId184" Type="http://schemas.openxmlformats.org/officeDocument/2006/relationships/hyperlink" Target="https://monitoramento.pm.pr.gov.br/proxy_image_1/" TargetMode="External"/><Relationship Id="rId189" Type="http://schemas.openxmlformats.org/officeDocument/2006/relationships/hyperlink" Target="https://monitoramento.pm.pr.gov.br/proxy_image_1/" TargetMode="External"/><Relationship Id="rId188" Type="http://schemas.openxmlformats.org/officeDocument/2006/relationships/hyperlink" Target="https://monitoramento.pm.pr.gov.br/proxy_image_1/" TargetMode="External"/><Relationship Id="rId183" Type="http://schemas.openxmlformats.org/officeDocument/2006/relationships/hyperlink" Target="https://monitoramento.pm.pr.gov.br/proxy_image_1/" TargetMode="External"/><Relationship Id="rId182" Type="http://schemas.openxmlformats.org/officeDocument/2006/relationships/hyperlink" Target="https://monitoramento.pm.pr.gov.br/proxy_image_1/" TargetMode="External"/><Relationship Id="rId181" Type="http://schemas.openxmlformats.org/officeDocument/2006/relationships/hyperlink" Target="https://monitoramento.pm.pr.gov.br/proxy_image_1/" TargetMode="External"/><Relationship Id="rId180" Type="http://schemas.openxmlformats.org/officeDocument/2006/relationships/hyperlink" Target="https://monitoramento.pm.pr.gov.br/proxy_image_1/" TargetMode="External"/><Relationship Id="rId176" Type="http://schemas.openxmlformats.org/officeDocument/2006/relationships/hyperlink" Target="https://monitoramento.pm.pr.gov.br/proxy_image_1/" TargetMode="External"/><Relationship Id="rId175" Type="http://schemas.openxmlformats.org/officeDocument/2006/relationships/hyperlink" Target="https://monitoramento.pm.pr.gov.br/proxy_image_1/" TargetMode="External"/><Relationship Id="rId174" Type="http://schemas.openxmlformats.org/officeDocument/2006/relationships/hyperlink" Target="https://monitoramento.pm.pr.gov.br/proxy_image_1/" TargetMode="External"/><Relationship Id="rId173" Type="http://schemas.openxmlformats.org/officeDocument/2006/relationships/hyperlink" Target="https://monitoramento.pm.pr.gov.br/proxy_image_1/" TargetMode="External"/><Relationship Id="rId179" Type="http://schemas.openxmlformats.org/officeDocument/2006/relationships/hyperlink" Target="https://monitoramento.pm.pr.gov.br/proxy_image_1/" TargetMode="External"/><Relationship Id="rId178" Type="http://schemas.openxmlformats.org/officeDocument/2006/relationships/hyperlink" Target="https://monitoramento.pm.pr.gov.br/proxy_image_1/" TargetMode="External"/><Relationship Id="rId177" Type="http://schemas.openxmlformats.org/officeDocument/2006/relationships/hyperlink" Target="https://monitoramento.pm.pr.gov.br/proxy_image_1/" TargetMode="External"/><Relationship Id="rId198" Type="http://schemas.openxmlformats.org/officeDocument/2006/relationships/hyperlink" Target="https://monitoramento.pm.pr.gov.br/proxy_image_1/" TargetMode="External"/><Relationship Id="rId197" Type="http://schemas.openxmlformats.org/officeDocument/2006/relationships/hyperlink" Target="https://monitoramento.pm.pr.gov.br/proxy_image_1/" TargetMode="External"/><Relationship Id="rId196" Type="http://schemas.openxmlformats.org/officeDocument/2006/relationships/hyperlink" Target="https://monitoramento.pm.pr.gov.br/proxy_image_1/" TargetMode="External"/><Relationship Id="rId195" Type="http://schemas.openxmlformats.org/officeDocument/2006/relationships/hyperlink" Target="https://monitoramento.pm.pr.gov.br/proxy_image_1/" TargetMode="External"/><Relationship Id="rId199" Type="http://schemas.openxmlformats.org/officeDocument/2006/relationships/hyperlink" Target="https://monitoramento.pm.pr.gov.br/proxy_image_1/" TargetMode="External"/><Relationship Id="rId150" Type="http://schemas.openxmlformats.org/officeDocument/2006/relationships/hyperlink" Target="https://monitoramento.pm.pr.gov.br/proxy_image_1/" TargetMode="External"/><Relationship Id="rId392" Type="http://schemas.openxmlformats.org/officeDocument/2006/relationships/hyperlink" Target="https://monitoramento.pm.pr.gov.br/proxy_image_1/" TargetMode="External"/><Relationship Id="rId391" Type="http://schemas.openxmlformats.org/officeDocument/2006/relationships/hyperlink" Target="https://monitoramento.pm.pr.gov.br/proxy_image_1/" TargetMode="External"/><Relationship Id="rId390" Type="http://schemas.openxmlformats.org/officeDocument/2006/relationships/hyperlink" Target="https://monitoramento.pm.pr.gov.br/proxy_image_1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monitoramento.pm.pr.gov.br/proxy_image_1/" TargetMode="External"/><Relationship Id="rId3" Type="http://schemas.openxmlformats.org/officeDocument/2006/relationships/hyperlink" Target="https://monitoramento.pm.pr.gov.br/proxy_image_1/" TargetMode="External"/><Relationship Id="rId149" Type="http://schemas.openxmlformats.org/officeDocument/2006/relationships/hyperlink" Target="https://monitoramento.pm.pr.gov.br/proxy_image_1/" TargetMode="External"/><Relationship Id="rId4" Type="http://schemas.openxmlformats.org/officeDocument/2006/relationships/hyperlink" Target="https://monitoramento.pm.pr.gov.br/proxy_image_1/" TargetMode="External"/><Relationship Id="rId148" Type="http://schemas.openxmlformats.org/officeDocument/2006/relationships/hyperlink" Target="https://monitoramento.pm.pr.gov.br/proxy_image_1/" TargetMode="External"/><Relationship Id="rId9" Type="http://schemas.openxmlformats.org/officeDocument/2006/relationships/hyperlink" Target="https://monitoramento.pm.pr.gov.br/proxy_image_1/" TargetMode="External"/><Relationship Id="rId143" Type="http://schemas.openxmlformats.org/officeDocument/2006/relationships/hyperlink" Target="https://monitoramento.pm.pr.gov.br/proxy_image_1/" TargetMode="External"/><Relationship Id="rId385" Type="http://schemas.openxmlformats.org/officeDocument/2006/relationships/hyperlink" Target="https://monitoramento.pm.pr.gov.br/proxy_image_1/" TargetMode="External"/><Relationship Id="rId142" Type="http://schemas.openxmlformats.org/officeDocument/2006/relationships/hyperlink" Target="https://monitoramento.pm.pr.gov.br/proxy_image_1/" TargetMode="External"/><Relationship Id="rId384" Type="http://schemas.openxmlformats.org/officeDocument/2006/relationships/hyperlink" Target="https://monitoramento.pm.pr.gov.br/proxy_image_1/" TargetMode="External"/><Relationship Id="rId141" Type="http://schemas.openxmlformats.org/officeDocument/2006/relationships/hyperlink" Target="https://monitoramento.pm.pr.gov.br/proxy_image_1/" TargetMode="External"/><Relationship Id="rId383" Type="http://schemas.openxmlformats.org/officeDocument/2006/relationships/hyperlink" Target="https://monitoramento.pm.pr.gov.br/proxy_image_1/" TargetMode="External"/><Relationship Id="rId140" Type="http://schemas.openxmlformats.org/officeDocument/2006/relationships/hyperlink" Target="https://monitoramento.pm.pr.gov.br/proxy_image_1/" TargetMode="External"/><Relationship Id="rId382" Type="http://schemas.openxmlformats.org/officeDocument/2006/relationships/hyperlink" Target="https://monitoramento.pm.pr.gov.br/proxy_image_1/" TargetMode="External"/><Relationship Id="rId5" Type="http://schemas.openxmlformats.org/officeDocument/2006/relationships/hyperlink" Target="https://monitoramento.pm.pr.gov.br/proxy_image_1/" TargetMode="External"/><Relationship Id="rId147" Type="http://schemas.openxmlformats.org/officeDocument/2006/relationships/hyperlink" Target="https://monitoramento.pm.pr.gov.br/proxy_image_1/" TargetMode="External"/><Relationship Id="rId389" Type="http://schemas.openxmlformats.org/officeDocument/2006/relationships/hyperlink" Target="https://monitoramento.pm.pr.gov.br/proxy_image_1/" TargetMode="External"/><Relationship Id="rId6" Type="http://schemas.openxmlformats.org/officeDocument/2006/relationships/hyperlink" Target="https://monitoramento.pm.pr.gov.br/proxy_image_1/" TargetMode="External"/><Relationship Id="rId146" Type="http://schemas.openxmlformats.org/officeDocument/2006/relationships/hyperlink" Target="https://monitoramento.pm.pr.gov.br/proxy_image_1/" TargetMode="External"/><Relationship Id="rId388" Type="http://schemas.openxmlformats.org/officeDocument/2006/relationships/hyperlink" Target="https://monitoramento.pm.pr.gov.br/proxy_image_1/" TargetMode="External"/><Relationship Id="rId7" Type="http://schemas.openxmlformats.org/officeDocument/2006/relationships/hyperlink" Target="https://monitoramento.pm.pr.gov.br/proxy_image_1/" TargetMode="External"/><Relationship Id="rId145" Type="http://schemas.openxmlformats.org/officeDocument/2006/relationships/hyperlink" Target="https://monitoramento.pm.pr.gov.br/proxy_image_1/" TargetMode="External"/><Relationship Id="rId387" Type="http://schemas.openxmlformats.org/officeDocument/2006/relationships/hyperlink" Target="https://monitoramento.pm.pr.gov.br/proxy_image_1/" TargetMode="External"/><Relationship Id="rId8" Type="http://schemas.openxmlformats.org/officeDocument/2006/relationships/hyperlink" Target="https://monitoramento.pm.pr.gov.br/proxy_image_1/" TargetMode="External"/><Relationship Id="rId144" Type="http://schemas.openxmlformats.org/officeDocument/2006/relationships/hyperlink" Target="https://monitoramento.pm.pr.gov.br/proxy_image_1/" TargetMode="External"/><Relationship Id="rId386" Type="http://schemas.openxmlformats.org/officeDocument/2006/relationships/hyperlink" Target="https://monitoramento.pm.pr.gov.br/proxy_image_1/" TargetMode="External"/><Relationship Id="rId381" Type="http://schemas.openxmlformats.org/officeDocument/2006/relationships/hyperlink" Target="https://monitoramento.pm.pr.gov.br/proxy_image_1/" TargetMode="External"/><Relationship Id="rId380" Type="http://schemas.openxmlformats.org/officeDocument/2006/relationships/hyperlink" Target="https://monitoramento.pm.pr.gov.br/proxy_image_1/" TargetMode="External"/><Relationship Id="rId139" Type="http://schemas.openxmlformats.org/officeDocument/2006/relationships/hyperlink" Target="https://monitoramento.pm.pr.gov.br/proxy_image_1/" TargetMode="External"/><Relationship Id="rId138" Type="http://schemas.openxmlformats.org/officeDocument/2006/relationships/hyperlink" Target="https://monitoramento.pm.pr.gov.br/proxy_image_1/" TargetMode="External"/><Relationship Id="rId137" Type="http://schemas.openxmlformats.org/officeDocument/2006/relationships/hyperlink" Target="https://monitoramento.pm.pr.gov.br/proxy_image_1/" TargetMode="External"/><Relationship Id="rId379" Type="http://schemas.openxmlformats.org/officeDocument/2006/relationships/hyperlink" Target="https://monitoramento.pm.pr.gov.br/proxy_image_1/" TargetMode="External"/><Relationship Id="rId132" Type="http://schemas.openxmlformats.org/officeDocument/2006/relationships/hyperlink" Target="https://monitoramento.pm.pr.gov.br/proxy_image_1/" TargetMode="External"/><Relationship Id="rId374" Type="http://schemas.openxmlformats.org/officeDocument/2006/relationships/hyperlink" Target="https://monitoramento.pm.pr.gov.br/proxy_image_1/" TargetMode="External"/><Relationship Id="rId131" Type="http://schemas.openxmlformats.org/officeDocument/2006/relationships/hyperlink" Target="https://monitoramento.pm.pr.gov.br/proxy_image_1/" TargetMode="External"/><Relationship Id="rId373" Type="http://schemas.openxmlformats.org/officeDocument/2006/relationships/hyperlink" Target="https://monitoramento.pm.pr.gov.br/proxy_image_1/" TargetMode="External"/><Relationship Id="rId130" Type="http://schemas.openxmlformats.org/officeDocument/2006/relationships/hyperlink" Target="https://monitoramento.pm.pr.gov.br/proxy_image_1/" TargetMode="External"/><Relationship Id="rId372" Type="http://schemas.openxmlformats.org/officeDocument/2006/relationships/hyperlink" Target="https://monitoramento.pm.pr.gov.br/proxy_image_1/" TargetMode="External"/><Relationship Id="rId371" Type="http://schemas.openxmlformats.org/officeDocument/2006/relationships/hyperlink" Target="https://monitoramento.pm.pr.gov.br/proxy_image_1/" TargetMode="External"/><Relationship Id="rId136" Type="http://schemas.openxmlformats.org/officeDocument/2006/relationships/hyperlink" Target="https://monitoramento.pm.pr.gov.br/proxy_image_1/" TargetMode="External"/><Relationship Id="rId378" Type="http://schemas.openxmlformats.org/officeDocument/2006/relationships/hyperlink" Target="https://monitoramento.pm.pr.gov.br/proxy_image_1/" TargetMode="External"/><Relationship Id="rId135" Type="http://schemas.openxmlformats.org/officeDocument/2006/relationships/hyperlink" Target="https://monitoramento.pm.pr.gov.br/proxy_image_1/" TargetMode="External"/><Relationship Id="rId377" Type="http://schemas.openxmlformats.org/officeDocument/2006/relationships/hyperlink" Target="https://monitoramento.pm.pr.gov.br/proxy_image_1/" TargetMode="External"/><Relationship Id="rId134" Type="http://schemas.openxmlformats.org/officeDocument/2006/relationships/hyperlink" Target="https://monitoramento.pm.pr.gov.br/proxy_image_1/" TargetMode="External"/><Relationship Id="rId376" Type="http://schemas.openxmlformats.org/officeDocument/2006/relationships/hyperlink" Target="https://monitoramento.pm.pr.gov.br/proxy_image_1/" TargetMode="External"/><Relationship Id="rId133" Type="http://schemas.openxmlformats.org/officeDocument/2006/relationships/hyperlink" Target="https://monitoramento.pm.pr.gov.br/proxy_image_1/" TargetMode="External"/><Relationship Id="rId375" Type="http://schemas.openxmlformats.org/officeDocument/2006/relationships/hyperlink" Target="https://monitoramento.pm.pr.gov.br/proxy_image_1/" TargetMode="External"/><Relationship Id="rId172" Type="http://schemas.openxmlformats.org/officeDocument/2006/relationships/hyperlink" Target="https://monitoramento.pm.pr.gov.br/proxy_image_1/" TargetMode="External"/><Relationship Id="rId171" Type="http://schemas.openxmlformats.org/officeDocument/2006/relationships/hyperlink" Target="https://monitoramento.pm.pr.gov.br/proxy_image_1/" TargetMode="External"/><Relationship Id="rId170" Type="http://schemas.openxmlformats.org/officeDocument/2006/relationships/hyperlink" Target="https://monitoramento.pm.pr.gov.br/proxy_image_1/" TargetMode="External"/><Relationship Id="rId165" Type="http://schemas.openxmlformats.org/officeDocument/2006/relationships/hyperlink" Target="https://monitoramento.pm.pr.gov.br/proxy_image_1/" TargetMode="External"/><Relationship Id="rId164" Type="http://schemas.openxmlformats.org/officeDocument/2006/relationships/hyperlink" Target="https://monitoramento.pm.pr.gov.br/proxy_image_1/" TargetMode="External"/><Relationship Id="rId163" Type="http://schemas.openxmlformats.org/officeDocument/2006/relationships/hyperlink" Target="https://monitoramento.pm.pr.gov.br/proxy_image_1/" TargetMode="External"/><Relationship Id="rId162" Type="http://schemas.openxmlformats.org/officeDocument/2006/relationships/hyperlink" Target="https://monitoramento.pm.pr.gov.br/proxy_image_1/" TargetMode="External"/><Relationship Id="rId169" Type="http://schemas.openxmlformats.org/officeDocument/2006/relationships/hyperlink" Target="https://monitoramento.pm.pr.gov.br/proxy_image_1/" TargetMode="External"/><Relationship Id="rId168" Type="http://schemas.openxmlformats.org/officeDocument/2006/relationships/hyperlink" Target="https://monitoramento.pm.pr.gov.br/proxy_image_1/" TargetMode="External"/><Relationship Id="rId167" Type="http://schemas.openxmlformats.org/officeDocument/2006/relationships/hyperlink" Target="https://monitoramento.pm.pr.gov.br/proxy_image_1/" TargetMode="External"/><Relationship Id="rId166" Type="http://schemas.openxmlformats.org/officeDocument/2006/relationships/hyperlink" Target="https://monitoramento.pm.pr.gov.br/proxy_image_1/" TargetMode="External"/><Relationship Id="rId161" Type="http://schemas.openxmlformats.org/officeDocument/2006/relationships/hyperlink" Target="https://monitoramento.pm.pr.gov.br/proxy_image_1/" TargetMode="External"/><Relationship Id="rId160" Type="http://schemas.openxmlformats.org/officeDocument/2006/relationships/hyperlink" Target="https://monitoramento.pm.pr.gov.br/proxy_image_1/" TargetMode="External"/><Relationship Id="rId159" Type="http://schemas.openxmlformats.org/officeDocument/2006/relationships/hyperlink" Target="https://monitoramento.pm.pr.gov.br/proxy_image_1/" TargetMode="External"/><Relationship Id="rId154" Type="http://schemas.openxmlformats.org/officeDocument/2006/relationships/hyperlink" Target="https://monitoramento.pm.pr.gov.br/proxy_image_1/" TargetMode="External"/><Relationship Id="rId396" Type="http://schemas.openxmlformats.org/officeDocument/2006/relationships/hyperlink" Target="https://monitoramento.pm.pr.gov.br/proxy_image_1/" TargetMode="External"/><Relationship Id="rId153" Type="http://schemas.openxmlformats.org/officeDocument/2006/relationships/hyperlink" Target="https://monitoramento.pm.pr.gov.br/proxy_image_1/" TargetMode="External"/><Relationship Id="rId395" Type="http://schemas.openxmlformats.org/officeDocument/2006/relationships/hyperlink" Target="https://monitoramento.pm.pr.gov.br/proxy_image_1/" TargetMode="External"/><Relationship Id="rId152" Type="http://schemas.openxmlformats.org/officeDocument/2006/relationships/hyperlink" Target="https://monitoramento.pm.pr.gov.br/proxy_image_1/" TargetMode="External"/><Relationship Id="rId394" Type="http://schemas.openxmlformats.org/officeDocument/2006/relationships/hyperlink" Target="https://monitoramento.pm.pr.gov.br/proxy_image_1/" TargetMode="External"/><Relationship Id="rId151" Type="http://schemas.openxmlformats.org/officeDocument/2006/relationships/hyperlink" Target="https://monitoramento.pm.pr.gov.br/proxy_image_1/" TargetMode="External"/><Relationship Id="rId393" Type="http://schemas.openxmlformats.org/officeDocument/2006/relationships/hyperlink" Target="https://monitoramento.pm.pr.gov.br/proxy_image_1/" TargetMode="External"/><Relationship Id="rId158" Type="http://schemas.openxmlformats.org/officeDocument/2006/relationships/hyperlink" Target="https://monitoramento.pm.pr.gov.br/proxy_image_1/" TargetMode="External"/><Relationship Id="rId157" Type="http://schemas.openxmlformats.org/officeDocument/2006/relationships/hyperlink" Target="https://monitoramento.pm.pr.gov.br/proxy_image_1/" TargetMode="External"/><Relationship Id="rId399" Type="http://schemas.openxmlformats.org/officeDocument/2006/relationships/hyperlink" Target="https://monitoramento.pm.pr.gov.br/proxy_image_1/" TargetMode="External"/><Relationship Id="rId156" Type="http://schemas.openxmlformats.org/officeDocument/2006/relationships/hyperlink" Target="https://monitoramento.pm.pr.gov.br/proxy_image_1/" TargetMode="External"/><Relationship Id="rId398" Type="http://schemas.openxmlformats.org/officeDocument/2006/relationships/hyperlink" Target="https://monitoramento.pm.pr.gov.br/proxy_image_1/" TargetMode="External"/><Relationship Id="rId155" Type="http://schemas.openxmlformats.org/officeDocument/2006/relationships/hyperlink" Target="https://monitoramento.pm.pr.gov.br/proxy_image_1/" TargetMode="External"/><Relationship Id="rId397" Type="http://schemas.openxmlformats.org/officeDocument/2006/relationships/hyperlink" Target="https://monitoramento.pm.pr.gov.br/proxy_image_1/" TargetMode="External"/><Relationship Id="rId808" Type="http://schemas.openxmlformats.org/officeDocument/2006/relationships/hyperlink" Target="https://monitoramento.pm.pr.gov.br/proxy_image_8/" TargetMode="External"/><Relationship Id="rId807" Type="http://schemas.openxmlformats.org/officeDocument/2006/relationships/hyperlink" Target="https://monitoramento.pm.pr.gov.br/proxy_image_8/" TargetMode="External"/><Relationship Id="rId806" Type="http://schemas.openxmlformats.org/officeDocument/2006/relationships/hyperlink" Target="https://monitoramento.pm.pr.gov.br/proxy_image_8/" TargetMode="External"/><Relationship Id="rId805" Type="http://schemas.openxmlformats.org/officeDocument/2006/relationships/hyperlink" Target="https://monitoramento.pm.pr.gov.br/proxy_image_8/" TargetMode="External"/><Relationship Id="rId809" Type="http://schemas.openxmlformats.org/officeDocument/2006/relationships/hyperlink" Target="https://monitoramento.pm.pr.gov.br/proxy_image_8/" TargetMode="External"/><Relationship Id="rId800" Type="http://schemas.openxmlformats.org/officeDocument/2006/relationships/hyperlink" Target="https://monitoramento.pm.pr.gov.br/proxy_image_8/" TargetMode="External"/><Relationship Id="rId804" Type="http://schemas.openxmlformats.org/officeDocument/2006/relationships/hyperlink" Target="https://monitoramento.pm.pr.gov.br/proxy_image_8/" TargetMode="External"/><Relationship Id="rId803" Type="http://schemas.openxmlformats.org/officeDocument/2006/relationships/hyperlink" Target="https://monitoramento.pm.pr.gov.br/proxy_image_8/" TargetMode="External"/><Relationship Id="rId802" Type="http://schemas.openxmlformats.org/officeDocument/2006/relationships/hyperlink" Target="https://monitoramento.pm.pr.gov.br/proxy_image_8/" TargetMode="External"/><Relationship Id="rId801" Type="http://schemas.openxmlformats.org/officeDocument/2006/relationships/hyperlink" Target="https://monitoramento.pm.pr.gov.br/proxy_image_8/" TargetMode="External"/><Relationship Id="rId40" Type="http://schemas.openxmlformats.org/officeDocument/2006/relationships/hyperlink" Target="https://monitoramento.pm.pr.gov.br/proxy_image_1/" TargetMode="External"/><Relationship Id="rId42" Type="http://schemas.openxmlformats.org/officeDocument/2006/relationships/hyperlink" Target="https://monitoramento.pm.pr.gov.br/proxy_image_1/" TargetMode="External"/><Relationship Id="rId41" Type="http://schemas.openxmlformats.org/officeDocument/2006/relationships/hyperlink" Target="https://monitoramento.pm.pr.gov.br/proxy_image_1/" TargetMode="External"/><Relationship Id="rId44" Type="http://schemas.openxmlformats.org/officeDocument/2006/relationships/hyperlink" Target="https://monitoramento.pm.pr.gov.br/proxy_image_1/" TargetMode="External"/><Relationship Id="rId43" Type="http://schemas.openxmlformats.org/officeDocument/2006/relationships/hyperlink" Target="https://monitoramento.pm.pr.gov.br/proxy_image_1/" TargetMode="External"/><Relationship Id="rId46" Type="http://schemas.openxmlformats.org/officeDocument/2006/relationships/hyperlink" Target="https://monitoramento.pm.pr.gov.br/proxy_image_1/" TargetMode="External"/><Relationship Id="rId45" Type="http://schemas.openxmlformats.org/officeDocument/2006/relationships/hyperlink" Target="https://monitoramento.pm.pr.gov.br/proxy_image_1/" TargetMode="External"/><Relationship Id="rId509" Type="http://schemas.openxmlformats.org/officeDocument/2006/relationships/hyperlink" Target="https://monitoramento.pm.pr.gov.br/proxy_image_1/" TargetMode="External"/><Relationship Id="rId508" Type="http://schemas.openxmlformats.org/officeDocument/2006/relationships/hyperlink" Target="https://monitoramento.pm.pr.gov.br/proxy_image_1/" TargetMode="External"/><Relationship Id="rId503" Type="http://schemas.openxmlformats.org/officeDocument/2006/relationships/hyperlink" Target="https://monitoramento.pm.pr.gov.br/proxy_image_1/" TargetMode="External"/><Relationship Id="rId745" Type="http://schemas.openxmlformats.org/officeDocument/2006/relationships/hyperlink" Target="https://monitoramento.pm.pr.gov.br/proxy_image_1/" TargetMode="External"/><Relationship Id="rId987" Type="http://schemas.openxmlformats.org/officeDocument/2006/relationships/hyperlink" Target="https://monitoramento.pm.pr.gov.br/proxy_image_8/" TargetMode="External"/><Relationship Id="rId502" Type="http://schemas.openxmlformats.org/officeDocument/2006/relationships/hyperlink" Target="https://monitoramento.pm.pr.gov.br/proxy_image_1/" TargetMode="External"/><Relationship Id="rId744" Type="http://schemas.openxmlformats.org/officeDocument/2006/relationships/hyperlink" Target="https://monitoramento.pm.pr.gov.br/proxy_image_1/" TargetMode="External"/><Relationship Id="rId986" Type="http://schemas.openxmlformats.org/officeDocument/2006/relationships/hyperlink" Target="https://monitoramento.pm.pr.gov.br/proxy_image_8/" TargetMode="External"/><Relationship Id="rId501" Type="http://schemas.openxmlformats.org/officeDocument/2006/relationships/hyperlink" Target="https://monitoramento.pm.pr.gov.br/proxy_image_1/" TargetMode="External"/><Relationship Id="rId743" Type="http://schemas.openxmlformats.org/officeDocument/2006/relationships/hyperlink" Target="https://monitoramento.pm.pr.gov.br/proxy_image_1/" TargetMode="External"/><Relationship Id="rId985" Type="http://schemas.openxmlformats.org/officeDocument/2006/relationships/hyperlink" Target="https://monitoramento.pm.pr.gov.br/proxy_image_8/" TargetMode="External"/><Relationship Id="rId500" Type="http://schemas.openxmlformats.org/officeDocument/2006/relationships/hyperlink" Target="https://monitoramento.pm.pr.gov.br/proxy_image_1/" TargetMode="External"/><Relationship Id="rId742" Type="http://schemas.openxmlformats.org/officeDocument/2006/relationships/hyperlink" Target="https://monitoramento.pm.pr.gov.br/proxy_image_1/" TargetMode="External"/><Relationship Id="rId984" Type="http://schemas.openxmlformats.org/officeDocument/2006/relationships/hyperlink" Target="https://monitoramento.pm.pr.gov.br/proxy_image_8/" TargetMode="External"/><Relationship Id="rId507" Type="http://schemas.openxmlformats.org/officeDocument/2006/relationships/hyperlink" Target="https://monitoramento.pm.pr.gov.br/proxy_image_1/" TargetMode="External"/><Relationship Id="rId749" Type="http://schemas.openxmlformats.org/officeDocument/2006/relationships/hyperlink" Target="https://monitoramento.pm.pr.gov.br/proxy_image_1/" TargetMode="External"/><Relationship Id="rId506" Type="http://schemas.openxmlformats.org/officeDocument/2006/relationships/hyperlink" Target="https://monitoramento.pm.pr.gov.br/proxy_image_1/" TargetMode="External"/><Relationship Id="rId748" Type="http://schemas.openxmlformats.org/officeDocument/2006/relationships/hyperlink" Target="https://monitoramento.pm.pr.gov.br/proxy_image_1/" TargetMode="External"/><Relationship Id="rId505" Type="http://schemas.openxmlformats.org/officeDocument/2006/relationships/hyperlink" Target="https://monitoramento.pm.pr.gov.br/proxy_image_1/" TargetMode="External"/><Relationship Id="rId747" Type="http://schemas.openxmlformats.org/officeDocument/2006/relationships/hyperlink" Target="https://monitoramento.pm.pr.gov.br/proxy_image_1/" TargetMode="External"/><Relationship Id="rId989" Type="http://schemas.openxmlformats.org/officeDocument/2006/relationships/hyperlink" Target="https://monitoramento.pm.pr.gov.br/proxy_image_8/" TargetMode="External"/><Relationship Id="rId504" Type="http://schemas.openxmlformats.org/officeDocument/2006/relationships/hyperlink" Target="https://monitoramento.pm.pr.gov.br/proxy_image_1/" TargetMode="External"/><Relationship Id="rId746" Type="http://schemas.openxmlformats.org/officeDocument/2006/relationships/hyperlink" Target="https://monitoramento.pm.pr.gov.br/proxy_image_1/" TargetMode="External"/><Relationship Id="rId988" Type="http://schemas.openxmlformats.org/officeDocument/2006/relationships/hyperlink" Target="https://monitoramento.pm.pr.gov.br/proxy_image_8/" TargetMode="External"/><Relationship Id="rId48" Type="http://schemas.openxmlformats.org/officeDocument/2006/relationships/hyperlink" Target="https://monitoramento.pm.pr.gov.br/proxy_image_1/" TargetMode="External"/><Relationship Id="rId47" Type="http://schemas.openxmlformats.org/officeDocument/2006/relationships/hyperlink" Target="https://monitoramento.pm.pr.gov.br/proxy_image_1/" TargetMode="External"/><Relationship Id="rId49" Type="http://schemas.openxmlformats.org/officeDocument/2006/relationships/hyperlink" Target="https://monitoramento.pm.pr.gov.br/proxy_image_1/" TargetMode="External"/><Relationship Id="rId741" Type="http://schemas.openxmlformats.org/officeDocument/2006/relationships/hyperlink" Target="https://monitoramento.pm.pr.gov.br/proxy_image_1/" TargetMode="External"/><Relationship Id="rId983" Type="http://schemas.openxmlformats.org/officeDocument/2006/relationships/hyperlink" Target="https://monitoramento.pm.pr.gov.br/proxy_image_8/" TargetMode="External"/><Relationship Id="rId740" Type="http://schemas.openxmlformats.org/officeDocument/2006/relationships/hyperlink" Target="https://monitoramento.pm.pr.gov.br/proxy_image_1/" TargetMode="External"/><Relationship Id="rId982" Type="http://schemas.openxmlformats.org/officeDocument/2006/relationships/hyperlink" Target="https://monitoramento.pm.pr.gov.br/proxy_image_8/" TargetMode="External"/><Relationship Id="rId981" Type="http://schemas.openxmlformats.org/officeDocument/2006/relationships/hyperlink" Target="https://monitoramento.pm.pr.gov.br/proxy_image_8/" TargetMode="External"/><Relationship Id="rId980" Type="http://schemas.openxmlformats.org/officeDocument/2006/relationships/hyperlink" Target="https://monitoramento.pm.pr.gov.br/proxy_image_8/" TargetMode="External"/><Relationship Id="rId31" Type="http://schemas.openxmlformats.org/officeDocument/2006/relationships/hyperlink" Target="https://monitoramento.pm.pr.gov.br/proxy_image_1/" TargetMode="External"/><Relationship Id="rId30" Type="http://schemas.openxmlformats.org/officeDocument/2006/relationships/hyperlink" Target="https://monitoramento.pm.pr.gov.br/proxy_image_1/" TargetMode="External"/><Relationship Id="rId33" Type="http://schemas.openxmlformats.org/officeDocument/2006/relationships/hyperlink" Target="https://monitoramento.pm.pr.gov.br/proxy_image_1/" TargetMode="External"/><Relationship Id="rId32" Type="http://schemas.openxmlformats.org/officeDocument/2006/relationships/hyperlink" Target="https://monitoramento.pm.pr.gov.br/proxy_image_1/" TargetMode="External"/><Relationship Id="rId35" Type="http://schemas.openxmlformats.org/officeDocument/2006/relationships/hyperlink" Target="https://monitoramento.pm.pr.gov.br/proxy_image_1/" TargetMode="External"/><Relationship Id="rId34" Type="http://schemas.openxmlformats.org/officeDocument/2006/relationships/hyperlink" Target="https://monitoramento.pm.pr.gov.br/proxy_image_1/" TargetMode="External"/><Relationship Id="rId739" Type="http://schemas.openxmlformats.org/officeDocument/2006/relationships/hyperlink" Target="https://monitoramento.pm.pr.gov.br/proxy_image_1/" TargetMode="External"/><Relationship Id="rId734" Type="http://schemas.openxmlformats.org/officeDocument/2006/relationships/hyperlink" Target="https://monitoramento.pm.pr.gov.br/proxy_image_1/" TargetMode="External"/><Relationship Id="rId976" Type="http://schemas.openxmlformats.org/officeDocument/2006/relationships/hyperlink" Target="https://monitoramento.pm.pr.gov.br/proxy_image_8/" TargetMode="External"/><Relationship Id="rId733" Type="http://schemas.openxmlformats.org/officeDocument/2006/relationships/hyperlink" Target="https://monitoramento.pm.pr.gov.br/proxy_image_1/" TargetMode="External"/><Relationship Id="rId975" Type="http://schemas.openxmlformats.org/officeDocument/2006/relationships/hyperlink" Target="https://monitoramento.pm.pr.gov.br/proxy_image_8/" TargetMode="External"/><Relationship Id="rId732" Type="http://schemas.openxmlformats.org/officeDocument/2006/relationships/hyperlink" Target="https://monitoramento.pm.pr.gov.br/proxy_image_1/" TargetMode="External"/><Relationship Id="rId974" Type="http://schemas.openxmlformats.org/officeDocument/2006/relationships/hyperlink" Target="https://monitoramento.pm.pr.gov.br/proxy_image_8/" TargetMode="External"/><Relationship Id="rId731" Type="http://schemas.openxmlformats.org/officeDocument/2006/relationships/hyperlink" Target="https://monitoramento.pm.pr.gov.br/proxy_image_1/" TargetMode="External"/><Relationship Id="rId973" Type="http://schemas.openxmlformats.org/officeDocument/2006/relationships/hyperlink" Target="https://monitoramento.pm.pr.gov.br/proxy_image_8/" TargetMode="External"/><Relationship Id="rId738" Type="http://schemas.openxmlformats.org/officeDocument/2006/relationships/hyperlink" Target="https://monitoramento.pm.pr.gov.br/proxy_image_1/" TargetMode="External"/><Relationship Id="rId737" Type="http://schemas.openxmlformats.org/officeDocument/2006/relationships/hyperlink" Target="https://monitoramento.pm.pr.gov.br/proxy_image_1/" TargetMode="External"/><Relationship Id="rId979" Type="http://schemas.openxmlformats.org/officeDocument/2006/relationships/hyperlink" Target="https://monitoramento.pm.pr.gov.br/proxy_image_8/" TargetMode="External"/><Relationship Id="rId736" Type="http://schemas.openxmlformats.org/officeDocument/2006/relationships/hyperlink" Target="https://monitoramento.pm.pr.gov.br/proxy_image_1/" TargetMode="External"/><Relationship Id="rId978" Type="http://schemas.openxmlformats.org/officeDocument/2006/relationships/hyperlink" Target="https://monitoramento.pm.pr.gov.br/proxy_image_8/" TargetMode="External"/><Relationship Id="rId735" Type="http://schemas.openxmlformats.org/officeDocument/2006/relationships/hyperlink" Target="https://monitoramento.pm.pr.gov.br/proxy_image_1/" TargetMode="External"/><Relationship Id="rId977" Type="http://schemas.openxmlformats.org/officeDocument/2006/relationships/hyperlink" Target="https://monitoramento.pm.pr.gov.br/proxy_image_8/" TargetMode="External"/><Relationship Id="rId37" Type="http://schemas.openxmlformats.org/officeDocument/2006/relationships/hyperlink" Target="https://monitoramento.pm.pr.gov.br/proxy_image_1/" TargetMode="External"/><Relationship Id="rId36" Type="http://schemas.openxmlformats.org/officeDocument/2006/relationships/hyperlink" Target="https://monitoramento.pm.pr.gov.br/proxy_image_1/" TargetMode="External"/><Relationship Id="rId39" Type="http://schemas.openxmlformats.org/officeDocument/2006/relationships/hyperlink" Target="https://monitoramento.pm.pr.gov.br/proxy_image_1/" TargetMode="External"/><Relationship Id="rId38" Type="http://schemas.openxmlformats.org/officeDocument/2006/relationships/hyperlink" Target="https://monitoramento.pm.pr.gov.br/proxy_image_1/" TargetMode="External"/><Relationship Id="rId730" Type="http://schemas.openxmlformats.org/officeDocument/2006/relationships/hyperlink" Target="https://monitoramento.pm.pr.gov.br/proxy_image_1/" TargetMode="External"/><Relationship Id="rId972" Type="http://schemas.openxmlformats.org/officeDocument/2006/relationships/hyperlink" Target="https://monitoramento.pm.pr.gov.br/proxy_image_8/" TargetMode="External"/><Relationship Id="rId971" Type="http://schemas.openxmlformats.org/officeDocument/2006/relationships/hyperlink" Target="https://monitoramento.pm.pr.gov.br/proxy_image_8/" TargetMode="External"/><Relationship Id="rId970" Type="http://schemas.openxmlformats.org/officeDocument/2006/relationships/hyperlink" Target="https://monitoramento.pm.pr.gov.br/proxy_image_8/" TargetMode="External"/><Relationship Id="rId20" Type="http://schemas.openxmlformats.org/officeDocument/2006/relationships/hyperlink" Target="https://monitoramento.pm.pr.gov.br/proxy_image_1/" TargetMode="External"/><Relationship Id="rId22" Type="http://schemas.openxmlformats.org/officeDocument/2006/relationships/hyperlink" Target="https://monitoramento.pm.pr.gov.br/proxy_image_1/" TargetMode="External"/><Relationship Id="rId21" Type="http://schemas.openxmlformats.org/officeDocument/2006/relationships/hyperlink" Target="https://monitoramento.pm.pr.gov.br/proxy_image_1/" TargetMode="External"/><Relationship Id="rId24" Type="http://schemas.openxmlformats.org/officeDocument/2006/relationships/hyperlink" Target="https://monitoramento.pm.pr.gov.br/proxy_image_1/" TargetMode="External"/><Relationship Id="rId23" Type="http://schemas.openxmlformats.org/officeDocument/2006/relationships/hyperlink" Target="https://monitoramento.pm.pr.gov.br/proxy_image_1/" TargetMode="External"/><Relationship Id="rId525" Type="http://schemas.openxmlformats.org/officeDocument/2006/relationships/hyperlink" Target="https://monitoramento.pm.pr.gov.br/proxy_image_1/" TargetMode="External"/><Relationship Id="rId767" Type="http://schemas.openxmlformats.org/officeDocument/2006/relationships/hyperlink" Target="https://monitoramento.pm.pr.gov.br/proxy_image_1/" TargetMode="External"/><Relationship Id="rId524" Type="http://schemas.openxmlformats.org/officeDocument/2006/relationships/hyperlink" Target="https://monitoramento.pm.pr.gov.br/proxy_image_1/" TargetMode="External"/><Relationship Id="rId766" Type="http://schemas.openxmlformats.org/officeDocument/2006/relationships/hyperlink" Target="https://monitoramento.pm.pr.gov.br/proxy_image_1/" TargetMode="External"/><Relationship Id="rId523" Type="http://schemas.openxmlformats.org/officeDocument/2006/relationships/hyperlink" Target="https://monitoramento.pm.pr.gov.br/proxy_image_1/" TargetMode="External"/><Relationship Id="rId765" Type="http://schemas.openxmlformats.org/officeDocument/2006/relationships/hyperlink" Target="https://monitoramento.pm.pr.gov.br/proxy_image_1/" TargetMode="External"/><Relationship Id="rId522" Type="http://schemas.openxmlformats.org/officeDocument/2006/relationships/hyperlink" Target="https://monitoramento.pm.pr.gov.br/proxy_image_1/" TargetMode="External"/><Relationship Id="rId764" Type="http://schemas.openxmlformats.org/officeDocument/2006/relationships/hyperlink" Target="https://monitoramento.pm.pr.gov.br/proxy_image_1/" TargetMode="External"/><Relationship Id="rId529" Type="http://schemas.openxmlformats.org/officeDocument/2006/relationships/hyperlink" Target="https://monitoramento.pm.pr.gov.br/proxy_image_1/" TargetMode="External"/><Relationship Id="rId528" Type="http://schemas.openxmlformats.org/officeDocument/2006/relationships/hyperlink" Target="https://monitoramento.pm.pr.gov.br/proxy_image_1/" TargetMode="External"/><Relationship Id="rId527" Type="http://schemas.openxmlformats.org/officeDocument/2006/relationships/hyperlink" Target="https://monitoramento.pm.pr.gov.br/proxy_image_1/" TargetMode="External"/><Relationship Id="rId769" Type="http://schemas.openxmlformats.org/officeDocument/2006/relationships/hyperlink" Target="https://monitoramento.pm.pr.gov.br/proxy_image_1/" TargetMode="External"/><Relationship Id="rId526" Type="http://schemas.openxmlformats.org/officeDocument/2006/relationships/hyperlink" Target="https://monitoramento.pm.pr.gov.br/proxy_image_1/" TargetMode="External"/><Relationship Id="rId768" Type="http://schemas.openxmlformats.org/officeDocument/2006/relationships/hyperlink" Target="https://monitoramento.pm.pr.gov.br/proxy_image_1/" TargetMode="External"/><Relationship Id="rId26" Type="http://schemas.openxmlformats.org/officeDocument/2006/relationships/hyperlink" Target="https://monitoramento.pm.pr.gov.br/proxy_image_1/" TargetMode="External"/><Relationship Id="rId25" Type="http://schemas.openxmlformats.org/officeDocument/2006/relationships/hyperlink" Target="https://monitoramento.pm.pr.gov.br/proxy_image_1/" TargetMode="External"/><Relationship Id="rId28" Type="http://schemas.openxmlformats.org/officeDocument/2006/relationships/hyperlink" Target="https://monitoramento.pm.pr.gov.br/proxy_image_1/" TargetMode="External"/><Relationship Id="rId27" Type="http://schemas.openxmlformats.org/officeDocument/2006/relationships/hyperlink" Target="https://monitoramento.pm.pr.gov.br/proxy_image_1/" TargetMode="External"/><Relationship Id="rId521" Type="http://schemas.openxmlformats.org/officeDocument/2006/relationships/hyperlink" Target="https://monitoramento.pm.pr.gov.br/proxy_image_1/" TargetMode="External"/><Relationship Id="rId763" Type="http://schemas.openxmlformats.org/officeDocument/2006/relationships/hyperlink" Target="https://monitoramento.pm.pr.gov.br/proxy_image_1/" TargetMode="External"/><Relationship Id="rId29" Type="http://schemas.openxmlformats.org/officeDocument/2006/relationships/hyperlink" Target="https://monitoramento.pm.pr.gov.br/proxy_image_1/" TargetMode="External"/><Relationship Id="rId520" Type="http://schemas.openxmlformats.org/officeDocument/2006/relationships/hyperlink" Target="https://monitoramento.pm.pr.gov.br/proxy_image_1/" TargetMode="External"/><Relationship Id="rId762" Type="http://schemas.openxmlformats.org/officeDocument/2006/relationships/hyperlink" Target="https://monitoramento.pm.pr.gov.br/proxy_image_1/" TargetMode="External"/><Relationship Id="rId761" Type="http://schemas.openxmlformats.org/officeDocument/2006/relationships/hyperlink" Target="https://monitoramento.pm.pr.gov.br/proxy_image_1/" TargetMode="External"/><Relationship Id="rId760" Type="http://schemas.openxmlformats.org/officeDocument/2006/relationships/hyperlink" Target="https://monitoramento.pm.pr.gov.br/proxy_image_1/" TargetMode="External"/><Relationship Id="rId11" Type="http://schemas.openxmlformats.org/officeDocument/2006/relationships/hyperlink" Target="https://monitoramento.pm.pr.gov.br/proxy_image_1/" TargetMode="External"/><Relationship Id="rId10" Type="http://schemas.openxmlformats.org/officeDocument/2006/relationships/hyperlink" Target="https://monitoramento.pm.pr.gov.br/proxy_image_1/" TargetMode="External"/><Relationship Id="rId13" Type="http://schemas.openxmlformats.org/officeDocument/2006/relationships/hyperlink" Target="https://monitoramento.pm.pr.gov.br/proxy_image_1/" TargetMode="External"/><Relationship Id="rId12" Type="http://schemas.openxmlformats.org/officeDocument/2006/relationships/hyperlink" Target="https://monitoramento.pm.pr.gov.br/proxy_image_1/" TargetMode="External"/><Relationship Id="rId519" Type="http://schemas.openxmlformats.org/officeDocument/2006/relationships/hyperlink" Target="https://monitoramento.pm.pr.gov.br/proxy_image_1/" TargetMode="External"/><Relationship Id="rId514" Type="http://schemas.openxmlformats.org/officeDocument/2006/relationships/hyperlink" Target="https://monitoramento.pm.pr.gov.br/proxy_image_1/" TargetMode="External"/><Relationship Id="rId756" Type="http://schemas.openxmlformats.org/officeDocument/2006/relationships/hyperlink" Target="https://monitoramento.pm.pr.gov.br/proxy_image_1/" TargetMode="External"/><Relationship Id="rId998" Type="http://schemas.openxmlformats.org/officeDocument/2006/relationships/hyperlink" Target="https://monitoramento.pm.pr.gov.br/proxy_image_8/" TargetMode="External"/><Relationship Id="rId513" Type="http://schemas.openxmlformats.org/officeDocument/2006/relationships/hyperlink" Target="https://monitoramento.pm.pr.gov.br/proxy_image_1/" TargetMode="External"/><Relationship Id="rId755" Type="http://schemas.openxmlformats.org/officeDocument/2006/relationships/hyperlink" Target="https://monitoramento.pm.pr.gov.br/proxy_image_1/" TargetMode="External"/><Relationship Id="rId997" Type="http://schemas.openxmlformats.org/officeDocument/2006/relationships/hyperlink" Target="https://monitoramento.pm.pr.gov.br/proxy_image_8/" TargetMode="External"/><Relationship Id="rId512" Type="http://schemas.openxmlformats.org/officeDocument/2006/relationships/hyperlink" Target="https://monitoramento.pm.pr.gov.br/proxy_image_1/" TargetMode="External"/><Relationship Id="rId754" Type="http://schemas.openxmlformats.org/officeDocument/2006/relationships/hyperlink" Target="https://monitoramento.pm.pr.gov.br/proxy_image_1/" TargetMode="External"/><Relationship Id="rId996" Type="http://schemas.openxmlformats.org/officeDocument/2006/relationships/hyperlink" Target="https://monitoramento.pm.pr.gov.br/proxy_image_8/" TargetMode="External"/><Relationship Id="rId511" Type="http://schemas.openxmlformats.org/officeDocument/2006/relationships/hyperlink" Target="https://monitoramento.pm.pr.gov.br/proxy_image_1/" TargetMode="External"/><Relationship Id="rId753" Type="http://schemas.openxmlformats.org/officeDocument/2006/relationships/hyperlink" Target="https://monitoramento.pm.pr.gov.br/proxy_image_1/" TargetMode="External"/><Relationship Id="rId995" Type="http://schemas.openxmlformats.org/officeDocument/2006/relationships/hyperlink" Target="https://monitoramento.pm.pr.gov.br/proxy_image_8/" TargetMode="External"/><Relationship Id="rId518" Type="http://schemas.openxmlformats.org/officeDocument/2006/relationships/hyperlink" Target="https://monitoramento.pm.pr.gov.br/proxy_image_1/" TargetMode="External"/><Relationship Id="rId517" Type="http://schemas.openxmlformats.org/officeDocument/2006/relationships/hyperlink" Target="https://monitoramento.pm.pr.gov.br/proxy_image_1/" TargetMode="External"/><Relationship Id="rId759" Type="http://schemas.openxmlformats.org/officeDocument/2006/relationships/hyperlink" Target="https://monitoramento.pm.pr.gov.br/proxy_image_1/" TargetMode="External"/><Relationship Id="rId516" Type="http://schemas.openxmlformats.org/officeDocument/2006/relationships/hyperlink" Target="https://monitoramento.pm.pr.gov.br/proxy_image_1/" TargetMode="External"/><Relationship Id="rId758" Type="http://schemas.openxmlformats.org/officeDocument/2006/relationships/hyperlink" Target="https://monitoramento.pm.pr.gov.br/proxy_image_1/" TargetMode="External"/><Relationship Id="rId515" Type="http://schemas.openxmlformats.org/officeDocument/2006/relationships/hyperlink" Target="https://monitoramento.pm.pr.gov.br/proxy_image_1/" TargetMode="External"/><Relationship Id="rId757" Type="http://schemas.openxmlformats.org/officeDocument/2006/relationships/hyperlink" Target="https://monitoramento.pm.pr.gov.br/proxy_image_1/" TargetMode="External"/><Relationship Id="rId999" Type="http://schemas.openxmlformats.org/officeDocument/2006/relationships/hyperlink" Target="https://monitoramento.pm.pr.gov.br/proxy_image_8/" TargetMode="External"/><Relationship Id="rId15" Type="http://schemas.openxmlformats.org/officeDocument/2006/relationships/hyperlink" Target="https://monitoramento.pm.pr.gov.br/proxy_image_1/" TargetMode="External"/><Relationship Id="rId990" Type="http://schemas.openxmlformats.org/officeDocument/2006/relationships/hyperlink" Target="https://monitoramento.pm.pr.gov.br/proxy_image_8/" TargetMode="External"/><Relationship Id="rId14" Type="http://schemas.openxmlformats.org/officeDocument/2006/relationships/hyperlink" Target="https://monitoramento.pm.pr.gov.br/proxy_image_1/" TargetMode="External"/><Relationship Id="rId17" Type="http://schemas.openxmlformats.org/officeDocument/2006/relationships/hyperlink" Target="https://monitoramento.pm.pr.gov.br/proxy_image_1/" TargetMode="External"/><Relationship Id="rId16" Type="http://schemas.openxmlformats.org/officeDocument/2006/relationships/hyperlink" Target="https://monitoramento.pm.pr.gov.br/proxy_image_1/" TargetMode="External"/><Relationship Id="rId19" Type="http://schemas.openxmlformats.org/officeDocument/2006/relationships/hyperlink" Target="https://monitoramento.pm.pr.gov.br/proxy_image_1/" TargetMode="External"/><Relationship Id="rId510" Type="http://schemas.openxmlformats.org/officeDocument/2006/relationships/hyperlink" Target="https://monitoramento.pm.pr.gov.br/proxy_image_1/" TargetMode="External"/><Relationship Id="rId752" Type="http://schemas.openxmlformats.org/officeDocument/2006/relationships/hyperlink" Target="https://monitoramento.pm.pr.gov.br/proxy_image_1/" TargetMode="External"/><Relationship Id="rId994" Type="http://schemas.openxmlformats.org/officeDocument/2006/relationships/hyperlink" Target="https://monitoramento.pm.pr.gov.br/proxy_image_8/" TargetMode="External"/><Relationship Id="rId18" Type="http://schemas.openxmlformats.org/officeDocument/2006/relationships/hyperlink" Target="https://monitoramento.pm.pr.gov.br/proxy_image_1/" TargetMode="External"/><Relationship Id="rId751" Type="http://schemas.openxmlformats.org/officeDocument/2006/relationships/hyperlink" Target="https://monitoramento.pm.pr.gov.br/proxy_image_1/" TargetMode="External"/><Relationship Id="rId993" Type="http://schemas.openxmlformats.org/officeDocument/2006/relationships/hyperlink" Target="https://monitoramento.pm.pr.gov.br/proxy_image_8/" TargetMode="External"/><Relationship Id="rId750" Type="http://schemas.openxmlformats.org/officeDocument/2006/relationships/hyperlink" Target="https://monitoramento.pm.pr.gov.br/proxy_image_1/" TargetMode="External"/><Relationship Id="rId992" Type="http://schemas.openxmlformats.org/officeDocument/2006/relationships/hyperlink" Target="https://monitoramento.pm.pr.gov.br/proxy_image_8/" TargetMode="External"/><Relationship Id="rId991" Type="http://schemas.openxmlformats.org/officeDocument/2006/relationships/hyperlink" Target="https://monitoramento.pm.pr.gov.br/proxy_image_8/" TargetMode="External"/><Relationship Id="rId84" Type="http://schemas.openxmlformats.org/officeDocument/2006/relationships/hyperlink" Target="https://monitoramento.pm.pr.gov.br/proxy_image_1/" TargetMode="External"/><Relationship Id="rId83" Type="http://schemas.openxmlformats.org/officeDocument/2006/relationships/hyperlink" Target="https://monitoramento.pm.pr.gov.br/proxy_image_1/" TargetMode="External"/><Relationship Id="rId86" Type="http://schemas.openxmlformats.org/officeDocument/2006/relationships/hyperlink" Target="https://monitoramento.pm.pr.gov.br/proxy_image_1/" TargetMode="External"/><Relationship Id="rId85" Type="http://schemas.openxmlformats.org/officeDocument/2006/relationships/hyperlink" Target="https://monitoramento.pm.pr.gov.br/proxy_image_1/" TargetMode="External"/><Relationship Id="rId88" Type="http://schemas.openxmlformats.org/officeDocument/2006/relationships/hyperlink" Target="https://monitoramento.pm.pr.gov.br/proxy_image_1/" TargetMode="External"/><Relationship Id="rId87" Type="http://schemas.openxmlformats.org/officeDocument/2006/relationships/hyperlink" Target="https://monitoramento.pm.pr.gov.br/proxy_image_1/" TargetMode="External"/><Relationship Id="rId89" Type="http://schemas.openxmlformats.org/officeDocument/2006/relationships/hyperlink" Target="https://monitoramento.pm.pr.gov.br/proxy_image_1/" TargetMode="External"/><Relationship Id="rId709" Type="http://schemas.openxmlformats.org/officeDocument/2006/relationships/hyperlink" Target="https://monitoramento.pm.pr.gov.br/proxy_image_1/" TargetMode="External"/><Relationship Id="rId708" Type="http://schemas.openxmlformats.org/officeDocument/2006/relationships/hyperlink" Target="https://monitoramento.pm.pr.gov.br/proxy_image_1/" TargetMode="External"/><Relationship Id="rId707" Type="http://schemas.openxmlformats.org/officeDocument/2006/relationships/hyperlink" Target="https://monitoramento.pm.pr.gov.br/proxy_image_1/" TargetMode="External"/><Relationship Id="rId949" Type="http://schemas.openxmlformats.org/officeDocument/2006/relationships/hyperlink" Target="https://monitoramento.pm.pr.gov.br/proxy_image_8/" TargetMode="External"/><Relationship Id="rId706" Type="http://schemas.openxmlformats.org/officeDocument/2006/relationships/hyperlink" Target="https://monitoramento.pm.pr.gov.br/proxy_image_1/" TargetMode="External"/><Relationship Id="rId948" Type="http://schemas.openxmlformats.org/officeDocument/2006/relationships/hyperlink" Target="https://monitoramento.pm.pr.gov.br/proxy_image_8/" TargetMode="External"/><Relationship Id="rId80" Type="http://schemas.openxmlformats.org/officeDocument/2006/relationships/hyperlink" Target="https://monitoramento.pm.pr.gov.br/proxy_image_1/" TargetMode="External"/><Relationship Id="rId82" Type="http://schemas.openxmlformats.org/officeDocument/2006/relationships/hyperlink" Target="https://monitoramento.pm.pr.gov.br/proxy_image_1/" TargetMode="External"/><Relationship Id="rId81" Type="http://schemas.openxmlformats.org/officeDocument/2006/relationships/hyperlink" Target="https://monitoramento.pm.pr.gov.br/proxy_image_1/" TargetMode="External"/><Relationship Id="rId701" Type="http://schemas.openxmlformats.org/officeDocument/2006/relationships/hyperlink" Target="https://monitoramento.pm.pr.gov.br/proxy_image_1/" TargetMode="External"/><Relationship Id="rId943" Type="http://schemas.openxmlformats.org/officeDocument/2006/relationships/hyperlink" Target="https://monitoramento.pm.pr.gov.br/proxy_image_8/" TargetMode="External"/><Relationship Id="rId700" Type="http://schemas.openxmlformats.org/officeDocument/2006/relationships/hyperlink" Target="https://monitoramento.pm.pr.gov.br/proxy_image_1/" TargetMode="External"/><Relationship Id="rId942" Type="http://schemas.openxmlformats.org/officeDocument/2006/relationships/hyperlink" Target="https://monitoramento.pm.pr.gov.br/proxy_image_8/" TargetMode="External"/><Relationship Id="rId941" Type="http://schemas.openxmlformats.org/officeDocument/2006/relationships/hyperlink" Target="https://monitoramento.pm.pr.gov.br/proxy_image_8/" TargetMode="External"/><Relationship Id="rId940" Type="http://schemas.openxmlformats.org/officeDocument/2006/relationships/hyperlink" Target="https://monitoramento.pm.pr.gov.br/proxy_image_8/" TargetMode="External"/><Relationship Id="rId705" Type="http://schemas.openxmlformats.org/officeDocument/2006/relationships/hyperlink" Target="https://monitoramento.pm.pr.gov.br/proxy_image_1/" TargetMode="External"/><Relationship Id="rId947" Type="http://schemas.openxmlformats.org/officeDocument/2006/relationships/hyperlink" Target="https://monitoramento.pm.pr.gov.br/proxy_image_8/" TargetMode="External"/><Relationship Id="rId704" Type="http://schemas.openxmlformats.org/officeDocument/2006/relationships/hyperlink" Target="https://monitoramento.pm.pr.gov.br/proxy_image_1/" TargetMode="External"/><Relationship Id="rId946" Type="http://schemas.openxmlformats.org/officeDocument/2006/relationships/hyperlink" Target="https://monitoramento.pm.pr.gov.br/proxy_image_8/" TargetMode="External"/><Relationship Id="rId703" Type="http://schemas.openxmlformats.org/officeDocument/2006/relationships/hyperlink" Target="https://monitoramento.pm.pr.gov.br/proxy_image_1/" TargetMode="External"/><Relationship Id="rId945" Type="http://schemas.openxmlformats.org/officeDocument/2006/relationships/hyperlink" Target="https://monitoramento.pm.pr.gov.br/proxy_image_8/" TargetMode="External"/><Relationship Id="rId702" Type="http://schemas.openxmlformats.org/officeDocument/2006/relationships/hyperlink" Target="https://monitoramento.pm.pr.gov.br/proxy_image_1/" TargetMode="External"/><Relationship Id="rId944" Type="http://schemas.openxmlformats.org/officeDocument/2006/relationships/hyperlink" Target="https://monitoramento.pm.pr.gov.br/proxy_image_8/" TargetMode="External"/><Relationship Id="rId73" Type="http://schemas.openxmlformats.org/officeDocument/2006/relationships/hyperlink" Target="https://monitoramento.pm.pr.gov.br/proxy_image_1/" TargetMode="External"/><Relationship Id="rId72" Type="http://schemas.openxmlformats.org/officeDocument/2006/relationships/hyperlink" Target="https://monitoramento.pm.pr.gov.br/proxy_image_1/" TargetMode="External"/><Relationship Id="rId75" Type="http://schemas.openxmlformats.org/officeDocument/2006/relationships/hyperlink" Target="https://monitoramento.pm.pr.gov.br/proxy_image_1/" TargetMode="External"/><Relationship Id="rId74" Type="http://schemas.openxmlformats.org/officeDocument/2006/relationships/hyperlink" Target="https://monitoramento.pm.pr.gov.br/proxy_image_1/" TargetMode="External"/><Relationship Id="rId77" Type="http://schemas.openxmlformats.org/officeDocument/2006/relationships/hyperlink" Target="https://monitoramento.pm.pr.gov.br/proxy_image_1/" TargetMode="External"/><Relationship Id="rId76" Type="http://schemas.openxmlformats.org/officeDocument/2006/relationships/hyperlink" Target="https://monitoramento.pm.pr.gov.br/proxy_image_1/" TargetMode="External"/><Relationship Id="rId79" Type="http://schemas.openxmlformats.org/officeDocument/2006/relationships/hyperlink" Target="https://monitoramento.pm.pr.gov.br/proxy_image_1/" TargetMode="External"/><Relationship Id="rId78" Type="http://schemas.openxmlformats.org/officeDocument/2006/relationships/hyperlink" Target="https://monitoramento.pm.pr.gov.br/proxy_image_1/" TargetMode="External"/><Relationship Id="rId939" Type="http://schemas.openxmlformats.org/officeDocument/2006/relationships/hyperlink" Target="https://monitoramento.pm.pr.gov.br/proxy_image_8/" TargetMode="External"/><Relationship Id="rId938" Type="http://schemas.openxmlformats.org/officeDocument/2006/relationships/hyperlink" Target="https://monitoramento.pm.pr.gov.br/proxy_image_8/" TargetMode="External"/><Relationship Id="rId937" Type="http://schemas.openxmlformats.org/officeDocument/2006/relationships/hyperlink" Target="https://monitoramento.pm.pr.gov.br/proxy_image_8/" TargetMode="External"/><Relationship Id="rId71" Type="http://schemas.openxmlformats.org/officeDocument/2006/relationships/hyperlink" Target="https://monitoramento.pm.pr.gov.br/proxy_image_1/" TargetMode="External"/><Relationship Id="rId70" Type="http://schemas.openxmlformats.org/officeDocument/2006/relationships/hyperlink" Target="https://monitoramento.pm.pr.gov.br/proxy_image_1/" TargetMode="External"/><Relationship Id="rId932" Type="http://schemas.openxmlformats.org/officeDocument/2006/relationships/hyperlink" Target="https://monitoramento.pm.pr.gov.br/proxy_image_8/" TargetMode="External"/><Relationship Id="rId931" Type="http://schemas.openxmlformats.org/officeDocument/2006/relationships/hyperlink" Target="https://monitoramento.pm.pr.gov.br/proxy_image_8/" TargetMode="External"/><Relationship Id="rId930" Type="http://schemas.openxmlformats.org/officeDocument/2006/relationships/hyperlink" Target="https://monitoramento.pm.pr.gov.br/proxy_image_8/" TargetMode="External"/><Relationship Id="rId936" Type="http://schemas.openxmlformats.org/officeDocument/2006/relationships/hyperlink" Target="https://monitoramento.pm.pr.gov.br/proxy_image_8/" TargetMode="External"/><Relationship Id="rId935" Type="http://schemas.openxmlformats.org/officeDocument/2006/relationships/hyperlink" Target="https://monitoramento.pm.pr.gov.br/proxy_image_8/" TargetMode="External"/><Relationship Id="rId934" Type="http://schemas.openxmlformats.org/officeDocument/2006/relationships/hyperlink" Target="https://monitoramento.pm.pr.gov.br/proxy_image_8/" TargetMode="External"/><Relationship Id="rId933" Type="http://schemas.openxmlformats.org/officeDocument/2006/relationships/hyperlink" Target="https://monitoramento.pm.pr.gov.br/proxy_image_8/" TargetMode="External"/><Relationship Id="rId62" Type="http://schemas.openxmlformats.org/officeDocument/2006/relationships/hyperlink" Target="https://monitoramento.pm.pr.gov.br/proxy_image_1/" TargetMode="External"/><Relationship Id="rId61" Type="http://schemas.openxmlformats.org/officeDocument/2006/relationships/hyperlink" Target="https://monitoramento.pm.pr.gov.br/proxy_image_1/" TargetMode="External"/><Relationship Id="rId64" Type="http://schemas.openxmlformats.org/officeDocument/2006/relationships/hyperlink" Target="https://monitoramento.pm.pr.gov.br/proxy_image_1/" TargetMode="External"/><Relationship Id="rId63" Type="http://schemas.openxmlformats.org/officeDocument/2006/relationships/hyperlink" Target="https://monitoramento.pm.pr.gov.br/proxy_image_1/" TargetMode="External"/><Relationship Id="rId66" Type="http://schemas.openxmlformats.org/officeDocument/2006/relationships/hyperlink" Target="https://monitoramento.pm.pr.gov.br/proxy_image_1/" TargetMode="External"/><Relationship Id="rId65" Type="http://schemas.openxmlformats.org/officeDocument/2006/relationships/hyperlink" Target="https://monitoramento.pm.pr.gov.br/proxy_image_1/" TargetMode="External"/><Relationship Id="rId68" Type="http://schemas.openxmlformats.org/officeDocument/2006/relationships/hyperlink" Target="https://monitoramento.pm.pr.gov.br/proxy_image_1/" TargetMode="External"/><Relationship Id="rId67" Type="http://schemas.openxmlformats.org/officeDocument/2006/relationships/hyperlink" Target="https://monitoramento.pm.pr.gov.br/proxy_image_1/" TargetMode="External"/><Relationship Id="rId729" Type="http://schemas.openxmlformats.org/officeDocument/2006/relationships/hyperlink" Target="https://monitoramento.pm.pr.gov.br/proxy_image_1/" TargetMode="External"/><Relationship Id="rId728" Type="http://schemas.openxmlformats.org/officeDocument/2006/relationships/hyperlink" Target="https://monitoramento.pm.pr.gov.br/proxy_image_1/" TargetMode="External"/><Relationship Id="rId60" Type="http://schemas.openxmlformats.org/officeDocument/2006/relationships/hyperlink" Target="https://monitoramento.pm.pr.gov.br/proxy_image_1/" TargetMode="External"/><Relationship Id="rId723" Type="http://schemas.openxmlformats.org/officeDocument/2006/relationships/hyperlink" Target="https://monitoramento.pm.pr.gov.br/proxy_image_1/" TargetMode="External"/><Relationship Id="rId965" Type="http://schemas.openxmlformats.org/officeDocument/2006/relationships/hyperlink" Target="https://monitoramento.pm.pr.gov.br/proxy_image_8/" TargetMode="External"/><Relationship Id="rId722" Type="http://schemas.openxmlformats.org/officeDocument/2006/relationships/hyperlink" Target="https://monitoramento.pm.pr.gov.br/proxy_image_1/" TargetMode="External"/><Relationship Id="rId964" Type="http://schemas.openxmlformats.org/officeDocument/2006/relationships/hyperlink" Target="https://monitoramento.pm.pr.gov.br/proxy_image_8/" TargetMode="External"/><Relationship Id="rId721" Type="http://schemas.openxmlformats.org/officeDocument/2006/relationships/hyperlink" Target="https://monitoramento.pm.pr.gov.br/proxy_image_1/" TargetMode="External"/><Relationship Id="rId963" Type="http://schemas.openxmlformats.org/officeDocument/2006/relationships/hyperlink" Target="https://monitoramento.pm.pr.gov.br/proxy_image_8/" TargetMode="External"/><Relationship Id="rId720" Type="http://schemas.openxmlformats.org/officeDocument/2006/relationships/hyperlink" Target="https://monitoramento.pm.pr.gov.br/proxy_image_1/" TargetMode="External"/><Relationship Id="rId962" Type="http://schemas.openxmlformats.org/officeDocument/2006/relationships/hyperlink" Target="https://monitoramento.pm.pr.gov.br/proxy_image_8/" TargetMode="External"/><Relationship Id="rId727" Type="http://schemas.openxmlformats.org/officeDocument/2006/relationships/hyperlink" Target="https://monitoramento.pm.pr.gov.br/proxy_image_1/" TargetMode="External"/><Relationship Id="rId969" Type="http://schemas.openxmlformats.org/officeDocument/2006/relationships/hyperlink" Target="https://monitoramento.pm.pr.gov.br/proxy_image_8/" TargetMode="External"/><Relationship Id="rId726" Type="http://schemas.openxmlformats.org/officeDocument/2006/relationships/hyperlink" Target="https://monitoramento.pm.pr.gov.br/proxy_image_1/" TargetMode="External"/><Relationship Id="rId968" Type="http://schemas.openxmlformats.org/officeDocument/2006/relationships/hyperlink" Target="https://monitoramento.pm.pr.gov.br/proxy_image_8/" TargetMode="External"/><Relationship Id="rId725" Type="http://schemas.openxmlformats.org/officeDocument/2006/relationships/hyperlink" Target="https://monitoramento.pm.pr.gov.br/proxy_image_1/" TargetMode="External"/><Relationship Id="rId967" Type="http://schemas.openxmlformats.org/officeDocument/2006/relationships/hyperlink" Target="https://monitoramento.pm.pr.gov.br/proxy_image_8/" TargetMode="External"/><Relationship Id="rId724" Type="http://schemas.openxmlformats.org/officeDocument/2006/relationships/hyperlink" Target="https://monitoramento.pm.pr.gov.br/proxy_image_1/" TargetMode="External"/><Relationship Id="rId966" Type="http://schemas.openxmlformats.org/officeDocument/2006/relationships/hyperlink" Target="https://monitoramento.pm.pr.gov.br/proxy_image_8/" TargetMode="External"/><Relationship Id="rId69" Type="http://schemas.openxmlformats.org/officeDocument/2006/relationships/hyperlink" Target="https://monitoramento.pm.pr.gov.br/proxy_image_1/" TargetMode="External"/><Relationship Id="rId961" Type="http://schemas.openxmlformats.org/officeDocument/2006/relationships/hyperlink" Target="https://monitoramento.pm.pr.gov.br/proxy_image_8/" TargetMode="External"/><Relationship Id="rId960" Type="http://schemas.openxmlformats.org/officeDocument/2006/relationships/hyperlink" Target="https://monitoramento.pm.pr.gov.br/proxy_image_8/" TargetMode="External"/><Relationship Id="rId51" Type="http://schemas.openxmlformats.org/officeDocument/2006/relationships/hyperlink" Target="https://monitoramento.pm.pr.gov.br/proxy_image_1/" TargetMode="External"/><Relationship Id="rId50" Type="http://schemas.openxmlformats.org/officeDocument/2006/relationships/hyperlink" Target="https://monitoramento.pm.pr.gov.br/proxy_image_1/" TargetMode="External"/><Relationship Id="rId53" Type="http://schemas.openxmlformats.org/officeDocument/2006/relationships/hyperlink" Target="https://monitoramento.pm.pr.gov.br/proxy_image_1/" TargetMode="External"/><Relationship Id="rId52" Type="http://schemas.openxmlformats.org/officeDocument/2006/relationships/hyperlink" Target="https://monitoramento.pm.pr.gov.br/proxy_image_1/" TargetMode="External"/><Relationship Id="rId55" Type="http://schemas.openxmlformats.org/officeDocument/2006/relationships/hyperlink" Target="https://monitoramento.pm.pr.gov.br/proxy_image_1/" TargetMode="External"/><Relationship Id="rId54" Type="http://schemas.openxmlformats.org/officeDocument/2006/relationships/hyperlink" Target="https://monitoramento.pm.pr.gov.br/proxy_image_1/" TargetMode="External"/><Relationship Id="rId57" Type="http://schemas.openxmlformats.org/officeDocument/2006/relationships/hyperlink" Target="https://monitoramento.pm.pr.gov.br/proxy_image_1/" TargetMode="External"/><Relationship Id="rId56" Type="http://schemas.openxmlformats.org/officeDocument/2006/relationships/hyperlink" Target="https://monitoramento.pm.pr.gov.br/proxy_image_1/" TargetMode="External"/><Relationship Id="rId719" Type="http://schemas.openxmlformats.org/officeDocument/2006/relationships/hyperlink" Target="https://monitoramento.pm.pr.gov.br/proxy_image_1/" TargetMode="External"/><Relationship Id="rId718" Type="http://schemas.openxmlformats.org/officeDocument/2006/relationships/hyperlink" Target="https://monitoramento.pm.pr.gov.br/proxy_image_1/" TargetMode="External"/><Relationship Id="rId717" Type="http://schemas.openxmlformats.org/officeDocument/2006/relationships/hyperlink" Target="https://monitoramento.pm.pr.gov.br/proxy_image_1/" TargetMode="External"/><Relationship Id="rId959" Type="http://schemas.openxmlformats.org/officeDocument/2006/relationships/hyperlink" Target="https://monitoramento.pm.pr.gov.br/proxy_image_8/" TargetMode="External"/><Relationship Id="rId712" Type="http://schemas.openxmlformats.org/officeDocument/2006/relationships/hyperlink" Target="https://monitoramento.pm.pr.gov.br/proxy_image_1/" TargetMode="External"/><Relationship Id="rId954" Type="http://schemas.openxmlformats.org/officeDocument/2006/relationships/hyperlink" Target="https://monitoramento.pm.pr.gov.br/proxy_image_8/" TargetMode="External"/><Relationship Id="rId711" Type="http://schemas.openxmlformats.org/officeDocument/2006/relationships/hyperlink" Target="https://monitoramento.pm.pr.gov.br/proxy_image_1/" TargetMode="External"/><Relationship Id="rId953" Type="http://schemas.openxmlformats.org/officeDocument/2006/relationships/hyperlink" Target="https://monitoramento.pm.pr.gov.br/proxy_image_8/" TargetMode="External"/><Relationship Id="rId710" Type="http://schemas.openxmlformats.org/officeDocument/2006/relationships/hyperlink" Target="https://monitoramento.pm.pr.gov.br/proxy_image_1/" TargetMode="External"/><Relationship Id="rId952" Type="http://schemas.openxmlformats.org/officeDocument/2006/relationships/hyperlink" Target="https://monitoramento.pm.pr.gov.br/proxy_image_8/" TargetMode="External"/><Relationship Id="rId951" Type="http://schemas.openxmlformats.org/officeDocument/2006/relationships/hyperlink" Target="https://monitoramento.pm.pr.gov.br/proxy_image_8/" TargetMode="External"/><Relationship Id="rId716" Type="http://schemas.openxmlformats.org/officeDocument/2006/relationships/hyperlink" Target="https://monitoramento.pm.pr.gov.br/proxy_image_1/" TargetMode="External"/><Relationship Id="rId958" Type="http://schemas.openxmlformats.org/officeDocument/2006/relationships/hyperlink" Target="https://monitoramento.pm.pr.gov.br/proxy_image_8/" TargetMode="External"/><Relationship Id="rId715" Type="http://schemas.openxmlformats.org/officeDocument/2006/relationships/hyperlink" Target="https://monitoramento.pm.pr.gov.br/proxy_image_1/" TargetMode="External"/><Relationship Id="rId957" Type="http://schemas.openxmlformats.org/officeDocument/2006/relationships/hyperlink" Target="https://monitoramento.pm.pr.gov.br/proxy_image_8/" TargetMode="External"/><Relationship Id="rId714" Type="http://schemas.openxmlformats.org/officeDocument/2006/relationships/hyperlink" Target="https://monitoramento.pm.pr.gov.br/proxy_image_1/" TargetMode="External"/><Relationship Id="rId956" Type="http://schemas.openxmlformats.org/officeDocument/2006/relationships/hyperlink" Target="https://monitoramento.pm.pr.gov.br/proxy_image_8/" TargetMode="External"/><Relationship Id="rId713" Type="http://schemas.openxmlformats.org/officeDocument/2006/relationships/hyperlink" Target="https://monitoramento.pm.pr.gov.br/proxy_image_1/" TargetMode="External"/><Relationship Id="rId955" Type="http://schemas.openxmlformats.org/officeDocument/2006/relationships/hyperlink" Target="https://monitoramento.pm.pr.gov.br/proxy_image_8/" TargetMode="External"/><Relationship Id="rId59" Type="http://schemas.openxmlformats.org/officeDocument/2006/relationships/hyperlink" Target="https://monitoramento.pm.pr.gov.br/proxy_image_1/" TargetMode="External"/><Relationship Id="rId58" Type="http://schemas.openxmlformats.org/officeDocument/2006/relationships/hyperlink" Target="https://monitoramento.pm.pr.gov.br/proxy_image_1/" TargetMode="External"/><Relationship Id="rId950" Type="http://schemas.openxmlformats.org/officeDocument/2006/relationships/hyperlink" Target="https://monitoramento.pm.pr.gov.br/proxy_image_8/" TargetMode="External"/><Relationship Id="rId590" Type="http://schemas.openxmlformats.org/officeDocument/2006/relationships/hyperlink" Target="https://monitoramento.pm.pr.gov.br/proxy_image_1/" TargetMode="External"/><Relationship Id="rId107" Type="http://schemas.openxmlformats.org/officeDocument/2006/relationships/hyperlink" Target="https://monitoramento.pm.pr.gov.br/proxy_image_1/" TargetMode="External"/><Relationship Id="rId349" Type="http://schemas.openxmlformats.org/officeDocument/2006/relationships/hyperlink" Target="https://monitoramento.pm.pr.gov.br/proxy_image_1/" TargetMode="External"/><Relationship Id="rId106" Type="http://schemas.openxmlformats.org/officeDocument/2006/relationships/hyperlink" Target="https://monitoramento.pm.pr.gov.br/proxy_image_1/" TargetMode="External"/><Relationship Id="rId348" Type="http://schemas.openxmlformats.org/officeDocument/2006/relationships/hyperlink" Target="https://monitoramento.pm.pr.gov.br/proxy_image_1/" TargetMode="External"/><Relationship Id="rId105" Type="http://schemas.openxmlformats.org/officeDocument/2006/relationships/hyperlink" Target="https://monitoramento.pm.pr.gov.br/proxy_image_1/" TargetMode="External"/><Relationship Id="rId347" Type="http://schemas.openxmlformats.org/officeDocument/2006/relationships/hyperlink" Target="https://monitoramento.pm.pr.gov.br/proxy_image_1/" TargetMode="External"/><Relationship Id="rId589" Type="http://schemas.openxmlformats.org/officeDocument/2006/relationships/hyperlink" Target="https://monitoramento.pm.pr.gov.br/proxy_image_1/" TargetMode="External"/><Relationship Id="rId104" Type="http://schemas.openxmlformats.org/officeDocument/2006/relationships/hyperlink" Target="https://monitoramento.pm.pr.gov.br/proxy_image_1/" TargetMode="External"/><Relationship Id="rId346" Type="http://schemas.openxmlformats.org/officeDocument/2006/relationships/hyperlink" Target="https://monitoramento.pm.pr.gov.br/proxy_image_1/" TargetMode="External"/><Relationship Id="rId588" Type="http://schemas.openxmlformats.org/officeDocument/2006/relationships/hyperlink" Target="https://monitoramento.pm.pr.gov.br/proxy_image_1/" TargetMode="External"/><Relationship Id="rId109" Type="http://schemas.openxmlformats.org/officeDocument/2006/relationships/hyperlink" Target="https://monitoramento.pm.pr.gov.br/proxy_image_1/" TargetMode="External"/><Relationship Id="rId108" Type="http://schemas.openxmlformats.org/officeDocument/2006/relationships/hyperlink" Target="https://monitoramento.pm.pr.gov.br/proxy_image_1/" TargetMode="External"/><Relationship Id="rId341" Type="http://schemas.openxmlformats.org/officeDocument/2006/relationships/hyperlink" Target="https://monitoramento.pm.pr.gov.br/proxy_image_1/" TargetMode="External"/><Relationship Id="rId583" Type="http://schemas.openxmlformats.org/officeDocument/2006/relationships/hyperlink" Target="https://monitoramento.pm.pr.gov.br/proxy_image_1/" TargetMode="External"/><Relationship Id="rId340" Type="http://schemas.openxmlformats.org/officeDocument/2006/relationships/hyperlink" Target="https://monitoramento.pm.pr.gov.br/proxy_image_1/" TargetMode="External"/><Relationship Id="rId582" Type="http://schemas.openxmlformats.org/officeDocument/2006/relationships/hyperlink" Target="https://monitoramento.pm.pr.gov.br/proxy_image_1/" TargetMode="External"/><Relationship Id="rId581" Type="http://schemas.openxmlformats.org/officeDocument/2006/relationships/hyperlink" Target="https://monitoramento.pm.pr.gov.br/proxy_image_1/" TargetMode="External"/><Relationship Id="rId580" Type="http://schemas.openxmlformats.org/officeDocument/2006/relationships/hyperlink" Target="https://monitoramento.pm.pr.gov.br/proxy_image_1/" TargetMode="External"/><Relationship Id="rId103" Type="http://schemas.openxmlformats.org/officeDocument/2006/relationships/hyperlink" Target="https://monitoramento.pm.pr.gov.br/proxy_image_1/" TargetMode="External"/><Relationship Id="rId345" Type="http://schemas.openxmlformats.org/officeDocument/2006/relationships/hyperlink" Target="https://monitoramento.pm.pr.gov.br/proxy_image_1/" TargetMode="External"/><Relationship Id="rId587" Type="http://schemas.openxmlformats.org/officeDocument/2006/relationships/hyperlink" Target="https://monitoramento.pm.pr.gov.br/proxy_image_1/" TargetMode="External"/><Relationship Id="rId102" Type="http://schemas.openxmlformats.org/officeDocument/2006/relationships/hyperlink" Target="https://monitoramento.pm.pr.gov.br/proxy_image_1/" TargetMode="External"/><Relationship Id="rId344" Type="http://schemas.openxmlformats.org/officeDocument/2006/relationships/hyperlink" Target="https://monitoramento.pm.pr.gov.br/proxy_image_1/" TargetMode="External"/><Relationship Id="rId586" Type="http://schemas.openxmlformats.org/officeDocument/2006/relationships/hyperlink" Target="https://monitoramento.pm.pr.gov.br/proxy_image_1/" TargetMode="External"/><Relationship Id="rId101" Type="http://schemas.openxmlformats.org/officeDocument/2006/relationships/hyperlink" Target="https://monitoramento.pm.pr.gov.br/proxy_image_1/" TargetMode="External"/><Relationship Id="rId343" Type="http://schemas.openxmlformats.org/officeDocument/2006/relationships/hyperlink" Target="https://monitoramento.pm.pr.gov.br/proxy_image_1/" TargetMode="External"/><Relationship Id="rId585" Type="http://schemas.openxmlformats.org/officeDocument/2006/relationships/hyperlink" Target="https://monitoramento.pm.pr.gov.br/proxy_image_1/" TargetMode="External"/><Relationship Id="rId100" Type="http://schemas.openxmlformats.org/officeDocument/2006/relationships/hyperlink" Target="https://monitoramento.pm.pr.gov.br/proxy_image_1/" TargetMode="External"/><Relationship Id="rId342" Type="http://schemas.openxmlformats.org/officeDocument/2006/relationships/hyperlink" Target="https://monitoramento.pm.pr.gov.br/proxy_image_1/" TargetMode="External"/><Relationship Id="rId584" Type="http://schemas.openxmlformats.org/officeDocument/2006/relationships/hyperlink" Target="https://monitoramento.pm.pr.gov.br/proxy_image_1/" TargetMode="External"/><Relationship Id="rId338" Type="http://schemas.openxmlformats.org/officeDocument/2006/relationships/hyperlink" Target="https://monitoramento.pm.pr.gov.br/proxy_image_1/" TargetMode="External"/><Relationship Id="rId337" Type="http://schemas.openxmlformats.org/officeDocument/2006/relationships/hyperlink" Target="https://monitoramento.pm.pr.gov.br/proxy_image_1/" TargetMode="External"/><Relationship Id="rId579" Type="http://schemas.openxmlformats.org/officeDocument/2006/relationships/hyperlink" Target="https://monitoramento.pm.pr.gov.br/proxy_image_1/" TargetMode="External"/><Relationship Id="rId336" Type="http://schemas.openxmlformats.org/officeDocument/2006/relationships/hyperlink" Target="https://monitoramento.pm.pr.gov.br/proxy_image_1/" TargetMode="External"/><Relationship Id="rId578" Type="http://schemas.openxmlformats.org/officeDocument/2006/relationships/hyperlink" Target="https://monitoramento.pm.pr.gov.br/proxy_image_1/" TargetMode="External"/><Relationship Id="rId335" Type="http://schemas.openxmlformats.org/officeDocument/2006/relationships/hyperlink" Target="https://monitoramento.pm.pr.gov.br/proxy_image_1/" TargetMode="External"/><Relationship Id="rId577" Type="http://schemas.openxmlformats.org/officeDocument/2006/relationships/hyperlink" Target="https://monitoramento.pm.pr.gov.br/proxy_image_1/" TargetMode="External"/><Relationship Id="rId339" Type="http://schemas.openxmlformats.org/officeDocument/2006/relationships/hyperlink" Target="https://monitoramento.pm.pr.gov.br/proxy_image_1/" TargetMode="External"/><Relationship Id="rId330" Type="http://schemas.openxmlformats.org/officeDocument/2006/relationships/hyperlink" Target="https://monitoramento.pm.pr.gov.br/proxy_image_1/" TargetMode="External"/><Relationship Id="rId572" Type="http://schemas.openxmlformats.org/officeDocument/2006/relationships/hyperlink" Target="https://monitoramento.pm.pr.gov.br/proxy_image_1/" TargetMode="External"/><Relationship Id="rId571" Type="http://schemas.openxmlformats.org/officeDocument/2006/relationships/hyperlink" Target="https://monitoramento.pm.pr.gov.br/proxy_image_1/" TargetMode="External"/><Relationship Id="rId570" Type="http://schemas.openxmlformats.org/officeDocument/2006/relationships/hyperlink" Target="https://monitoramento.pm.pr.gov.br/proxy_image_1/" TargetMode="External"/><Relationship Id="rId334" Type="http://schemas.openxmlformats.org/officeDocument/2006/relationships/hyperlink" Target="https://monitoramento.pm.pr.gov.br/proxy_image_1/" TargetMode="External"/><Relationship Id="rId576" Type="http://schemas.openxmlformats.org/officeDocument/2006/relationships/hyperlink" Target="https://monitoramento.pm.pr.gov.br/proxy_image_1/" TargetMode="External"/><Relationship Id="rId333" Type="http://schemas.openxmlformats.org/officeDocument/2006/relationships/hyperlink" Target="https://monitoramento.pm.pr.gov.br/proxy_image_1/" TargetMode="External"/><Relationship Id="rId575" Type="http://schemas.openxmlformats.org/officeDocument/2006/relationships/hyperlink" Target="https://monitoramento.pm.pr.gov.br/proxy_image_1/" TargetMode="External"/><Relationship Id="rId332" Type="http://schemas.openxmlformats.org/officeDocument/2006/relationships/hyperlink" Target="https://monitoramento.pm.pr.gov.br/proxy_image_1/" TargetMode="External"/><Relationship Id="rId574" Type="http://schemas.openxmlformats.org/officeDocument/2006/relationships/hyperlink" Target="https://monitoramento.pm.pr.gov.br/proxy_image_1/" TargetMode="External"/><Relationship Id="rId331" Type="http://schemas.openxmlformats.org/officeDocument/2006/relationships/hyperlink" Target="https://monitoramento.pm.pr.gov.br/proxy_image_1/" TargetMode="External"/><Relationship Id="rId573" Type="http://schemas.openxmlformats.org/officeDocument/2006/relationships/hyperlink" Target="https://monitoramento.pm.pr.gov.br/proxy_image_1/" TargetMode="External"/><Relationship Id="rId370" Type="http://schemas.openxmlformats.org/officeDocument/2006/relationships/hyperlink" Target="https://monitoramento.pm.pr.gov.br/proxy_image_1/" TargetMode="External"/><Relationship Id="rId129" Type="http://schemas.openxmlformats.org/officeDocument/2006/relationships/hyperlink" Target="https://monitoramento.pm.pr.gov.br/proxy_image_1/" TargetMode="External"/><Relationship Id="rId128" Type="http://schemas.openxmlformats.org/officeDocument/2006/relationships/hyperlink" Target="https://monitoramento.pm.pr.gov.br/proxy_image_1/" TargetMode="External"/><Relationship Id="rId127" Type="http://schemas.openxmlformats.org/officeDocument/2006/relationships/hyperlink" Target="https://monitoramento.pm.pr.gov.br/proxy_image_1/" TargetMode="External"/><Relationship Id="rId369" Type="http://schemas.openxmlformats.org/officeDocument/2006/relationships/hyperlink" Target="https://monitoramento.pm.pr.gov.br/proxy_image_1/" TargetMode="External"/><Relationship Id="rId126" Type="http://schemas.openxmlformats.org/officeDocument/2006/relationships/hyperlink" Target="https://monitoramento.pm.pr.gov.br/proxy_image_1/" TargetMode="External"/><Relationship Id="rId368" Type="http://schemas.openxmlformats.org/officeDocument/2006/relationships/hyperlink" Target="https://monitoramento.pm.pr.gov.br/proxy_image_1/" TargetMode="External"/><Relationship Id="rId121" Type="http://schemas.openxmlformats.org/officeDocument/2006/relationships/hyperlink" Target="https://monitoramento.pm.pr.gov.br/proxy_image_1/" TargetMode="External"/><Relationship Id="rId363" Type="http://schemas.openxmlformats.org/officeDocument/2006/relationships/hyperlink" Target="https://monitoramento.pm.pr.gov.br/proxy_image_1/" TargetMode="External"/><Relationship Id="rId120" Type="http://schemas.openxmlformats.org/officeDocument/2006/relationships/hyperlink" Target="https://monitoramento.pm.pr.gov.br/proxy_image_1/" TargetMode="External"/><Relationship Id="rId362" Type="http://schemas.openxmlformats.org/officeDocument/2006/relationships/hyperlink" Target="https://monitoramento.pm.pr.gov.br/proxy_image_1/" TargetMode="External"/><Relationship Id="rId361" Type="http://schemas.openxmlformats.org/officeDocument/2006/relationships/hyperlink" Target="https://monitoramento.pm.pr.gov.br/proxy_image_1/" TargetMode="External"/><Relationship Id="rId360" Type="http://schemas.openxmlformats.org/officeDocument/2006/relationships/hyperlink" Target="https://monitoramento.pm.pr.gov.br/proxy_image_1/" TargetMode="External"/><Relationship Id="rId125" Type="http://schemas.openxmlformats.org/officeDocument/2006/relationships/hyperlink" Target="https://monitoramento.pm.pr.gov.br/proxy_image_1/" TargetMode="External"/><Relationship Id="rId367" Type="http://schemas.openxmlformats.org/officeDocument/2006/relationships/hyperlink" Target="https://monitoramento.pm.pr.gov.br/proxy_image_1/" TargetMode="External"/><Relationship Id="rId124" Type="http://schemas.openxmlformats.org/officeDocument/2006/relationships/hyperlink" Target="https://monitoramento.pm.pr.gov.br/proxy_image_1/" TargetMode="External"/><Relationship Id="rId366" Type="http://schemas.openxmlformats.org/officeDocument/2006/relationships/hyperlink" Target="https://monitoramento.pm.pr.gov.br/proxy_image_1/" TargetMode="External"/><Relationship Id="rId123" Type="http://schemas.openxmlformats.org/officeDocument/2006/relationships/hyperlink" Target="https://monitoramento.pm.pr.gov.br/proxy_image_1/" TargetMode="External"/><Relationship Id="rId365" Type="http://schemas.openxmlformats.org/officeDocument/2006/relationships/hyperlink" Target="https://monitoramento.pm.pr.gov.br/proxy_image_1/" TargetMode="External"/><Relationship Id="rId122" Type="http://schemas.openxmlformats.org/officeDocument/2006/relationships/hyperlink" Target="https://monitoramento.pm.pr.gov.br/proxy_image_1/" TargetMode="External"/><Relationship Id="rId364" Type="http://schemas.openxmlformats.org/officeDocument/2006/relationships/hyperlink" Target="https://monitoramento.pm.pr.gov.br/proxy_image_1/" TargetMode="External"/><Relationship Id="rId95" Type="http://schemas.openxmlformats.org/officeDocument/2006/relationships/hyperlink" Target="https://monitoramento.pm.pr.gov.br/proxy_image_1/" TargetMode="External"/><Relationship Id="rId94" Type="http://schemas.openxmlformats.org/officeDocument/2006/relationships/hyperlink" Target="https://monitoramento.pm.pr.gov.br/proxy_image_1/" TargetMode="External"/><Relationship Id="rId97" Type="http://schemas.openxmlformats.org/officeDocument/2006/relationships/hyperlink" Target="https://monitoramento.pm.pr.gov.br/proxy_image_1/" TargetMode="External"/><Relationship Id="rId96" Type="http://schemas.openxmlformats.org/officeDocument/2006/relationships/hyperlink" Target="https://monitoramento.pm.pr.gov.br/proxy_image_1/" TargetMode="External"/><Relationship Id="rId99" Type="http://schemas.openxmlformats.org/officeDocument/2006/relationships/hyperlink" Target="https://monitoramento.pm.pr.gov.br/proxy_image_1/" TargetMode="External"/><Relationship Id="rId98" Type="http://schemas.openxmlformats.org/officeDocument/2006/relationships/hyperlink" Target="https://monitoramento.pm.pr.gov.br/proxy_image_1/" TargetMode="External"/><Relationship Id="rId91" Type="http://schemas.openxmlformats.org/officeDocument/2006/relationships/hyperlink" Target="https://monitoramento.pm.pr.gov.br/proxy_image_1/" TargetMode="External"/><Relationship Id="rId90" Type="http://schemas.openxmlformats.org/officeDocument/2006/relationships/hyperlink" Target="https://monitoramento.pm.pr.gov.br/proxy_image_1/" TargetMode="External"/><Relationship Id="rId93" Type="http://schemas.openxmlformats.org/officeDocument/2006/relationships/hyperlink" Target="https://monitoramento.pm.pr.gov.br/proxy_image_1/" TargetMode="External"/><Relationship Id="rId92" Type="http://schemas.openxmlformats.org/officeDocument/2006/relationships/hyperlink" Target="https://monitoramento.pm.pr.gov.br/proxy_image_1/" TargetMode="External"/><Relationship Id="rId118" Type="http://schemas.openxmlformats.org/officeDocument/2006/relationships/hyperlink" Target="https://monitoramento.pm.pr.gov.br/proxy_image_1/" TargetMode="External"/><Relationship Id="rId117" Type="http://schemas.openxmlformats.org/officeDocument/2006/relationships/hyperlink" Target="https://monitoramento.pm.pr.gov.br/proxy_image_1/" TargetMode="External"/><Relationship Id="rId359" Type="http://schemas.openxmlformats.org/officeDocument/2006/relationships/hyperlink" Target="https://monitoramento.pm.pr.gov.br/proxy_image_1/" TargetMode="External"/><Relationship Id="rId116" Type="http://schemas.openxmlformats.org/officeDocument/2006/relationships/hyperlink" Target="https://monitoramento.pm.pr.gov.br/proxy_image_1/" TargetMode="External"/><Relationship Id="rId358" Type="http://schemas.openxmlformats.org/officeDocument/2006/relationships/hyperlink" Target="https://monitoramento.pm.pr.gov.br/proxy_image_1/" TargetMode="External"/><Relationship Id="rId115" Type="http://schemas.openxmlformats.org/officeDocument/2006/relationships/hyperlink" Target="https://monitoramento.pm.pr.gov.br/proxy_image_1/" TargetMode="External"/><Relationship Id="rId357" Type="http://schemas.openxmlformats.org/officeDocument/2006/relationships/hyperlink" Target="https://monitoramento.pm.pr.gov.br/proxy_image_1/" TargetMode="External"/><Relationship Id="rId599" Type="http://schemas.openxmlformats.org/officeDocument/2006/relationships/hyperlink" Target="https://monitoramento.pm.pr.gov.br/proxy_image_1/" TargetMode="External"/><Relationship Id="rId119" Type="http://schemas.openxmlformats.org/officeDocument/2006/relationships/hyperlink" Target="https://monitoramento.pm.pr.gov.br/proxy_image_1/" TargetMode="External"/><Relationship Id="rId110" Type="http://schemas.openxmlformats.org/officeDocument/2006/relationships/hyperlink" Target="https://monitoramento.pm.pr.gov.br/proxy_image_1/" TargetMode="External"/><Relationship Id="rId352" Type="http://schemas.openxmlformats.org/officeDocument/2006/relationships/hyperlink" Target="https://monitoramento.pm.pr.gov.br/proxy_image_1/" TargetMode="External"/><Relationship Id="rId594" Type="http://schemas.openxmlformats.org/officeDocument/2006/relationships/hyperlink" Target="https://monitoramento.pm.pr.gov.br/proxy_image_1/" TargetMode="External"/><Relationship Id="rId351" Type="http://schemas.openxmlformats.org/officeDocument/2006/relationships/hyperlink" Target="https://monitoramento.pm.pr.gov.br/proxy_image_1/" TargetMode="External"/><Relationship Id="rId593" Type="http://schemas.openxmlformats.org/officeDocument/2006/relationships/hyperlink" Target="https://monitoramento.pm.pr.gov.br/proxy_image_1/" TargetMode="External"/><Relationship Id="rId350" Type="http://schemas.openxmlformats.org/officeDocument/2006/relationships/hyperlink" Target="https://monitoramento.pm.pr.gov.br/proxy_image_1/" TargetMode="External"/><Relationship Id="rId592" Type="http://schemas.openxmlformats.org/officeDocument/2006/relationships/hyperlink" Target="https://monitoramento.pm.pr.gov.br/proxy_image_1/" TargetMode="External"/><Relationship Id="rId591" Type="http://schemas.openxmlformats.org/officeDocument/2006/relationships/hyperlink" Target="https://monitoramento.pm.pr.gov.br/proxy_image_1/" TargetMode="External"/><Relationship Id="rId114" Type="http://schemas.openxmlformats.org/officeDocument/2006/relationships/hyperlink" Target="https://monitoramento.pm.pr.gov.br/proxy_image_1/" TargetMode="External"/><Relationship Id="rId356" Type="http://schemas.openxmlformats.org/officeDocument/2006/relationships/hyperlink" Target="https://monitoramento.pm.pr.gov.br/proxy_image_1/" TargetMode="External"/><Relationship Id="rId598" Type="http://schemas.openxmlformats.org/officeDocument/2006/relationships/hyperlink" Target="https://monitoramento.pm.pr.gov.br/proxy_image_1/" TargetMode="External"/><Relationship Id="rId113" Type="http://schemas.openxmlformats.org/officeDocument/2006/relationships/hyperlink" Target="https://monitoramento.pm.pr.gov.br/proxy_image_1/" TargetMode="External"/><Relationship Id="rId355" Type="http://schemas.openxmlformats.org/officeDocument/2006/relationships/hyperlink" Target="https://monitoramento.pm.pr.gov.br/proxy_image_1/" TargetMode="External"/><Relationship Id="rId597" Type="http://schemas.openxmlformats.org/officeDocument/2006/relationships/hyperlink" Target="https://monitoramento.pm.pr.gov.br/proxy_image_1/" TargetMode="External"/><Relationship Id="rId112" Type="http://schemas.openxmlformats.org/officeDocument/2006/relationships/hyperlink" Target="https://monitoramento.pm.pr.gov.br/proxy_image_1/" TargetMode="External"/><Relationship Id="rId354" Type="http://schemas.openxmlformats.org/officeDocument/2006/relationships/hyperlink" Target="https://monitoramento.pm.pr.gov.br/proxy_image_1/" TargetMode="External"/><Relationship Id="rId596" Type="http://schemas.openxmlformats.org/officeDocument/2006/relationships/hyperlink" Target="https://monitoramento.pm.pr.gov.br/proxy_image_1/" TargetMode="External"/><Relationship Id="rId111" Type="http://schemas.openxmlformats.org/officeDocument/2006/relationships/hyperlink" Target="https://monitoramento.pm.pr.gov.br/proxy_image_1/" TargetMode="External"/><Relationship Id="rId353" Type="http://schemas.openxmlformats.org/officeDocument/2006/relationships/hyperlink" Target="https://monitoramento.pm.pr.gov.br/proxy_image_1/" TargetMode="External"/><Relationship Id="rId595" Type="http://schemas.openxmlformats.org/officeDocument/2006/relationships/hyperlink" Target="https://monitoramento.pm.pr.gov.br/proxy_image_1/" TargetMode="External"/><Relationship Id="rId305" Type="http://schemas.openxmlformats.org/officeDocument/2006/relationships/hyperlink" Target="https://monitoramento.pm.pr.gov.br/proxy_image_1/" TargetMode="External"/><Relationship Id="rId547" Type="http://schemas.openxmlformats.org/officeDocument/2006/relationships/hyperlink" Target="https://monitoramento.pm.pr.gov.br/proxy_image_1/" TargetMode="External"/><Relationship Id="rId789" Type="http://schemas.openxmlformats.org/officeDocument/2006/relationships/hyperlink" Target="https://monitoramento.pm.pr.gov.br/proxy_image_1/" TargetMode="External"/><Relationship Id="rId304" Type="http://schemas.openxmlformats.org/officeDocument/2006/relationships/hyperlink" Target="https://monitoramento.pm.pr.gov.br/proxy_image_1/" TargetMode="External"/><Relationship Id="rId546" Type="http://schemas.openxmlformats.org/officeDocument/2006/relationships/hyperlink" Target="https://monitoramento.pm.pr.gov.br/proxy_image_1/" TargetMode="External"/><Relationship Id="rId788" Type="http://schemas.openxmlformats.org/officeDocument/2006/relationships/hyperlink" Target="https://monitoramento.pm.pr.gov.br/proxy_image_1/" TargetMode="External"/><Relationship Id="rId303" Type="http://schemas.openxmlformats.org/officeDocument/2006/relationships/hyperlink" Target="https://monitoramento.pm.pr.gov.br/proxy_image_1/" TargetMode="External"/><Relationship Id="rId545" Type="http://schemas.openxmlformats.org/officeDocument/2006/relationships/hyperlink" Target="https://monitoramento.pm.pr.gov.br/proxy_image_1/" TargetMode="External"/><Relationship Id="rId787" Type="http://schemas.openxmlformats.org/officeDocument/2006/relationships/hyperlink" Target="https://monitoramento.pm.pr.gov.br/proxy_image_1/" TargetMode="External"/><Relationship Id="rId302" Type="http://schemas.openxmlformats.org/officeDocument/2006/relationships/hyperlink" Target="https://monitoramento.pm.pr.gov.br/proxy_image_1/" TargetMode="External"/><Relationship Id="rId544" Type="http://schemas.openxmlformats.org/officeDocument/2006/relationships/hyperlink" Target="https://monitoramento.pm.pr.gov.br/proxy_image_1/" TargetMode="External"/><Relationship Id="rId786" Type="http://schemas.openxmlformats.org/officeDocument/2006/relationships/hyperlink" Target="https://monitoramento.pm.pr.gov.br/proxy_image_1/" TargetMode="External"/><Relationship Id="rId309" Type="http://schemas.openxmlformats.org/officeDocument/2006/relationships/hyperlink" Target="https://monitoramento.pm.pr.gov.br/proxy_image_1/" TargetMode="External"/><Relationship Id="rId308" Type="http://schemas.openxmlformats.org/officeDocument/2006/relationships/hyperlink" Target="https://monitoramento.pm.pr.gov.br/proxy_image_1/" TargetMode="External"/><Relationship Id="rId307" Type="http://schemas.openxmlformats.org/officeDocument/2006/relationships/hyperlink" Target="https://monitoramento.pm.pr.gov.br/proxy_image_1/" TargetMode="External"/><Relationship Id="rId549" Type="http://schemas.openxmlformats.org/officeDocument/2006/relationships/hyperlink" Target="https://monitoramento.pm.pr.gov.br/proxy_image_1/" TargetMode="External"/><Relationship Id="rId306" Type="http://schemas.openxmlformats.org/officeDocument/2006/relationships/hyperlink" Target="https://monitoramento.pm.pr.gov.br/proxy_image_1/" TargetMode="External"/><Relationship Id="rId548" Type="http://schemas.openxmlformats.org/officeDocument/2006/relationships/hyperlink" Target="https://monitoramento.pm.pr.gov.br/proxy_image_1/" TargetMode="External"/><Relationship Id="rId781" Type="http://schemas.openxmlformats.org/officeDocument/2006/relationships/hyperlink" Target="https://monitoramento.pm.pr.gov.br/proxy_image_1/" TargetMode="External"/><Relationship Id="rId780" Type="http://schemas.openxmlformats.org/officeDocument/2006/relationships/hyperlink" Target="https://monitoramento.pm.pr.gov.br/proxy_image_1/" TargetMode="External"/><Relationship Id="rId301" Type="http://schemas.openxmlformats.org/officeDocument/2006/relationships/hyperlink" Target="https://monitoramento.pm.pr.gov.br/proxy_image_1/" TargetMode="External"/><Relationship Id="rId543" Type="http://schemas.openxmlformats.org/officeDocument/2006/relationships/hyperlink" Target="https://monitoramento.pm.pr.gov.br/proxy_image_1/" TargetMode="External"/><Relationship Id="rId785" Type="http://schemas.openxmlformats.org/officeDocument/2006/relationships/hyperlink" Target="https://monitoramento.pm.pr.gov.br/proxy_image_1/" TargetMode="External"/><Relationship Id="rId300" Type="http://schemas.openxmlformats.org/officeDocument/2006/relationships/hyperlink" Target="https://monitoramento.pm.pr.gov.br/proxy_image_1/" TargetMode="External"/><Relationship Id="rId542" Type="http://schemas.openxmlformats.org/officeDocument/2006/relationships/hyperlink" Target="https://monitoramento.pm.pr.gov.br/proxy_image_1/" TargetMode="External"/><Relationship Id="rId784" Type="http://schemas.openxmlformats.org/officeDocument/2006/relationships/hyperlink" Target="https://monitoramento.pm.pr.gov.br/proxy_image_1/" TargetMode="External"/><Relationship Id="rId541" Type="http://schemas.openxmlformats.org/officeDocument/2006/relationships/hyperlink" Target="https://monitoramento.pm.pr.gov.br/proxy_image_1/" TargetMode="External"/><Relationship Id="rId783" Type="http://schemas.openxmlformats.org/officeDocument/2006/relationships/hyperlink" Target="https://monitoramento.pm.pr.gov.br/proxy_image_1/" TargetMode="External"/><Relationship Id="rId540" Type="http://schemas.openxmlformats.org/officeDocument/2006/relationships/hyperlink" Target="https://monitoramento.pm.pr.gov.br/proxy_image_1/" TargetMode="External"/><Relationship Id="rId782" Type="http://schemas.openxmlformats.org/officeDocument/2006/relationships/hyperlink" Target="https://monitoramento.pm.pr.gov.br/proxy_image_1/" TargetMode="External"/><Relationship Id="rId536" Type="http://schemas.openxmlformats.org/officeDocument/2006/relationships/hyperlink" Target="https://monitoramento.pm.pr.gov.br/proxy_image_1/" TargetMode="External"/><Relationship Id="rId778" Type="http://schemas.openxmlformats.org/officeDocument/2006/relationships/hyperlink" Target="https://monitoramento.pm.pr.gov.br/proxy_image_1/" TargetMode="External"/><Relationship Id="rId535" Type="http://schemas.openxmlformats.org/officeDocument/2006/relationships/hyperlink" Target="https://monitoramento.pm.pr.gov.br/proxy_image_1/" TargetMode="External"/><Relationship Id="rId777" Type="http://schemas.openxmlformats.org/officeDocument/2006/relationships/hyperlink" Target="https://monitoramento.pm.pr.gov.br/proxy_image_1/" TargetMode="External"/><Relationship Id="rId534" Type="http://schemas.openxmlformats.org/officeDocument/2006/relationships/hyperlink" Target="https://monitoramento.pm.pr.gov.br/proxy_image_1/" TargetMode="External"/><Relationship Id="rId776" Type="http://schemas.openxmlformats.org/officeDocument/2006/relationships/hyperlink" Target="https://monitoramento.pm.pr.gov.br/proxy_image_1/" TargetMode="External"/><Relationship Id="rId533" Type="http://schemas.openxmlformats.org/officeDocument/2006/relationships/hyperlink" Target="https://monitoramento.pm.pr.gov.br/proxy_image_1/" TargetMode="External"/><Relationship Id="rId775" Type="http://schemas.openxmlformats.org/officeDocument/2006/relationships/hyperlink" Target="https://monitoramento.pm.pr.gov.br/proxy_image_1/" TargetMode="External"/><Relationship Id="rId539" Type="http://schemas.openxmlformats.org/officeDocument/2006/relationships/hyperlink" Target="https://monitoramento.pm.pr.gov.br/proxy_image_1/" TargetMode="External"/><Relationship Id="rId538" Type="http://schemas.openxmlformats.org/officeDocument/2006/relationships/hyperlink" Target="https://monitoramento.pm.pr.gov.br/proxy_image_1/" TargetMode="External"/><Relationship Id="rId537" Type="http://schemas.openxmlformats.org/officeDocument/2006/relationships/hyperlink" Target="https://monitoramento.pm.pr.gov.br/proxy_image_1/" TargetMode="External"/><Relationship Id="rId779" Type="http://schemas.openxmlformats.org/officeDocument/2006/relationships/hyperlink" Target="https://monitoramento.pm.pr.gov.br/proxy_image_1/" TargetMode="External"/><Relationship Id="rId770" Type="http://schemas.openxmlformats.org/officeDocument/2006/relationships/hyperlink" Target="https://monitoramento.pm.pr.gov.br/proxy_image_1/" TargetMode="External"/><Relationship Id="rId532" Type="http://schemas.openxmlformats.org/officeDocument/2006/relationships/hyperlink" Target="https://monitoramento.pm.pr.gov.br/proxy_image_1/" TargetMode="External"/><Relationship Id="rId774" Type="http://schemas.openxmlformats.org/officeDocument/2006/relationships/hyperlink" Target="https://monitoramento.pm.pr.gov.br/proxy_image_1/" TargetMode="External"/><Relationship Id="rId531" Type="http://schemas.openxmlformats.org/officeDocument/2006/relationships/hyperlink" Target="https://monitoramento.pm.pr.gov.br/proxy_image_1/" TargetMode="External"/><Relationship Id="rId773" Type="http://schemas.openxmlformats.org/officeDocument/2006/relationships/hyperlink" Target="https://monitoramento.pm.pr.gov.br/proxy_image_1/" TargetMode="External"/><Relationship Id="rId530" Type="http://schemas.openxmlformats.org/officeDocument/2006/relationships/hyperlink" Target="https://monitoramento.pm.pr.gov.br/proxy_image_1/" TargetMode="External"/><Relationship Id="rId772" Type="http://schemas.openxmlformats.org/officeDocument/2006/relationships/hyperlink" Target="https://monitoramento.pm.pr.gov.br/proxy_image_1/" TargetMode="External"/><Relationship Id="rId771" Type="http://schemas.openxmlformats.org/officeDocument/2006/relationships/hyperlink" Target="https://monitoramento.pm.pr.gov.br/proxy_image_1/" TargetMode="External"/><Relationship Id="rId327" Type="http://schemas.openxmlformats.org/officeDocument/2006/relationships/hyperlink" Target="https://monitoramento.pm.pr.gov.br/proxy_image_1/" TargetMode="External"/><Relationship Id="rId569" Type="http://schemas.openxmlformats.org/officeDocument/2006/relationships/hyperlink" Target="https://monitoramento.pm.pr.gov.br/proxy_image_1/" TargetMode="External"/><Relationship Id="rId326" Type="http://schemas.openxmlformats.org/officeDocument/2006/relationships/hyperlink" Target="https://monitoramento.pm.pr.gov.br/proxy_image_1/" TargetMode="External"/><Relationship Id="rId568" Type="http://schemas.openxmlformats.org/officeDocument/2006/relationships/hyperlink" Target="https://monitoramento.pm.pr.gov.br/proxy_image_1/" TargetMode="External"/><Relationship Id="rId325" Type="http://schemas.openxmlformats.org/officeDocument/2006/relationships/hyperlink" Target="https://monitoramento.pm.pr.gov.br/proxy_image_1/" TargetMode="External"/><Relationship Id="rId567" Type="http://schemas.openxmlformats.org/officeDocument/2006/relationships/hyperlink" Target="https://monitoramento.pm.pr.gov.br/proxy_image_1/" TargetMode="External"/><Relationship Id="rId324" Type="http://schemas.openxmlformats.org/officeDocument/2006/relationships/hyperlink" Target="https://monitoramento.pm.pr.gov.br/proxy_image_1/" TargetMode="External"/><Relationship Id="rId566" Type="http://schemas.openxmlformats.org/officeDocument/2006/relationships/hyperlink" Target="https://monitoramento.pm.pr.gov.br/proxy_image_1/" TargetMode="External"/><Relationship Id="rId329" Type="http://schemas.openxmlformats.org/officeDocument/2006/relationships/hyperlink" Target="https://monitoramento.pm.pr.gov.br/proxy_image_1/" TargetMode="External"/><Relationship Id="rId328" Type="http://schemas.openxmlformats.org/officeDocument/2006/relationships/hyperlink" Target="https://monitoramento.pm.pr.gov.br/proxy_image_1/" TargetMode="External"/><Relationship Id="rId561" Type="http://schemas.openxmlformats.org/officeDocument/2006/relationships/hyperlink" Target="https://monitoramento.pm.pr.gov.br/proxy_image_1/" TargetMode="External"/><Relationship Id="rId560" Type="http://schemas.openxmlformats.org/officeDocument/2006/relationships/hyperlink" Target="https://monitoramento.pm.pr.gov.br/proxy_image_1/" TargetMode="External"/><Relationship Id="rId323" Type="http://schemas.openxmlformats.org/officeDocument/2006/relationships/hyperlink" Target="https://monitoramento.pm.pr.gov.br/proxy_image_1/" TargetMode="External"/><Relationship Id="rId565" Type="http://schemas.openxmlformats.org/officeDocument/2006/relationships/hyperlink" Target="https://monitoramento.pm.pr.gov.br/proxy_image_1/" TargetMode="External"/><Relationship Id="rId322" Type="http://schemas.openxmlformats.org/officeDocument/2006/relationships/hyperlink" Target="https://monitoramento.pm.pr.gov.br/proxy_image_1/" TargetMode="External"/><Relationship Id="rId564" Type="http://schemas.openxmlformats.org/officeDocument/2006/relationships/hyperlink" Target="https://monitoramento.pm.pr.gov.br/proxy_image_1/" TargetMode="External"/><Relationship Id="rId321" Type="http://schemas.openxmlformats.org/officeDocument/2006/relationships/hyperlink" Target="https://monitoramento.pm.pr.gov.br/proxy_image_1/" TargetMode="External"/><Relationship Id="rId563" Type="http://schemas.openxmlformats.org/officeDocument/2006/relationships/hyperlink" Target="https://monitoramento.pm.pr.gov.br/proxy_image_1/" TargetMode="External"/><Relationship Id="rId320" Type="http://schemas.openxmlformats.org/officeDocument/2006/relationships/hyperlink" Target="https://monitoramento.pm.pr.gov.br/proxy_image_1/" TargetMode="External"/><Relationship Id="rId562" Type="http://schemas.openxmlformats.org/officeDocument/2006/relationships/hyperlink" Target="https://monitoramento.pm.pr.gov.br/proxy_image_1/" TargetMode="External"/><Relationship Id="rId316" Type="http://schemas.openxmlformats.org/officeDocument/2006/relationships/hyperlink" Target="https://monitoramento.pm.pr.gov.br/proxy_image_1/" TargetMode="External"/><Relationship Id="rId558" Type="http://schemas.openxmlformats.org/officeDocument/2006/relationships/hyperlink" Target="https://monitoramento.pm.pr.gov.br/proxy_image_1/" TargetMode="External"/><Relationship Id="rId315" Type="http://schemas.openxmlformats.org/officeDocument/2006/relationships/hyperlink" Target="https://monitoramento.pm.pr.gov.br/proxy_image_1/" TargetMode="External"/><Relationship Id="rId557" Type="http://schemas.openxmlformats.org/officeDocument/2006/relationships/hyperlink" Target="https://monitoramento.pm.pr.gov.br/proxy_image_1/" TargetMode="External"/><Relationship Id="rId799" Type="http://schemas.openxmlformats.org/officeDocument/2006/relationships/hyperlink" Target="https://monitoramento.pm.pr.gov.br/proxy_image_8/" TargetMode="External"/><Relationship Id="rId314" Type="http://schemas.openxmlformats.org/officeDocument/2006/relationships/hyperlink" Target="https://monitoramento.pm.pr.gov.br/proxy_image_1/" TargetMode="External"/><Relationship Id="rId556" Type="http://schemas.openxmlformats.org/officeDocument/2006/relationships/hyperlink" Target="https://monitoramento.pm.pr.gov.br/proxy_image_1/" TargetMode="External"/><Relationship Id="rId798" Type="http://schemas.openxmlformats.org/officeDocument/2006/relationships/hyperlink" Target="https://monitoramento.pm.pr.gov.br/proxy_image_8/" TargetMode="External"/><Relationship Id="rId313" Type="http://schemas.openxmlformats.org/officeDocument/2006/relationships/hyperlink" Target="https://monitoramento.pm.pr.gov.br/proxy_image_1/" TargetMode="External"/><Relationship Id="rId555" Type="http://schemas.openxmlformats.org/officeDocument/2006/relationships/hyperlink" Target="https://monitoramento.pm.pr.gov.br/proxy_image_1/" TargetMode="External"/><Relationship Id="rId797" Type="http://schemas.openxmlformats.org/officeDocument/2006/relationships/hyperlink" Target="https://monitoramento.pm.pr.gov.br/proxy_image_8/" TargetMode="External"/><Relationship Id="rId319" Type="http://schemas.openxmlformats.org/officeDocument/2006/relationships/hyperlink" Target="https://monitoramento.pm.pr.gov.br/proxy_image_1/" TargetMode="External"/><Relationship Id="rId318" Type="http://schemas.openxmlformats.org/officeDocument/2006/relationships/hyperlink" Target="https://monitoramento.pm.pr.gov.br/proxy_image_1/" TargetMode="External"/><Relationship Id="rId317" Type="http://schemas.openxmlformats.org/officeDocument/2006/relationships/hyperlink" Target="https://monitoramento.pm.pr.gov.br/proxy_image_1/" TargetMode="External"/><Relationship Id="rId559" Type="http://schemas.openxmlformats.org/officeDocument/2006/relationships/hyperlink" Target="https://monitoramento.pm.pr.gov.br/proxy_image_1/" TargetMode="External"/><Relationship Id="rId550" Type="http://schemas.openxmlformats.org/officeDocument/2006/relationships/hyperlink" Target="https://monitoramento.pm.pr.gov.br/proxy_image_1/" TargetMode="External"/><Relationship Id="rId792" Type="http://schemas.openxmlformats.org/officeDocument/2006/relationships/hyperlink" Target="https://monitoramento.pm.pr.gov.br/proxy_image_1/" TargetMode="External"/><Relationship Id="rId791" Type="http://schemas.openxmlformats.org/officeDocument/2006/relationships/hyperlink" Target="https://monitoramento.pm.pr.gov.br/proxy_image_1/" TargetMode="External"/><Relationship Id="rId790" Type="http://schemas.openxmlformats.org/officeDocument/2006/relationships/hyperlink" Target="https://monitoramento.pm.pr.gov.br/proxy_image_1/" TargetMode="External"/><Relationship Id="rId312" Type="http://schemas.openxmlformats.org/officeDocument/2006/relationships/hyperlink" Target="https://monitoramento.pm.pr.gov.br/proxy_image_1/" TargetMode="External"/><Relationship Id="rId554" Type="http://schemas.openxmlformats.org/officeDocument/2006/relationships/hyperlink" Target="https://monitoramento.pm.pr.gov.br/proxy_image_1/" TargetMode="External"/><Relationship Id="rId796" Type="http://schemas.openxmlformats.org/officeDocument/2006/relationships/hyperlink" Target="https://monitoramento.pm.pr.gov.br/proxy_image_8/" TargetMode="External"/><Relationship Id="rId311" Type="http://schemas.openxmlformats.org/officeDocument/2006/relationships/hyperlink" Target="https://monitoramento.pm.pr.gov.br/proxy_image_1/" TargetMode="External"/><Relationship Id="rId553" Type="http://schemas.openxmlformats.org/officeDocument/2006/relationships/hyperlink" Target="https://monitoramento.pm.pr.gov.br/proxy_image_1/" TargetMode="External"/><Relationship Id="rId795" Type="http://schemas.openxmlformats.org/officeDocument/2006/relationships/hyperlink" Target="https://monitoramento.pm.pr.gov.br/proxy_image_1/" TargetMode="External"/><Relationship Id="rId310" Type="http://schemas.openxmlformats.org/officeDocument/2006/relationships/hyperlink" Target="https://monitoramento.pm.pr.gov.br/proxy_image_1/" TargetMode="External"/><Relationship Id="rId552" Type="http://schemas.openxmlformats.org/officeDocument/2006/relationships/hyperlink" Target="https://monitoramento.pm.pr.gov.br/proxy_image_1/" TargetMode="External"/><Relationship Id="rId794" Type="http://schemas.openxmlformats.org/officeDocument/2006/relationships/hyperlink" Target="https://monitoramento.pm.pr.gov.br/proxy_image_1/" TargetMode="External"/><Relationship Id="rId551" Type="http://schemas.openxmlformats.org/officeDocument/2006/relationships/hyperlink" Target="https://monitoramento.pm.pr.gov.br/proxy_image_1/" TargetMode="External"/><Relationship Id="rId793" Type="http://schemas.openxmlformats.org/officeDocument/2006/relationships/hyperlink" Target="https://monitoramento.pm.pr.gov.br/proxy_image_1/" TargetMode="External"/><Relationship Id="rId297" Type="http://schemas.openxmlformats.org/officeDocument/2006/relationships/hyperlink" Target="https://monitoramento.pm.pr.gov.br/proxy_image_1/" TargetMode="External"/><Relationship Id="rId296" Type="http://schemas.openxmlformats.org/officeDocument/2006/relationships/hyperlink" Target="https://monitoramento.pm.pr.gov.br/proxy_image_1/" TargetMode="External"/><Relationship Id="rId295" Type="http://schemas.openxmlformats.org/officeDocument/2006/relationships/hyperlink" Target="https://monitoramento.pm.pr.gov.br/proxy_image_1/" TargetMode="External"/><Relationship Id="rId294" Type="http://schemas.openxmlformats.org/officeDocument/2006/relationships/hyperlink" Target="https://monitoramento.pm.pr.gov.br/proxy_image_1/" TargetMode="External"/><Relationship Id="rId299" Type="http://schemas.openxmlformats.org/officeDocument/2006/relationships/hyperlink" Target="https://monitoramento.pm.pr.gov.br/proxy_image_1/" TargetMode="External"/><Relationship Id="rId298" Type="http://schemas.openxmlformats.org/officeDocument/2006/relationships/hyperlink" Target="https://monitoramento.pm.pr.gov.br/proxy_image_1/" TargetMode="External"/><Relationship Id="rId271" Type="http://schemas.openxmlformats.org/officeDocument/2006/relationships/hyperlink" Target="https://monitoramento.pm.pr.gov.br/proxy_image_1/" TargetMode="External"/><Relationship Id="rId270" Type="http://schemas.openxmlformats.org/officeDocument/2006/relationships/hyperlink" Target="https://monitoramento.pm.pr.gov.br/proxy_image_1/" TargetMode="External"/><Relationship Id="rId269" Type="http://schemas.openxmlformats.org/officeDocument/2006/relationships/hyperlink" Target="https://monitoramento.pm.pr.gov.br/proxy_image_1/" TargetMode="External"/><Relationship Id="rId264" Type="http://schemas.openxmlformats.org/officeDocument/2006/relationships/hyperlink" Target="https://monitoramento.pm.pr.gov.br/proxy_image_1/" TargetMode="External"/><Relationship Id="rId263" Type="http://schemas.openxmlformats.org/officeDocument/2006/relationships/hyperlink" Target="https://monitoramento.pm.pr.gov.br/proxy_image_1/" TargetMode="External"/><Relationship Id="rId262" Type="http://schemas.openxmlformats.org/officeDocument/2006/relationships/hyperlink" Target="https://monitoramento.pm.pr.gov.br/proxy_image_1/" TargetMode="External"/><Relationship Id="rId261" Type="http://schemas.openxmlformats.org/officeDocument/2006/relationships/hyperlink" Target="https://monitoramento.pm.pr.gov.br/proxy_image_1/" TargetMode="External"/><Relationship Id="rId268" Type="http://schemas.openxmlformats.org/officeDocument/2006/relationships/hyperlink" Target="https://monitoramento.pm.pr.gov.br/proxy_image_1/" TargetMode="External"/><Relationship Id="rId267" Type="http://schemas.openxmlformats.org/officeDocument/2006/relationships/hyperlink" Target="https://monitoramento.pm.pr.gov.br/proxy_image_1/" TargetMode="External"/><Relationship Id="rId266" Type="http://schemas.openxmlformats.org/officeDocument/2006/relationships/hyperlink" Target="https://monitoramento.pm.pr.gov.br/proxy_image_1/" TargetMode="External"/><Relationship Id="rId265" Type="http://schemas.openxmlformats.org/officeDocument/2006/relationships/hyperlink" Target="https://monitoramento.pm.pr.gov.br/proxy_image_1/" TargetMode="External"/><Relationship Id="rId260" Type="http://schemas.openxmlformats.org/officeDocument/2006/relationships/hyperlink" Target="https://monitoramento.pm.pr.gov.br/proxy_image_1/" TargetMode="External"/><Relationship Id="rId259" Type="http://schemas.openxmlformats.org/officeDocument/2006/relationships/hyperlink" Target="https://monitoramento.pm.pr.gov.br/proxy_image_1/" TargetMode="External"/><Relationship Id="rId258" Type="http://schemas.openxmlformats.org/officeDocument/2006/relationships/hyperlink" Target="https://monitoramento.pm.pr.gov.br/proxy_image_1/" TargetMode="External"/><Relationship Id="rId253" Type="http://schemas.openxmlformats.org/officeDocument/2006/relationships/hyperlink" Target="https://monitoramento.pm.pr.gov.br/proxy_image_1/" TargetMode="External"/><Relationship Id="rId495" Type="http://schemas.openxmlformats.org/officeDocument/2006/relationships/hyperlink" Target="https://monitoramento.pm.pr.gov.br/proxy_image_1/" TargetMode="External"/><Relationship Id="rId252" Type="http://schemas.openxmlformats.org/officeDocument/2006/relationships/hyperlink" Target="https://monitoramento.pm.pr.gov.br/proxy_image_1/" TargetMode="External"/><Relationship Id="rId494" Type="http://schemas.openxmlformats.org/officeDocument/2006/relationships/hyperlink" Target="https://monitoramento.pm.pr.gov.br/proxy_image_1/" TargetMode="External"/><Relationship Id="rId251" Type="http://schemas.openxmlformats.org/officeDocument/2006/relationships/hyperlink" Target="https://monitoramento.pm.pr.gov.br/proxy_image_1/" TargetMode="External"/><Relationship Id="rId493" Type="http://schemas.openxmlformats.org/officeDocument/2006/relationships/hyperlink" Target="https://monitoramento.pm.pr.gov.br/proxy_image_1/" TargetMode="External"/><Relationship Id="rId250" Type="http://schemas.openxmlformats.org/officeDocument/2006/relationships/hyperlink" Target="https://monitoramento.pm.pr.gov.br/proxy_image_1/" TargetMode="External"/><Relationship Id="rId492" Type="http://schemas.openxmlformats.org/officeDocument/2006/relationships/hyperlink" Target="https://monitoramento.pm.pr.gov.br/proxy_image_1/" TargetMode="External"/><Relationship Id="rId257" Type="http://schemas.openxmlformats.org/officeDocument/2006/relationships/hyperlink" Target="https://monitoramento.pm.pr.gov.br/proxy_image_1/" TargetMode="External"/><Relationship Id="rId499" Type="http://schemas.openxmlformats.org/officeDocument/2006/relationships/hyperlink" Target="https://monitoramento.pm.pr.gov.br/proxy_image_1/" TargetMode="External"/><Relationship Id="rId256" Type="http://schemas.openxmlformats.org/officeDocument/2006/relationships/hyperlink" Target="https://monitoramento.pm.pr.gov.br/proxy_image_1/" TargetMode="External"/><Relationship Id="rId498" Type="http://schemas.openxmlformats.org/officeDocument/2006/relationships/hyperlink" Target="https://monitoramento.pm.pr.gov.br/proxy_image_1/" TargetMode="External"/><Relationship Id="rId255" Type="http://schemas.openxmlformats.org/officeDocument/2006/relationships/hyperlink" Target="https://monitoramento.pm.pr.gov.br/proxy_image_1/" TargetMode="External"/><Relationship Id="rId497" Type="http://schemas.openxmlformats.org/officeDocument/2006/relationships/hyperlink" Target="https://monitoramento.pm.pr.gov.br/proxy_image_1/" TargetMode="External"/><Relationship Id="rId254" Type="http://schemas.openxmlformats.org/officeDocument/2006/relationships/hyperlink" Target="https://monitoramento.pm.pr.gov.br/proxy_image_1/" TargetMode="External"/><Relationship Id="rId496" Type="http://schemas.openxmlformats.org/officeDocument/2006/relationships/hyperlink" Target="https://monitoramento.pm.pr.gov.br/proxy_image_1/" TargetMode="External"/><Relationship Id="rId293" Type="http://schemas.openxmlformats.org/officeDocument/2006/relationships/hyperlink" Target="https://monitoramento.pm.pr.gov.br/proxy_image_1/" TargetMode="External"/><Relationship Id="rId292" Type="http://schemas.openxmlformats.org/officeDocument/2006/relationships/hyperlink" Target="https://monitoramento.pm.pr.gov.br/proxy_image_1/" TargetMode="External"/><Relationship Id="rId291" Type="http://schemas.openxmlformats.org/officeDocument/2006/relationships/hyperlink" Target="https://monitoramento.pm.pr.gov.br/proxy_image_1/" TargetMode="External"/><Relationship Id="rId290" Type="http://schemas.openxmlformats.org/officeDocument/2006/relationships/hyperlink" Target="https://monitoramento.pm.pr.gov.br/proxy_image_1/" TargetMode="External"/><Relationship Id="rId286" Type="http://schemas.openxmlformats.org/officeDocument/2006/relationships/hyperlink" Target="https://monitoramento.pm.pr.gov.br/proxy_image_1/" TargetMode="External"/><Relationship Id="rId285" Type="http://schemas.openxmlformats.org/officeDocument/2006/relationships/hyperlink" Target="https://monitoramento.pm.pr.gov.br/proxy_image_1/" TargetMode="External"/><Relationship Id="rId284" Type="http://schemas.openxmlformats.org/officeDocument/2006/relationships/hyperlink" Target="https://monitoramento.pm.pr.gov.br/proxy_image_1/" TargetMode="External"/><Relationship Id="rId283" Type="http://schemas.openxmlformats.org/officeDocument/2006/relationships/hyperlink" Target="https://monitoramento.pm.pr.gov.br/proxy_image_1/" TargetMode="External"/><Relationship Id="rId289" Type="http://schemas.openxmlformats.org/officeDocument/2006/relationships/hyperlink" Target="https://monitoramento.pm.pr.gov.br/proxy_image_1/" TargetMode="External"/><Relationship Id="rId288" Type="http://schemas.openxmlformats.org/officeDocument/2006/relationships/hyperlink" Target="https://monitoramento.pm.pr.gov.br/proxy_image_1/" TargetMode="External"/><Relationship Id="rId287" Type="http://schemas.openxmlformats.org/officeDocument/2006/relationships/hyperlink" Target="https://monitoramento.pm.pr.gov.br/proxy_image_1/" TargetMode="External"/><Relationship Id="rId282" Type="http://schemas.openxmlformats.org/officeDocument/2006/relationships/hyperlink" Target="https://monitoramento.pm.pr.gov.br/proxy_image_1/" TargetMode="External"/><Relationship Id="rId281" Type="http://schemas.openxmlformats.org/officeDocument/2006/relationships/hyperlink" Target="https://monitoramento.pm.pr.gov.br/proxy_image_1/" TargetMode="External"/><Relationship Id="rId280" Type="http://schemas.openxmlformats.org/officeDocument/2006/relationships/hyperlink" Target="https://monitoramento.pm.pr.gov.br/proxy_image_1/" TargetMode="External"/><Relationship Id="rId275" Type="http://schemas.openxmlformats.org/officeDocument/2006/relationships/hyperlink" Target="https://monitoramento.pm.pr.gov.br/proxy_image_1/" TargetMode="External"/><Relationship Id="rId274" Type="http://schemas.openxmlformats.org/officeDocument/2006/relationships/hyperlink" Target="https://monitoramento.pm.pr.gov.br/proxy_image_1/" TargetMode="External"/><Relationship Id="rId273" Type="http://schemas.openxmlformats.org/officeDocument/2006/relationships/hyperlink" Target="https://monitoramento.pm.pr.gov.br/proxy_image_1/" TargetMode="External"/><Relationship Id="rId272" Type="http://schemas.openxmlformats.org/officeDocument/2006/relationships/hyperlink" Target="https://monitoramento.pm.pr.gov.br/proxy_image_1/" TargetMode="External"/><Relationship Id="rId279" Type="http://schemas.openxmlformats.org/officeDocument/2006/relationships/hyperlink" Target="https://monitoramento.pm.pr.gov.br/proxy_image_1/" TargetMode="External"/><Relationship Id="rId278" Type="http://schemas.openxmlformats.org/officeDocument/2006/relationships/hyperlink" Target="https://monitoramento.pm.pr.gov.br/proxy_image_1/" TargetMode="External"/><Relationship Id="rId277" Type="http://schemas.openxmlformats.org/officeDocument/2006/relationships/hyperlink" Target="https://monitoramento.pm.pr.gov.br/proxy_image_1/" TargetMode="External"/><Relationship Id="rId276" Type="http://schemas.openxmlformats.org/officeDocument/2006/relationships/hyperlink" Target="https://monitoramento.pm.pr.gov.br/proxy_image_1/" TargetMode="External"/><Relationship Id="rId907" Type="http://schemas.openxmlformats.org/officeDocument/2006/relationships/hyperlink" Target="https://monitoramento.pm.pr.gov.br/proxy_image_8/" TargetMode="External"/><Relationship Id="rId906" Type="http://schemas.openxmlformats.org/officeDocument/2006/relationships/hyperlink" Target="https://monitoramento.pm.pr.gov.br/proxy_image_8/" TargetMode="External"/><Relationship Id="rId905" Type="http://schemas.openxmlformats.org/officeDocument/2006/relationships/hyperlink" Target="https://monitoramento.pm.pr.gov.br/proxy_image_8/" TargetMode="External"/><Relationship Id="rId904" Type="http://schemas.openxmlformats.org/officeDocument/2006/relationships/hyperlink" Target="https://monitoramento.pm.pr.gov.br/proxy_image_8/" TargetMode="External"/><Relationship Id="rId909" Type="http://schemas.openxmlformats.org/officeDocument/2006/relationships/hyperlink" Target="https://monitoramento.pm.pr.gov.br/proxy_image_8/" TargetMode="External"/><Relationship Id="rId908" Type="http://schemas.openxmlformats.org/officeDocument/2006/relationships/hyperlink" Target="https://monitoramento.pm.pr.gov.br/proxy_image_8/" TargetMode="External"/><Relationship Id="rId903" Type="http://schemas.openxmlformats.org/officeDocument/2006/relationships/hyperlink" Target="https://monitoramento.pm.pr.gov.br/proxy_image_8/" TargetMode="External"/><Relationship Id="rId902" Type="http://schemas.openxmlformats.org/officeDocument/2006/relationships/hyperlink" Target="https://monitoramento.pm.pr.gov.br/proxy_image_8/" TargetMode="External"/><Relationship Id="rId901" Type="http://schemas.openxmlformats.org/officeDocument/2006/relationships/hyperlink" Target="https://monitoramento.pm.pr.gov.br/proxy_image_8/" TargetMode="External"/><Relationship Id="rId900" Type="http://schemas.openxmlformats.org/officeDocument/2006/relationships/hyperlink" Target="https://monitoramento.pm.pr.gov.br/proxy_image_8/" TargetMode="External"/><Relationship Id="rId929" Type="http://schemas.openxmlformats.org/officeDocument/2006/relationships/hyperlink" Target="https://monitoramento.pm.pr.gov.br/proxy_image_8/" TargetMode="External"/><Relationship Id="rId928" Type="http://schemas.openxmlformats.org/officeDocument/2006/relationships/hyperlink" Target="https://monitoramento.pm.pr.gov.br/proxy_image_8/" TargetMode="External"/><Relationship Id="rId927" Type="http://schemas.openxmlformats.org/officeDocument/2006/relationships/hyperlink" Target="https://monitoramento.pm.pr.gov.br/proxy_image_8/" TargetMode="External"/><Relationship Id="rId926" Type="http://schemas.openxmlformats.org/officeDocument/2006/relationships/hyperlink" Target="https://monitoramento.pm.pr.gov.br/proxy_image_8/" TargetMode="External"/><Relationship Id="rId921" Type="http://schemas.openxmlformats.org/officeDocument/2006/relationships/hyperlink" Target="https://monitoramento.pm.pr.gov.br/proxy_image_8/" TargetMode="External"/><Relationship Id="rId920" Type="http://schemas.openxmlformats.org/officeDocument/2006/relationships/hyperlink" Target="https://monitoramento.pm.pr.gov.br/proxy_image_8/" TargetMode="External"/><Relationship Id="rId925" Type="http://schemas.openxmlformats.org/officeDocument/2006/relationships/hyperlink" Target="https://monitoramento.pm.pr.gov.br/proxy_image_8/" TargetMode="External"/><Relationship Id="rId924" Type="http://schemas.openxmlformats.org/officeDocument/2006/relationships/hyperlink" Target="https://monitoramento.pm.pr.gov.br/proxy_image_8/" TargetMode="External"/><Relationship Id="rId923" Type="http://schemas.openxmlformats.org/officeDocument/2006/relationships/hyperlink" Target="https://monitoramento.pm.pr.gov.br/proxy_image_8/" TargetMode="External"/><Relationship Id="rId922" Type="http://schemas.openxmlformats.org/officeDocument/2006/relationships/hyperlink" Target="https://monitoramento.pm.pr.gov.br/proxy_image_8/" TargetMode="External"/><Relationship Id="rId918" Type="http://schemas.openxmlformats.org/officeDocument/2006/relationships/hyperlink" Target="https://monitoramento.pm.pr.gov.br/proxy_image_8/" TargetMode="External"/><Relationship Id="rId917" Type="http://schemas.openxmlformats.org/officeDocument/2006/relationships/hyperlink" Target="https://monitoramento.pm.pr.gov.br/proxy_image_8/" TargetMode="External"/><Relationship Id="rId916" Type="http://schemas.openxmlformats.org/officeDocument/2006/relationships/hyperlink" Target="https://monitoramento.pm.pr.gov.br/proxy_image_8/" TargetMode="External"/><Relationship Id="rId915" Type="http://schemas.openxmlformats.org/officeDocument/2006/relationships/hyperlink" Target="https://monitoramento.pm.pr.gov.br/proxy_image_8/" TargetMode="External"/><Relationship Id="rId919" Type="http://schemas.openxmlformats.org/officeDocument/2006/relationships/hyperlink" Target="https://monitoramento.pm.pr.gov.br/proxy_image_8/" TargetMode="External"/><Relationship Id="rId910" Type="http://schemas.openxmlformats.org/officeDocument/2006/relationships/hyperlink" Target="https://monitoramento.pm.pr.gov.br/proxy_image_8/" TargetMode="External"/><Relationship Id="rId914" Type="http://schemas.openxmlformats.org/officeDocument/2006/relationships/hyperlink" Target="https://monitoramento.pm.pr.gov.br/proxy_image_8/" TargetMode="External"/><Relationship Id="rId913" Type="http://schemas.openxmlformats.org/officeDocument/2006/relationships/hyperlink" Target="https://monitoramento.pm.pr.gov.br/proxy_image_8/" TargetMode="External"/><Relationship Id="rId912" Type="http://schemas.openxmlformats.org/officeDocument/2006/relationships/hyperlink" Target="https://monitoramento.pm.pr.gov.br/proxy_image_8/" TargetMode="External"/><Relationship Id="rId911" Type="http://schemas.openxmlformats.org/officeDocument/2006/relationships/hyperlink" Target="https://monitoramento.pm.pr.gov.br/proxy_image_8/" TargetMode="External"/><Relationship Id="rId629" Type="http://schemas.openxmlformats.org/officeDocument/2006/relationships/hyperlink" Target="https://monitoramento.pm.pr.gov.br/proxy_image_1/" TargetMode="External"/><Relationship Id="rId624" Type="http://schemas.openxmlformats.org/officeDocument/2006/relationships/hyperlink" Target="https://monitoramento.pm.pr.gov.br/proxy_image_1/" TargetMode="External"/><Relationship Id="rId866" Type="http://schemas.openxmlformats.org/officeDocument/2006/relationships/hyperlink" Target="https://monitoramento.pm.pr.gov.br/proxy_image_8/" TargetMode="External"/><Relationship Id="rId623" Type="http://schemas.openxmlformats.org/officeDocument/2006/relationships/hyperlink" Target="https://monitoramento.pm.pr.gov.br/proxy_image_1/" TargetMode="External"/><Relationship Id="rId865" Type="http://schemas.openxmlformats.org/officeDocument/2006/relationships/hyperlink" Target="https://monitoramento.pm.pr.gov.br/proxy_image_8/" TargetMode="External"/><Relationship Id="rId622" Type="http://schemas.openxmlformats.org/officeDocument/2006/relationships/hyperlink" Target="https://monitoramento.pm.pr.gov.br/proxy_image_1/" TargetMode="External"/><Relationship Id="rId864" Type="http://schemas.openxmlformats.org/officeDocument/2006/relationships/hyperlink" Target="https://monitoramento.pm.pr.gov.br/proxy_image_8/" TargetMode="External"/><Relationship Id="rId621" Type="http://schemas.openxmlformats.org/officeDocument/2006/relationships/hyperlink" Target="https://monitoramento.pm.pr.gov.br/proxy_image_1/" TargetMode="External"/><Relationship Id="rId863" Type="http://schemas.openxmlformats.org/officeDocument/2006/relationships/hyperlink" Target="https://monitoramento.pm.pr.gov.br/proxy_image_8/" TargetMode="External"/><Relationship Id="rId628" Type="http://schemas.openxmlformats.org/officeDocument/2006/relationships/hyperlink" Target="https://monitoramento.pm.pr.gov.br/proxy_image_1/" TargetMode="External"/><Relationship Id="rId627" Type="http://schemas.openxmlformats.org/officeDocument/2006/relationships/hyperlink" Target="https://monitoramento.pm.pr.gov.br/proxy_image_1/" TargetMode="External"/><Relationship Id="rId869" Type="http://schemas.openxmlformats.org/officeDocument/2006/relationships/hyperlink" Target="https://monitoramento.pm.pr.gov.br/proxy_image_8/" TargetMode="External"/><Relationship Id="rId626" Type="http://schemas.openxmlformats.org/officeDocument/2006/relationships/hyperlink" Target="https://monitoramento.pm.pr.gov.br/proxy_image_1/" TargetMode="External"/><Relationship Id="rId868" Type="http://schemas.openxmlformats.org/officeDocument/2006/relationships/hyperlink" Target="https://monitoramento.pm.pr.gov.br/proxy_image_8/" TargetMode="External"/><Relationship Id="rId625" Type="http://schemas.openxmlformats.org/officeDocument/2006/relationships/hyperlink" Target="https://monitoramento.pm.pr.gov.br/proxy_image_1/" TargetMode="External"/><Relationship Id="rId867" Type="http://schemas.openxmlformats.org/officeDocument/2006/relationships/hyperlink" Target="https://monitoramento.pm.pr.gov.br/proxy_image_8/" TargetMode="External"/><Relationship Id="rId620" Type="http://schemas.openxmlformats.org/officeDocument/2006/relationships/hyperlink" Target="https://monitoramento.pm.pr.gov.br/proxy_image_1/" TargetMode="External"/><Relationship Id="rId862" Type="http://schemas.openxmlformats.org/officeDocument/2006/relationships/hyperlink" Target="https://monitoramento.pm.pr.gov.br/proxy_image_8/" TargetMode="External"/><Relationship Id="rId861" Type="http://schemas.openxmlformats.org/officeDocument/2006/relationships/hyperlink" Target="https://monitoramento.pm.pr.gov.br/proxy_image_8/" TargetMode="External"/><Relationship Id="rId860" Type="http://schemas.openxmlformats.org/officeDocument/2006/relationships/hyperlink" Target="https://monitoramento.pm.pr.gov.br/proxy_image_8/" TargetMode="External"/><Relationship Id="rId619" Type="http://schemas.openxmlformats.org/officeDocument/2006/relationships/hyperlink" Target="https://monitoramento.pm.pr.gov.br/proxy_image_1/" TargetMode="External"/><Relationship Id="rId618" Type="http://schemas.openxmlformats.org/officeDocument/2006/relationships/hyperlink" Target="https://monitoramento.pm.pr.gov.br/proxy_image_1/" TargetMode="External"/><Relationship Id="rId613" Type="http://schemas.openxmlformats.org/officeDocument/2006/relationships/hyperlink" Target="https://monitoramento.pm.pr.gov.br/proxy_image_1/" TargetMode="External"/><Relationship Id="rId855" Type="http://schemas.openxmlformats.org/officeDocument/2006/relationships/hyperlink" Target="https://monitoramento.pm.pr.gov.br/proxy_image_8/" TargetMode="External"/><Relationship Id="rId612" Type="http://schemas.openxmlformats.org/officeDocument/2006/relationships/hyperlink" Target="https://monitoramento.pm.pr.gov.br/proxy_image_1/" TargetMode="External"/><Relationship Id="rId854" Type="http://schemas.openxmlformats.org/officeDocument/2006/relationships/hyperlink" Target="https://monitoramento.pm.pr.gov.br/proxy_image_8/" TargetMode="External"/><Relationship Id="rId611" Type="http://schemas.openxmlformats.org/officeDocument/2006/relationships/hyperlink" Target="https://monitoramento.pm.pr.gov.br/proxy_image_1/" TargetMode="External"/><Relationship Id="rId853" Type="http://schemas.openxmlformats.org/officeDocument/2006/relationships/hyperlink" Target="https://monitoramento.pm.pr.gov.br/proxy_image_8/" TargetMode="External"/><Relationship Id="rId610" Type="http://schemas.openxmlformats.org/officeDocument/2006/relationships/hyperlink" Target="https://monitoramento.pm.pr.gov.br/proxy_image_1/" TargetMode="External"/><Relationship Id="rId852" Type="http://schemas.openxmlformats.org/officeDocument/2006/relationships/hyperlink" Target="https://monitoramento.pm.pr.gov.br/proxy_image_8/" TargetMode="External"/><Relationship Id="rId617" Type="http://schemas.openxmlformats.org/officeDocument/2006/relationships/hyperlink" Target="https://monitoramento.pm.pr.gov.br/proxy_image_1/" TargetMode="External"/><Relationship Id="rId859" Type="http://schemas.openxmlformats.org/officeDocument/2006/relationships/hyperlink" Target="https://monitoramento.pm.pr.gov.br/proxy_image_8/" TargetMode="External"/><Relationship Id="rId616" Type="http://schemas.openxmlformats.org/officeDocument/2006/relationships/hyperlink" Target="https://monitoramento.pm.pr.gov.br/proxy_image_1/" TargetMode="External"/><Relationship Id="rId858" Type="http://schemas.openxmlformats.org/officeDocument/2006/relationships/hyperlink" Target="https://monitoramento.pm.pr.gov.br/proxy_image_8/" TargetMode="External"/><Relationship Id="rId615" Type="http://schemas.openxmlformats.org/officeDocument/2006/relationships/hyperlink" Target="https://monitoramento.pm.pr.gov.br/proxy_image_1/" TargetMode="External"/><Relationship Id="rId857" Type="http://schemas.openxmlformats.org/officeDocument/2006/relationships/hyperlink" Target="https://monitoramento.pm.pr.gov.br/proxy_image_8/" TargetMode="External"/><Relationship Id="rId614" Type="http://schemas.openxmlformats.org/officeDocument/2006/relationships/hyperlink" Target="https://monitoramento.pm.pr.gov.br/proxy_image_1/" TargetMode="External"/><Relationship Id="rId856" Type="http://schemas.openxmlformats.org/officeDocument/2006/relationships/hyperlink" Target="https://monitoramento.pm.pr.gov.br/proxy_image_8/" TargetMode="External"/><Relationship Id="rId851" Type="http://schemas.openxmlformats.org/officeDocument/2006/relationships/hyperlink" Target="https://monitoramento.pm.pr.gov.br/proxy_image_8/" TargetMode="External"/><Relationship Id="rId850" Type="http://schemas.openxmlformats.org/officeDocument/2006/relationships/hyperlink" Target="https://monitoramento.pm.pr.gov.br/proxy_image_8/" TargetMode="External"/><Relationship Id="rId409" Type="http://schemas.openxmlformats.org/officeDocument/2006/relationships/hyperlink" Target="https://monitoramento.pm.pr.gov.br/proxy_image_1/" TargetMode="External"/><Relationship Id="rId404" Type="http://schemas.openxmlformats.org/officeDocument/2006/relationships/hyperlink" Target="https://monitoramento.pm.pr.gov.br/proxy_image_1/" TargetMode="External"/><Relationship Id="rId646" Type="http://schemas.openxmlformats.org/officeDocument/2006/relationships/hyperlink" Target="https://monitoramento.pm.pr.gov.br/proxy_image_1/" TargetMode="External"/><Relationship Id="rId888" Type="http://schemas.openxmlformats.org/officeDocument/2006/relationships/hyperlink" Target="https://monitoramento.pm.pr.gov.br/proxy_image_8/" TargetMode="External"/><Relationship Id="rId403" Type="http://schemas.openxmlformats.org/officeDocument/2006/relationships/hyperlink" Target="https://monitoramento.pm.pr.gov.br/proxy_image_1/" TargetMode="External"/><Relationship Id="rId645" Type="http://schemas.openxmlformats.org/officeDocument/2006/relationships/hyperlink" Target="https://monitoramento.pm.pr.gov.br/proxy_image_1/" TargetMode="External"/><Relationship Id="rId887" Type="http://schemas.openxmlformats.org/officeDocument/2006/relationships/hyperlink" Target="https://monitoramento.pm.pr.gov.br/proxy_image_8/" TargetMode="External"/><Relationship Id="rId402" Type="http://schemas.openxmlformats.org/officeDocument/2006/relationships/hyperlink" Target="https://monitoramento.pm.pr.gov.br/proxy_image_1/" TargetMode="External"/><Relationship Id="rId644" Type="http://schemas.openxmlformats.org/officeDocument/2006/relationships/hyperlink" Target="https://monitoramento.pm.pr.gov.br/proxy_image_1/" TargetMode="External"/><Relationship Id="rId886" Type="http://schemas.openxmlformats.org/officeDocument/2006/relationships/hyperlink" Target="https://monitoramento.pm.pr.gov.br/proxy_image_8/" TargetMode="External"/><Relationship Id="rId401" Type="http://schemas.openxmlformats.org/officeDocument/2006/relationships/hyperlink" Target="https://monitoramento.pm.pr.gov.br/proxy_image_1/" TargetMode="External"/><Relationship Id="rId643" Type="http://schemas.openxmlformats.org/officeDocument/2006/relationships/hyperlink" Target="https://monitoramento.pm.pr.gov.br/proxy_image_1/" TargetMode="External"/><Relationship Id="rId885" Type="http://schemas.openxmlformats.org/officeDocument/2006/relationships/hyperlink" Target="https://monitoramento.pm.pr.gov.br/proxy_image_8/" TargetMode="External"/><Relationship Id="rId408" Type="http://schemas.openxmlformats.org/officeDocument/2006/relationships/hyperlink" Target="https://monitoramento.pm.pr.gov.br/proxy_image_1/" TargetMode="External"/><Relationship Id="rId407" Type="http://schemas.openxmlformats.org/officeDocument/2006/relationships/hyperlink" Target="https://monitoramento.pm.pr.gov.br/proxy_image_1/" TargetMode="External"/><Relationship Id="rId649" Type="http://schemas.openxmlformats.org/officeDocument/2006/relationships/hyperlink" Target="https://monitoramento.pm.pr.gov.br/proxy_image_1/" TargetMode="External"/><Relationship Id="rId406" Type="http://schemas.openxmlformats.org/officeDocument/2006/relationships/hyperlink" Target="https://monitoramento.pm.pr.gov.br/proxy_image_1/" TargetMode="External"/><Relationship Id="rId648" Type="http://schemas.openxmlformats.org/officeDocument/2006/relationships/hyperlink" Target="https://monitoramento.pm.pr.gov.br/proxy_image_1/" TargetMode="External"/><Relationship Id="rId405" Type="http://schemas.openxmlformats.org/officeDocument/2006/relationships/hyperlink" Target="https://monitoramento.pm.pr.gov.br/proxy_image_1/" TargetMode="External"/><Relationship Id="rId647" Type="http://schemas.openxmlformats.org/officeDocument/2006/relationships/hyperlink" Target="https://monitoramento.pm.pr.gov.br/proxy_image_1/" TargetMode="External"/><Relationship Id="rId889" Type="http://schemas.openxmlformats.org/officeDocument/2006/relationships/hyperlink" Target="https://monitoramento.pm.pr.gov.br/proxy_image_8/" TargetMode="External"/><Relationship Id="rId880" Type="http://schemas.openxmlformats.org/officeDocument/2006/relationships/hyperlink" Target="https://monitoramento.pm.pr.gov.br/proxy_image_8/" TargetMode="External"/><Relationship Id="rId400" Type="http://schemas.openxmlformats.org/officeDocument/2006/relationships/hyperlink" Target="https://monitoramento.pm.pr.gov.br/proxy_image_1/" TargetMode="External"/><Relationship Id="rId642" Type="http://schemas.openxmlformats.org/officeDocument/2006/relationships/hyperlink" Target="https://monitoramento.pm.pr.gov.br/proxy_image_1/" TargetMode="External"/><Relationship Id="rId884" Type="http://schemas.openxmlformats.org/officeDocument/2006/relationships/hyperlink" Target="https://monitoramento.pm.pr.gov.br/proxy_image_8/" TargetMode="External"/><Relationship Id="rId641" Type="http://schemas.openxmlformats.org/officeDocument/2006/relationships/hyperlink" Target="https://monitoramento.pm.pr.gov.br/proxy_image_1/" TargetMode="External"/><Relationship Id="rId883" Type="http://schemas.openxmlformats.org/officeDocument/2006/relationships/hyperlink" Target="https://monitoramento.pm.pr.gov.br/proxy_image_8/" TargetMode="External"/><Relationship Id="rId640" Type="http://schemas.openxmlformats.org/officeDocument/2006/relationships/hyperlink" Target="https://monitoramento.pm.pr.gov.br/proxy_image_1/" TargetMode="External"/><Relationship Id="rId882" Type="http://schemas.openxmlformats.org/officeDocument/2006/relationships/hyperlink" Target="https://monitoramento.pm.pr.gov.br/proxy_image_8/" TargetMode="External"/><Relationship Id="rId881" Type="http://schemas.openxmlformats.org/officeDocument/2006/relationships/hyperlink" Target="https://monitoramento.pm.pr.gov.br/proxy_image_8/" TargetMode="External"/><Relationship Id="rId635" Type="http://schemas.openxmlformats.org/officeDocument/2006/relationships/hyperlink" Target="https://monitoramento.pm.pr.gov.br/proxy_image_1/" TargetMode="External"/><Relationship Id="rId877" Type="http://schemas.openxmlformats.org/officeDocument/2006/relationships/hyperlink" Target="https://monitoramento.pm.pr.gov.br/proxy_image_8/" TargetMode="External"/><Relationship Id="rId634" Type="http://schemas.openxmlformats.org/officeDocument/2006/relationships/hyperlink" Target="https://monitoramento.pm.pr.gov.br/proxy_image_1/" TargetMode="External"/><Relationship Id="rId876" Type="http://schemas.openxmlformats.org/officeDocument/2006/relationships/hyperlink" Target="https://monitoramento.pm.pr.gov.br/proxy_image_8/" TargetMode="External"/><Relationship Id="rId633" Type="http://schemas.openxmlformats.org/officeDocument/2006/relationships/hyperlink" Target="https://monitoramento.pm.pr.gov.br/proxy_image_1/" TargetMode="External"/><Relationship Id="rId875" Type="http://schemas.openxmlformats.org/officeDocument/2006/relationships/hyperlink" Target="https://monitoramento.pm.pr.gov.br/proxy_image_8/" TargetMode="External"/><Relationship Id="rId632" Type="http://schemas.openxmlformats.org/officeDocument/2006/relationships/hyperlink" Target="https://monitoramento.pm.pr.gov.br/proxy_image_1/" TargetMode="External"/><Relationship Id="rId874" Type="http://schemas.openxmlformats.org/officeDocument/2006/relationships/hyperlink" Target="https://monitoramento.pm.pr.gov.br/proxy_image_8/" TargetMode="External"/><Relationship Id="rId639" Type="http://schemas.openxmlformats.org/officeDocument/2006/relationships/hyperlink" Target="https://monitoramento.pm.pr.gov.br/proxy_image_1/" TargetMode="External"/><Relationship Id="rId638" Type="http://schemas.openxmlformats.org/officeDocument/2006/relationships/hyperlink" Target="https://monitoramento.pm.pr.gov.br/proxy_image_1/" TargetMode="External"/><Relationship Id="rId637" Type="http://schemas.openxmlformats.org/officeDocument/2006/relationships/hyperlink" Target="https://monitoramento.pm.pr.gov.br/proxy_image_1/" TargetMode="External"/><Relationship Id="rId879" Type="http://schemas.openxmlformats.org/officeDocument/2006/relationships/hyperlink" Target="https://monitoramento.pm.pr.gov.br/proxy_image_8/" TargetMode="External"/><Relationship Id="rId636" Type="http://schemas.openxmlformats.org/officeDocument/2006/relationships/hyperlink" Target="https://monitoramento.pm.pr.gov.br/proxy_image_1/" TargetMode="External"/><Relationship Id="rId878" Type="http://schemas.openxmlformats.org/officeDocument/2006/relationships/hyperlink" Target="https://monitoramento.pm.pr.gov.br/proxy_image_8/" TargetMode="External"/><Relationship Id="rId631" Type="http://schemas.openxmlformats.org/officeDocument/2006/relationships/hyperlink" Target="https://monitoramento.pm.pr.gov.br/proxy_image_1/" TargetMode="External"/><Relationship Id="rId873" Type="http://schemas.openxmlformats.org/officeDocument/2006/relationships/hyperlink" Target="https://monitoramento.pm.pr.gov.br/proxy_image_8/" TargetMode="External"/><Relationship Id="rId630" Type="http://schemas.openxmlformats.org/officeDocument/2006/relationships/hyperlink" Target="https://monitoramento.pm.pr.gov.br/proxy_image_1/" TargetMode="External"/><Relationship Id="rId872" Type="http://schemas.openxmlformats.org/officeDocument/2006/relationships/hyperlink" Target="https://monitoramento.pm.pr.gov.br/proxy_image_8/" TargetMode="External"/><Relationship Id="rId871" Type="http://schemas.openxmlformats.org/officeDocument/2006/relationships/hyperlink" Target="https://monitoramento.pm.pr.gov.br/proxy_image_8/" TargetMode="External"/><Relationship Id="rId870" Type="http://schemas.openxmlformats.org/officeDocument/2006/relationships/hyperlink" Target="https://monitoramento.pm.pr.gov.br/proxy_image_8/" TargetMode="External"/><Relationship Id="rId829" Type="http://schemas.openxmlformats.org/officeDocument/2006/relationships/hyperlink" Target="https://monitoramento.pm.pr.gov.br/proxy_image_8/" TargetMode="External"/><Relationship Id="rId828" Type="http://schemas.openxmlformats.org/officeDocument/2006/relationships/hyperlink" Target="https://monitoramento.pm.pr.gov.br/proxy_image_8/" TargetMode="External"/><Relationship Id="rId827" Type="http://schemas.openxmlformats.org/officeDocument/2006/relationships/hyperlink" Target="https://monitoramento.pm.pr.gov.br/proxy_image_8/" TargetMode="External"/><Relationship Id="rId822" Type="http://schemas.openxmlformats.org/officeDocument/2006/relationships/hyperlink" Target="https://monitoramento.pm.pr.gov.br/proxy_image_8/" TargetMode="External"/><Relationship Id="rId821" Type="http://schemas.openxmlformats.org/officeDocument/2006/relationships/hyperlink" Target="https://monitoramento.pm.pr.gov.br/proxy_image_8/" TargetMode="External"/><Relationship Id="rId820" Type="http://schemas.openxmlformats.org/officeDocument/2006/relationships/hyperlink" Target="https://monitoramento.pm.pr.gov.br/proxy_image_8/" TargetMode="External"/><Relationship Id="rId826" Type="http://schemas.openxmlformats.org/officeDocument/2006/relationships/hyperlink" Target="https://monitoramento.pm.pr.gov.br/proxy_image_8/" TargetMode="External"/><Relationship Id="rId825" Type="http://schemas.openxmlformats.org/officeDocument/2006/relationships/hyperlink" Target="https://monitoramento.pm.pr.gov.br/proxy_image_8/" TargetMode="External"/><Relationship Id="rId824" Type="http://schemas.openxmlformats.org/officeDocument/2006/relationships/hyperlink" Target="https://monitoramento.pm.pr.gov.br/proxy_image_8/" TargetMode="External"/><Relationship Id="rId823" Type="http://schemas.openxmlformats.org/officeDocument/2006/relationships/hyperlink" Target="https://monitoramento.pm.pr.gov.br/proxy_image_8/" TargetMode="External"/><Relationship Id="rId819" Type="http://schemas.openxmlformats.org/officeDocument/2006/relationships/hyperlink" Target="https://monitoramento.pm.pr.gov.br/proxy_image_8/" TargetMode="External"/><Relationship Id="rId818" Type="http://schemas.openxmlformats.org/officeDocument/2006/relationships/hyperlink" Target="https://monitoramento.pm.pr.gov.br/proxy_image_8/" TargetMode="External"/><Relationship Id="rId817" Type="http://schemas.openxmlformats.org/officeDocument/2006/relationships/hyperlink" Target="https://monitoramento.pm.pr.gov.br/proxy_image_8/" TargetMode="External"/><Relationship Id="rId816" Type="http://schemas.openxmlformats.org/officeDocument/2006/relationships/hyperlink" Target="https://monitoramento.pm.pr.gov.br/proxy_image_8/" TargetMode="External"/><Relationship Id="rId811" Type="http://schemas.openxmlformats.org/officeDocument/2006/relationships/hyperlink" Target="https://monitoramento.pm.pr.gov.br/proxy_image_8/" TargetMode="External"/><Relationship Id="rId810" Type="http://schemas.openxmlformats.org/officeDocument/2006/relationships/hyperlink" Target="https://monitoramento.pm.pr.gov.br/proxy_image_8/" TargetMode="External"/><Relationship Id="rId815" Type="http://schemas.openxmlformats.org/officeDocument/2006/relationships/hyperlink" Target="https://monitoramento.pm.pr.gov.br/proxy_image_8/" TargetMode="External"/><Relationship Id="rId814" Type="http://schemas.openxmlformats.org/officeDocument/2006/relationships/hyperlink" Target="https://monitoramento.pm.pr.gov.br/proxy_image_8/" TargetMode="External"/><Relationship Id="rId813" Type="http://schemas.openxmlformats.org/officeDocument/2006/relationships/hyperlink" Target="https://monitoramento.pm.pr.gov.br/proxy_image_8/" TargetMode="External"/><Relationship Id="rId812" Type="http://schemas.openxmlformats.org/officeDocument/2006/relationships/hyperlink" Target="https://monitoramento.pm.pr.gov.br/proxy_image_8/" TargetMode="External"/><Relationship Id="rId609" Type="http://schemas.openxmlformats.org/officeDocument/2006/relationships/hyperlink" Target="https://monitoramento.pm.pr.gov.br/proxy_image_1/" TargetMode="External"/><Relationship Id="rId608" Type="http://schemas.openxmlformats.org/officeDocument/2006/relationships/hyperlink" Target="https://monitoramento.pm.pr.gov.br/proxy_image_1/" TargetMode="External"/><Relationship Id="rId607" Type="http://schemas.openxmlformats.org/officeDocument/2006/relationships/hyperlink" Target="https://monitoramento.pm.pr.gov.br/proxy_image_1/" TargetMode="External"/><Relationship Id="rId849" Type="http://schemas.openxmlformats.org/officeDocument/2006/relationships/hyperlink" Target="https://monitoramento.pm.pr.gov.br/proxy_image_8/" TargetMode="External"/><Relationship Id="rId602" Type="http://schemas.openxmlformats.org/officeDocument/2006/relationships/hyperlink" Target="https://monitoramento.pm.pr.gov.br/proxy_image_1/" TargetMode="External"/><Relationship Id="rId844" Type="http://schemas.openxmlformats.org/officeDocument/2006/relationships/hyperlink" Target="https://monitoramento.pm.pr.gov.br/proxy_image_8/" TargetMode="External"/><Relationship Id="rId601" Type="http://schemas.openxmlformats.org/officeDocument/2006/relationships/hyperlink" Target="https://monitoramento.pm.pr.gov.br/proxy_image_1/" TargetMode="External"/><Relationship Id="rId843" Type="http://schemas.openxmlformats.org/officeDocument/2006/relationships/hyperlink" Target="https://monitoramento.pm.pr.gov.br/proxy_image_8/" TargetMode="External"/><Relationship Id="rId600" Type="http://schemas.openxmlformats.org/officeDocument/2006/relationships/hyperlink" Target="https://monitoramento.pm.pr.gov.br/proxy_image_1/" TargetMode="External"/><Relationship Id="rId842" Type="http://schemas.openxmlformats.org/officeDocument/2006/relationships/hyperlink" Target="https://monitoramento.pm.pr.gov.br/proxy_image_8/" TargetMode="External"/><Relationship Id="rId841" Type="http://schemas.openxmlformats.org/officeDocument/2006/relationships/hyperlink" Target="https://monitoramento.pm.pr.gov.br/proxy_image_8/" TargetMode="External"/><Relationship Id="rId606" Type="http://schemas.openxmlformats.org/officeDocument/2006/relationships/hyperlink" Target="https://monitoramento.pm.pr.gov.br/proxy_image_1/" TargetMode="External"/><Relationship Id="rId848" Type="http://schemas.openxmlformats.org/officeDocument/2006/relationships/hyperlink" Target="https://monitoramento.pm.pr.gov.br/proxy_image_8/" TargetMode="External"/><Relationship Id="rId605" Type="http://schemas.openxmlformats.org/officeDocument/2006/relationships/hyperlink" Target="https://monitoramento.pm.pr.gov.br/proxy_image_1/" TargetMode="External"/><Relationship Id="rId847" Type="http://schemas.openxmlformats.org/officeDocument/2006/relationships/hyperlink" Target="https://monitoramento.pm.pr.gov.br/proxy_image_8/" TargetMode="External"/><Relationship Id="rId604" Type="http://schemas.openxmlformats.org/officeDocument/2006/relationships/hyperlink" Target="https://monitoramento.pm.pr.gov.br/proxy_image_1/" TargetMode="External"/><Relationship Id="rId846" Type="http://schemas.openxmlformats.org/officeDocument/2006/relationships/hyperlink" Target="https://monitoramento.pm.pr.gov.br/proxy_image_8/" TargetMode="External"/><Relationship Id="rId603" Type="http://schemas.openxmlformats.org/officeDocument/2006/relationships/hyperlink" Target="https://monitoramento.pm.pr.gov.br/proxy_image_1/" TargetMode="External"/><Relationship Id="rId845" Type="http://schemas.openxmlformats.org/officeDocument/2006/relationships/hyperlink" Target="https://monitoramento.pm.pr.gov.br/proxy_image_8/" TargetMode="External"/><Relationship Id="rId840" Type="http://schemas.openxmlformats.org/officeDocument/2006/relationships/hyperlink" Target="https://monitoramento.pm.pr.gov.br/proxy_image_8/" TargetMode="External"/><Relationship Id="rId839" Type="http://schemas.openxmlformats.org/officeDocument/2006/relationships/hyperlink" Target="https://monitoramento.pm.pr.gov.br/proxy_image_8/" TargetMode="External"/><Relationship Id="rId838" Type="http://schemas.openxmlformats.org/officeDocument/2006/relationships/hyperlink" Target="https://monitoramento.pm.pr.gov.br/proxy_image_8/" TargetMode="External"/><Relationship Id="rId833" Type="http://schemas.openxmlformats.org/officeDocument/2006/relationships/hyperlink" Target="https://monitoramento.pm.pr.gov.br/proxy_image_8/" TargetMode="External"/><Relationship Id="rId832" Type="http://schemas.openxmlformats.org/officeDocument/2006/relationships/hyperlink" Target="https://monitoramento.pm.pr.gov.br/proxy_image_8/" TargetMode="External"/><Relationship Id="rId831" Type="http://schemas.openxmlformats.org/officeDocument/2006/relationships/hyperlink" Target="https://monitoramento.pm.pr.gov.br/proxy_image_8/" TargetMode="External"/><Relationship Id="rId830" Type="http://schemas.openxmlformats.org/officeDocument/2006/relationships/hyperlink" Target="https://monitoramento.pm.pr.gov.br/proxy_image_8/" TargetMode="External"/><Relationship Id="rId837" Type="http://schemas.openxmlformats.org/officeDocument/2006/relationships/hyperlink" Target="https://monitoramento.pm.pr.gov.br/proxy_image_8/" TargetMode="External"/><Relationship Id="rId836" Type="http://schemas.openxmlformats.org/officeDocument/2006/relationships/hyperlink" Target="https://monitoramento.pm.pr.gov.br/proxy_image_8/" TargetMode="External"/><Relationship Id="rId835" Type="http://schemas.openxmlformats.org/officeDocument/2006/relationships/hyperlink" Target="https://monitoramento.pm.pr.gov.br/proxy_image_8/" TargetMode="External"/><Relationship Id="rId834" Type="http://schemas.openxmlformats.org/officeDocument/2006/relationships/hyperlink" Target="https://monitoramento.pm.pr.gov.br/proxy_image_8/" TargetMode="External"/><Relationship Id="rId1059" Type="http://schemas.openxmlformats.org/officeDocument/2006/relationships/drawing" Target="../drawings/drawing1.xml"/><Relationship Id="rId228" Type="http://schemas.openxmlformats.org/officeDocument/2006/relationships/hyperlink" Target="https://monitoramento.pm.pr.gov.br/proxy_image_1/" TargetMode="External"/><Relationship Id="rId227" Type="http://schemas.openxmlformats.org/officeDocument/2006/relationships/hyperlink" Target="https://monitoramento.pm.pr.gov.br/proxy_image_1/" TargetMode="External"/><Relationship Id="rId469" Type="http://schemas.openxmlformats.org/officeDocument/2006/relationships/hyperlink" Target="https://monitoramento.pm.pr.gov.br/proxy_image_1/" TargetMode="External"/><Relationship Id="rId226" Type="http://schemas.openxmlformats.org/officeDocument/2006/relationships/hyperlink" Target="https://monitoramento.pm.pr.gov.br/proxy_image_1/" TargetMode="External"/><Relationship Id="rId468" Type="http://schemas.openxmlformats.org/officeDocument/2006/relationships/hyperlink" Target="https://monitoramento.pm.pr.gov.br/proxy_image_1/" TargetMode="External"/><Relationship Id="rId225" Type="http://schemas.openxmlformats.org/officeDocument/2006/relationships/hyperlink" Target="https://monitoramento.pm.pr.gov.br/proxy_image_1/" TargetMode="External"/><Relationship Id="rId467" Type="http://schemas.openxmlformats.org/officeDocument/2006/relationships/hyperlink" Target="https://monitoramento.pm.pr.gov.br/proxy_image_1/" TargetMode="External"/><Relationship Id="rId229" Type="http://schemas.openxmlformats.org/officeDocument/2006/relationships/hyperlink" Target="https://monitoramento.pm.pr.gov.br/proxy_image_1/" TargetMode="External"/><Relationship Id="rId1050" Type="http://schemas.openxmlformats.org/officeDocument/2006/relationships/hyperlink" Target="https://monitoramento.pm.pr.gov.br/proxy_image_8/" TargetMode="External"/><Relationship Id="rId220" Type="http://schemas.openxmlformats.org/officeDocument/2006/relationships/hyperlink" Target="https://monitoramento.pm.pr.gov.br/proxy_image_1/" TargetMode="External"/><Relationship Id="rId462" Type="http://schemas.openxmlformats.org/officeDocument/2006/relationships/hyperlink" Target="https://monitoramento.pm.pr.gov.br/proxy_image_1/" TargetMode="External"/><Relationship Id="rId1051" Type="http://schemas.openxmlformats.org/officeDocument/2006/relationships/hyperlink" Target="https://monitoramento.pm.pr.gov.br/proxy_image_8/" TargetMode="External"/><Relationship Id="rId461" Type="http://schemas.openxmlformats.org/officeDocument/2006/relationships/hyperlink" Target="https://monitoramento.pm.pr.gov.br/proxy_image_1/" TargetMode="External"/><Relationship Id="rId1052" Type="http://schemas.openxmlformats.org/officeDocument/2006/relationships/hyperlink" Target="https://monitoramento.pm.pr.gov.br/proxy_image_8/" TargetMode="External"/><Relationship Id="rId460" Type="http://schemas.openxmlformats.org/officeDocument/2006/relationships/hyperlink" Target="https://monitoramento.pm.pr.gov.br/proxy_image_1/" TargetMode="External"/><Relationship Id="rId1053" Type="http://schemas.openxmlformats.org/officeDocument/2006/relationships/hyperlink" Target="https://monitoramento.pm.pr.gov.br/proxy_image_8/" TargetMode="External"/><Relationship Id="rId1054" Type="http://schemas.openxmlformats.org/officeDocument/2006/relationships/hyperlink" Target="https://monitoramento.pm.pr.gov.br/proxy_image_8/" TargetMode="External"/><Relationship Id="rId224" Type="http://schemas.openxmlformats.org/officeDocument/2006/relationships/hyperlink" Target="https://monitoramento.pm.pr.gov.br/proxy_image_1/" TargetMode="External"/><Relationship Id="rId466" Type="http://schemas.openxmlformats.org/officeDocument/2006/relationships/hyperlink" Target="https://monitoramento.pm.pr.gov.br/proxy_image_1/" TargetMode="External"/><Relationship Id="rId1055" Type="http://schemas.openxmlformats.org/officeDocument/2006/relationships/hyperlink" Target="https://monitoramento.pm.pr.gov.br/proxy_image_8/" TargetMode="External"/><Relationship Id="rId223" Type="http://schemas.openxmlformats.org/officeDocument/2006/relationships/hyperlink" Target="https://monitoramento.pm.pr.gov.br/proxy_image_1/" TargetMode="External"/><Relationship Id="rId465" Type="http://schemas.openxmlformats.org/officeDocument/2006/relationships/hyperlink" Target="https://monitoramento.pm.pr.gov.br/proxy_image_1/" TargetMode="External"/><Relationship Id="rId1056" Type="http://schemas.openxmlformats.org/officeDocument/2006/relationships/hyperlink" Target="https://monitoramento.pm.pr.gov.br/proxy_image_8/" TargetMode="External"/><Relationship Id="rId222" Type="http://schemas.openxmlformats.org/officeDocument/2006/relationships/hyperlink" Target="https://monitoramento.pm.pr.gov.br/proxy_image_1/" TargetMode="External"/><Relationship Id="rId464" Type="http://schemas.openxmlformats.org/officeDocument/2006/relationships/hyperlink" Target="https://monitoramento.pm.pr.gov.br/proxy_image_1/" TargetMode="External"/><Relationship Id="rId1057" Type="http://schemas.openxmlformats.org/officeDocument/2006/relationships/hyperlink" Target="https://monitoramento.pm.pr.gov.br/proxy_image_8/" TargetMode="External"/><Relationship Id="rId221" Type="http://schemas.openxmlformats.org/officeDocument/2006/relationships/hyperlink" Target="https://monitoramento.pm.pr.gov.br/proxy_image_1/" TargetMode="External"/><Relationship Id="rId463" Type="http://schemas.openxmlformats.org/officeDocument/2006/relationships/hyperlink" Target="https://monitoramento.pm.pr.gov.br/proxy_image_1/" TargetMode="External"/><Relationship Id="rId1058" Type="http://schemas.openxmlformats.org/officeDocument/2006/relationships/hyperlink" Target="https://monitoramento.pm.pr.gov.br/proxy_image_8/" TargetMode="External"/><Relationship Id="rId1048" Type="http://schemas.openxmlformats.org/officeDocument/2006/relationships/hyperlink" Target="https://monitoramento.pm.pr.gov.br/proxy_image_8/" TargetMode="External"/><Relationship Id="rId1049" Type="http://schemas.openxmlformats.org/officeDocument/2006/relationships/hyperlink" Target="https://monitoramento.pm.pr.gov.br/proxy_image_8/" TargetMode="External"/><Relationship Id="rId217" Type="http://schemas.openxmlformats.org/officeDocument/2006/relationships/hyperlink" Target="https://monitoramento.pm.pr.gov.br/proxy_image_1/" TargetMode="External"/><Relationship Id="rId459" Type="http://schemas.openxmlformats.org/officeDocument/2006/relationships/hyperlink" Target="https://monitoramento.pm.pr.gov.br/proxy_image_1/" TargetMode="External"/><Relationship Id="rId216" Type="http://schemas.openxmlformats.org/officeDocument/2006/relationships/hyperlink" Target="https://monitoramento.pm.pr.gov.br/proxy_image_1/" TargetMode="External"/><Relationship Id="rId458" Type="http://schemas.openxmlformats.org/officeDocument/2006/relationships/hyperlink" Target="https://monitoramento.pm.pr.gov.br/proxy_image_1/" TargetMode="External"/><Relationship Id="rId215" Type="http://schemas.openxmlformats.org/officeDocument/2006/relationships/hyperlink" Target="https://monitoramento.pm.pr.gov.br/proxy_image_1/" TargetMode="External"/><Relationship Id="rId457" Type="http://schemas.openxmlformats.org/officeDocument/2006/relationships/hyperlink" Target="https://monitoramento.pm.pr.gov.br/proxy_image_1/" TargetMode="External"/><Relationship Id="rId699" Type="http://schemas.openxmlformats.org/officeDocument/2006/relationships/hyperlink" Target="https://monitoramento.pm.pr.gov.br/proxy_image_1/" TargetMode="External"/><Relationship Id="rId214" Type="http://schemas.openxmlformats.org/officeDocument/2006/relationships/hyperlink" Target="https://monitoramento.pm.pr.gov.br/proxy_image_1/" TargetMode="External"/><Relationship Id="rId456" Type="http://schemas.openxmlformats.org/officeDocument/2006/relationships/hyperlink" Target="https://monitoramento.pm.pr.gov.br/proxy_image_1/" TargetMode="External"/><Relationship Id="rId698" Type="http://schemas.openxmlformats.org/officeDocument/2006/relationships/hyperlink" Target="https://monitoramento.pm.pr.gov.br/proxy_image_1/" TargetMode="External"/><Relationship Id="rId219" Type="http://schemas.openxmlformats.org/officeDocument/2006/relationships/hyperlink" Target="https://monitoramento.pm.pr.gov.br/proxy_image_1/" TargetMode="External"/><Relationship Id="rId218" Type="http://schemas.openxmlformats.org/officeDocument/2006/relationships/hyperlink" Target="https://monitoramento.pm.pr.gov.br/proxy_image_1/" TargetMode="External"/><Relationship Id="rId451" Type="http://schemas.openxmlformats.org/officeDocument/2006/relationships/hyperlink" Target="https://monitoramento.pm.pr.gov.br/proxy_image_1/" TargetMode="External"/><Relationship Id="rId693" Type="http://schemas.openxmlformats.org/officeDocument/2006/relationships/hyperlink" Target="https://monitoramento.pm.pr.gov.br/proxy_image_1/" TargetMode="External"/><Relationship Id="rId1040" Type="http://schemas.openxmlformats.org/officeDocument/2006/relationships/hyperlink" Target="https://monitoramento.pm.pr.gov.br/proxy_image_8/" TargetMode="External"/><Relationship Id="rId450" Type="http://schemas.openxmlformats.org/officeDocument/2006/relationships/hyperlink" Target="https://monitoramento.pm.pr.gov.br/proxy_image_1/" TargetMode="External"/><Relationship Id="rId692" Type="http://schemas.openxmlformats.org/officeDocument/2006/relationships/hyperlink" Target="https://monitoramento.pm.pr.gov.br/proxy_image_1/" TargetMode="External"/><Relationship Id="rId1041" Type="http://schemas.openxmlformats.org/officeDocument/2006/relationships/hyperlink" Target="https://monitoramento.pm.pr.gov.br/proxy_image_8/" TargetMode="External"/><Relationship Id="rId691" Type="http://schemas.openxmlformats.org/officeDocument/2006/relationships/hyperlink" Target="https://monitoramento.pm.pr.gov.br/proxy_image_1/" TargetMode="External"/><Relationship Id="rId1042" Type="http://schemas.openxmlformats.org/officeDocument/2006/relationships/hyperlink" Target="https://monitoramento.pm.pr.gov.br/proxy_image_8/" TargetMode="External"/><Relationship Id="rId690" Type="http://schemas.openxmlformats.org/officeDocument/2006/relationships/hyperlink" Target="https://monitoramento.pm.pr.gov.br/proxy_image_1/" TargetMode="External"/><Relationship Id="rId1043" Type="http://schemas.openxmlformats.org/officeDocument/2006/relationships/hyperlink" Target="https://monitoramento.pm.pr.gov.br/proxy_image_8/" TargetMode="External"/><Relationship Id="rId213" Type="http://schemas.openxmlformats.org/officeDocument/2006/relationships/hyperlink" Target="https://monitoramento.pm.pr.gov.br/proxy_image_1/" TargetMode="External"/><Relationship Id="rId455" Type="http://schemas.openxmlformats.org/officeDocument/2006/relationships/hyperlink" Target="https://monitoramento.pm.pr.gov.br/proxy_image_1/" TargetMode="External"/><Relationship Id="rId697" Type="http://schemas.openxmlformats.org/officeDocument/2006/relationships/hyperlink" Target="https://monitoramento.pm.pr.gov.br/proxy_image_1/" TargetMode="External"/><Relationship Id="rId1044" Type="http://schemas.openxmlformats.org/officeDocument/2006/relationships/hyperlink" Target="https://monitoramento.pm.pr.gov.br/proxy_image_8/" TargetMode="External"/><Relationship Id="rId212" Type="http://schemas.openxmlformats.org/officeDocument/2006/relationships/hyperlink" Target="https://monitoramento.pm.pr.gov.br/proxy_image_1/" TargetMode="External"/><Relationship Id="rId454" Type="http://schemas.openxmlformats.org/officeDocument/2006/relationships/hyperlink" Target="https://monitoramento.pm.pr.gov.br/proxy_image_1/" TargetMode="External"/><Relationship Id="rId696" Type="http://schemas.openxmlformats.org/officeDocument/2006/relationships/hyperlink" Target="https://monitoramento.pm.pr.gov.br/proxy_image_1/" TargetMode="External"/><Relationship Id="rId1045" Type="http://schemas.openxmlformats.org/officeDocument/2006/relationships/hyperlink" Target="https://monitoramento.pm.pr.gov.br/proxy_image_8/" TargetMode="External"/><Relationship Id="rId211" Type="http://schemas.openxmlformats.org/officeDocument/2006/relationships/hyperlink" Target="https://monitoramento.pm.pr.gov.br/proxy_image_1/" TargetMode="External"/><Relationship Id="rId453" Type="http://schemas.openxmlformats.org/officeDocument/2006/relationships/hyperlink" Target="https://monitoramento.pm.pr.gov.br/proxy_image_1/" TargetMode="External"/><Relationship Id="rId695" Type="http://schemas.openxmlformats.org/officeDocument/2006/relationships/hyperlink" Target="https://monitoramento.pm.pr.gov.br/proxy_image_1/" TargetMode="External"/><Relationship Id="rId1046" Type="http://schemas.openxmlformats.org/officeDocument/2006/relationships/hyperlink" Target="https://monitoramento.pm.pr.gov.br/proxy_image_8/" TargetMode="External"/><Relationship Id="rId210" Type="http://schemas.openxmlformats.org/officeDocument/2006/relationships/hyperlink" Target="https://monitoramento.pm.pr.gov.br/proxy_image_1/" TargetMode="External"/><Relationship Id="rId452" Type="http://schemas.openxmlformats.org/officeDocument/2006/relationships/hyperlink" Target="https://monitoramento.pm.pr.gov.br/proxy_image_1/" TargetMode="External"/><Relationship Id="rId694" Type="http://schemas.openxmlformats.org/officeDocument/2006/relationships/hyperlink" Target="https://monitoramento.pm.pr.gov.br/proxy_image_1/" TargetMode="External"/><Relationship Id="rId1047" Type="http://schemas.openxmlformats.org/officeDocument/2006/relationships/hyperlink" Target="https://monitoramento.pm.pr.gov.br/proxy_image_8/" TargetMode="External"/><Relationship Id="rId491" Type="http://schemas.openxmlformats.org/officeDocument/2006/relationships/hyperlink" Target="https://monitoramento.pm.pr.gov.br/proxy_image_1/" TargetMode="External"/><Relationship Id="rId490" Type="http://schemas.openxmlformats.org/officeDocument/2006/relationships/hyperlink" Target="https://monitoramento.pm.pr.gov.br/proxy_image_1/" TargetMode="External"/><Relationship Id="rId249" Type="http://schemas.openxmlformats.org/officeDocument/2006/relationships/hyperlink" Target="https://monitoramento.pm.pr.gov.br/proxy_image_1/" TargetMode="External"/><Relationship Id="rId248" Type="http://schemas.openxmlformats.org/officeDocument/2006/relationships/hyperlink" Target="https://monitoramento.pm.pr.gov.br/proxy_image_1/" TargetMode="External"/><Relationship Id="rId247" Type="http://schemas.openxmlformats.org/officeDocument/2006/relationships/hyperlink" Target="https://monitoramento.pm.pr.gov.br/proxy_image_1/" TargetMode="External"/><Relationship Id="rId489" Type="http://schemas.openxmlformats.org/officeDocument/2006/relationships/hyperlink" Target="https://monitoramento.pm.pr.gov.br/proxy_image_1/" TargetMode="External"/><Relationship Id="rId242" Type="http://schemas.openxmlformats.org/officeDocument/2006/relationships/hyperlink" Target="https://monitoramento.pm.pr.gov.br/proxy_image_1/" TargetMode="External"/><Relationship Id="rId484" Type="http://schemas.openxmlformats.org/officeDocument/2006/relationships/hyperlink" Target="https://monitoramento.pm.pr.gov.br/proxy_image_1/" TargetMode="External"/><Relationship Id="rId241" Type="http://schemas.openxmlformats.org/officeDocument/2006/relationships/hyperlink" Target="https://monitoramento.pm.pr.gov.br/proxy_image_1/" TargetMode="External"/><Relationship Id="rId483" Type="http://schemas.openxmlformats.org/officeDocument/2006/relationships/hyperlink" Target="https://monitoramento.pm.pr.gov.br/proxy_image_1/" TargetMode="External"/><Relationship Id="rId240" Type="http://schemas.openxmlformats.org/officeDocument/2006/relationships/hyperlink" Target="https://monitoramento.pm.pr.gov.br/proxy_image_1/" TargetMode="External"/><Relationship Id="rId482" Type="http://schemas.openxmlformats.org/officeDocument/2006/relationships/hyperlink" Target="https://monitoramento.pm.pr.gov.br/proxy_image_1/" TargetMode="External"/><Relationship Id="rId481" Type="http://schemas.openxmlformats.org/officeDocument/2006/relationships/hyperlink" Target="https://monitoramento.pm.pr.gov.br/proxy_image_1/" TargetMode="External"/><Relationship Id="rId246" Type="http://schemas.openxmlformats.org/officeDocument/2006/relationships/hyperlink" Target="https://monitoramento.pm.pr.gov.br/proxy_image_1/" TargetMode="External"/><Relationship Id="rId488" Type="http://schemas.openxmlformats.org/officeDocument/2006/relationships/hyperlink" Target="https://monitoramento.pm.pr.gov.br/proxy_image_1/" TargetMode="External"/><Relationship Id="rId245" Type="http://schemas.openxmlformats.org/officeDocument/2006/relationships/hyperlink" Target="https://monitoramento.pm.pr.gov.br/proxy_image_1/" TargetMode="External"/><Relationship Id="rId487" Type="http://schemas.openxmlformats.org/officeDocument/2006/relationships/hyperlink" Target="https://monitoramento.pm.pr.gov.br/proxy_image_1/" TargetMode="External"/><Relationship Id="rId244" Type="http://schemas.openxmlformats.org/officeDocument/2006/relationships/hyperlink" Target="https://monitoramento.pm.pr.gov.br/proxy_image_1/" TargetMode="External"/><Relationship Id="rId486" Type="http://schemas.openxmlformats.org/officeDocument/2006/relationships/hyperlink" Target="https://monitoramento.pm.pr.gov.br/proxy_image_1/" TargetMode="External"/><Relationship Id="rId243" Type="http://schemas.openxmlformats.org/officeDocument/2006/relationships/hyperlink" Target="https://monitoramento.pm.pr.gov.br/proxy_image_1/" TargetMode="External"/><Relationship Id="rId485" Type="http://schemas.openxmlformats.org/officeDocument/2006/relationships/hyperlink" Target="https://monitoramento.pm.pr.gov.br/proxy_image_1/" TargetMode="External"/><Relationship Id="rId480" Type="http://schemas.openxmlformats.org/officeDocument/2006/relationships/hyperlink" Target="https://monitoramento.pm.pr.gov.br/proxy_image_1/" TargetMode="External"/><Relationship Id="rId239" Type="http://schemas.openxmlformats.org/officeDocument/2006/relationships/hyperlink" Target="https://monitoramento.pm.pr.gov.br/proxy_image_1/" TargetMode="External"/><Relationship Id="rId238" Type="http://schemas.openxmlformats.org/officeDocument/2006/relationships/hyperlink" Target="https://monitoramento.pm.pr.gov.br/proxy_image_1/" TargetMode="External"/><Relationship Id="rId237" Type="http://schemas.openxmlformats.org/officeDocument/2006/relationships/hyperlink" Target="https://monitoramento.pm.pr.gov.br/proxy_image_1/" TargetMode="External"/><Relationship Id="rId479" Type="http://schemas.openxmlformats.org/officeDocument/2006/relationships/hyperlink" Target="https://monitoramento.pm.pr.gov.br/proxy_image_1/" TargetMode="External"/><Relationship Id="rId236" Type="http://schemas.openxmlformats.org/officeDocument/2006/relationships/hyperlink" Target="https://monitoramento.pm.pr.gov.br/proxy_image_1/" TargetMode="External"/><Relationship Id="rId478" Type="http://schemas.openxmlformats.org/officeDocument/2006/relationships/hyperlink" Target="https://monitoramento.pm.pr.gov.br/proxy_image_1/" TargetMode="External"/><Relationship Id="rId1060" Type="http://schemas.openxmlformats.org/officeDocument/2006/relationships/vmlDrawing" Target="../drawings/vmlDrawing1.vml"/><Relationship Id="rId231" Type="http://schemas.openxmlformats.org/officeDocument/2006/relationships/hyperlink" Target="https://monitoramento.pm.pr.gov.br/proxy_image_1/" TargetMode="External"/><Relationship Id="rId473" Type="http://schemas.openxmlformats.org/officeDocument/2006/relationships/hyperlink" Target="https://monitoramento.pm.pr.gov.br/proxy_image_1/" TargetMode="External"/><Relationship Id="rId230" Type="http://schemas.openxmlformats.org/officeDocument/2006/relationships/hyperlink" Target="https://monitoramento.pm.pr.gov.br/proxy_image_1/" TargetMode="External"/><Relationship Id="rId472" Type="http://schemas.openxmlformats.org/officeDocument/2006/relationships/hyperlink" Target="https://monitoramento.pm.pr.gov.br/proxy_image_1/" TargetMode="External"/><Relationship Id="rId471" Type="http://schemas.openxmlformats.org/officeDocument/2006/relationships/hyperlink" Target="https://monitoramento.pm.pr.gov.br/proxy_image_1/" TargetMode="External"/><Relationship Id="rId470" Type="http://schemas.openxmlformats.org/officeDocument/2006/relationships/hyperlink" Target="https://monitoramento.pm.pr.gov.br/proxy_image_1/" TargetMode="External"/><Relationship Id="rId235" Type="http://schemas.openxmlformats.org/officeDocument/2006/relationships/hyperlink" Target="https://monitoramento.pm.pr.gov.br/proxy_image_1/" TargetMode="External"/><Relationship Id="rId477" Type="http://schemas.openxmlformats.org/officeDocument/2006/relationships/hyperlink" Target="https://monitoramento.pm.pr.gov.br/proxy_image_1/" TargetMode="External"/><Relationship Id="rId234" Type="http://schemas.openxmlformats.org/officeDocument/2006/relationships/hyperlink" Target="https://monitoramento.pm.pr.gov.br/proxy_image_1/" TargetMode="External"/><Relationship Id="rId476" Type="http://schemas.openxmlformats.org/officeDocument/2006/relationships/hyperlink" Target="https://monitoramento.pm.pr.gov.br/proxy_image_1/" TargetMode="External"/><Relationship Id="rId233" Type="http://schemas.openxmlformats.org/officeDocument/2006/relationships/hyperlink" Target="https://monitoramento.pm.pr.gov.br/proxy_image_1/" TargetMode="External"/><Relationship Id="rId475" Type="http://schemas.openxmlformats.org/officeDocument/2006/relationships/hyperlink" Target="https://monitoramento.pm.pr.gov.br/proxy_image_1/" TargetMode="External"/><Relationship Id="rId232" Type="http://schemas.openxmlformats.org/officeDocument/2006/relationships/hyperlink" Target="https://monitoramento.pm.pr.gov.br/proxy_image_1/" TargetMode="External"/><Relationship Id="rId474" Type="http://schemas.openxmlformats.org/officeDocument/2006/relationships/hyperlink" Target="https://monitoramento.pm.pr.gov.br/proxy_image_1/" TargetMode="External"/><Relationship Id="rId1015" Type="http://schemas.openxmlformats.org/officeDocument/2006/relationships/hyperlink" Target="https://monitoramento.pm.pr.gov.br/proxy_image_8/" TargetMode="External"/><Relationship Id="rId1016" Type="http://schemas.openxmlformats.org/officeDocument/2006/relationships/hyperlink" Target="https://monitoramento.pm.pr.gov.br/proxy_image_8/" TargetMode="External"/><Relationship Id="rId1017" Type="http://schemas.openxmlformats.org/officeDocument/2006/relationships/hyperlink" Target="https://monitoramento.pm.pr.gov.br/proxy_image_8/" TargetMode="External"/><Relationship Id="rId1018" Type="http://schemas.openxmlformats.org/officeDocument/2006/relationships/hyperlink" Target="https://monitoramento.pm.pr.gov.br/proxy_image_8/" TargetMode="External"/><Relationship Id="rId1019" Type="http://schemas.openxmlformats.org/officeDocument/2006/relationships/hyperlink" Target="https://monitoramento.pm.pr.gov.br/proxy_image_8/" TargetMode="External"/><Relationship Id="rId426" Type="http://schemas.openxmlformats.org/officeDocument/2006/relationships/hyperlink" Target="https://monitoramento.pm.pr.gov.br/proxy_image_1/" TargetMode="External"/><Relationship Id="rId668" Type="http://schemas.openxmlformats.org/officeDocument/2006/relationships/hyperlink" Target="https://monitoramento.pm.pr.gov.br/proxy_image_1/" TargetMode="External"/><Relationship Id="rId425" Type="http://schemas.openxmlformats.org/officeDocument/2006/relationships/hyperlink" Target="https://monitoramento.pm.pr.gov.br/proxy_image_1/" TargetMode="External"/><Relationship Id="rId667" Type="http://schemas.openxmlformats.org/officeDocument/2006/relationships/hyperlink" Target="https://monitoramento.pm.pr.gov.br/proxy_image_1/" TargetMode="External"/><Relationship Id="rId424" Type="http://schemas.openxmlformats.org/officeDocument/2006/relationships/hyperlink" Target="https://monitoramento.pm.pr.gov.br/proxy_image_1/" TargetMode="External"/><Relationship Id="rId666" Type="http://schemas.openxmlformats.org/officeDocument/2006/relationships/hyperlink" Target="https://monitoramento.pm.pr.gov.br/proxy_image_1/" TargetMode="External"/><Relationship Id="rId423" Type="http://schemas.openxmlformats.org/officeDocument/2006/relationships/hyperlink" Target="https://monitoramento.pm.pr.gov.br/proxy_image_1/" TargetMode="External"/><Relationship Id="rId665" Type="http://schemas.openxmlformats.org/officeDocument/2006/relationships/hyperlink" Target="https://monitoramento.pm.pr.gov.br/proxy_image_1/" TargetMode="External"/><Relationship Id="rId429" Type="http://schemas.openxmlformats.org/officeDocument/2006/relationships/hyperlink" Target="https://monitoramento.pm.pr.gov.br/proxy_image_1/" TargetMode="External"/><Relationship Id="rId428" Type="http://schemas.openxmlformats.org/officeDocument/2006/relationships/hyperlink" Target="https://monitoramento.pm.pr.gov.br/proxy_image_1/" TargetMode="External"/><Relationship Id="rId427" Type="http://schemas.openxmlformats.org/officeDocument/2006/relationships/hyperlink" Target="https://monitoramento.pm.pr.gov.br/proxy_image_1/" TargetMode="External"/><Relationship Id="rId669" Type="http://schemas.openxmlformats.org/officeDocument/2006/relationships/hyperlink" Target="https://monitoramento.pm.pr.gov.br/proxy_image_1/" TargetMode="External"/><Relationship Id="rId660" Type="http://schemas.openxmlformats.org/officeDocument/2006/relationships/hyperlink" Target="https://monitoramento.pm.pr.gov.br/proxy_image_1/" TargetMode="External"/><Relationship Id="rId1010" Type="http://schemas.openxmlformats.org/officeDocument/2006/relationships/hyperlink" Target="https://monitoramento.pm.pr.gov.br/proxy_image_8/" TargetMode="External"/><Relationship Id="rId422" Type="http://schemas.openxmlformats.org/officeDocument/2006/relationships/hyperlink" Target="https://monitoramento.pm.pr.gov.br/proxy_image_1/" TargetMode="External"/><Relationship Id="rId664" Type="http://schemas.openxmlformats.org/officeDocument/2006/relationships/hyperlink" Target="https://monitoramento.pm.pr.gov.br/proxy_image_1/" TargetMode="External"/><Relationship Id="rId1011" Type="http://schemas.openxmlformats.org/officeDocument/2006/relationships/hyperlink" Target="https://monitoramento.pm.pr.gov.br/proxy_image_8/" TargetMode="External"/><Relationship Id="rId421" Type="http://schemas.openxmlformats.org/officeDocument/2006/relationships/hyperlink" Target="https://monitoramento.pm.pr.gov.br/proxy_image_1/" TargetMode="External"/><Relationship Id="rId663" Type="http://schemas.openxmlformats.org/officeDocument/2006/relationships/hyperlink" Target="https://monitoramento.pm.pr.gov.br/proxy_image_1/" TargetMode="External"/><Relationship Id="rId1012" Type="http://schemas.openxmlformats.org/officeDocument/2006/relationships/hyperlink" Target="https://monitoramento.pm.pr.gov.br/proxy_image_8/" TargetMode="External"/><Relationship Id="rId420" Type="http://schemas.openxmlformats.org/officeDocument/2006/relationships/hyperlink" Target="https://monitoramento.pm.pr.gov.br/proxy_image_1/" TargetMode="External"/><Relationship Id="rId662" Type="http://schemas.openxmlformats.org/officeDocument/2006/relationships/hyperlink" Target="https://monitoramento.pm.pr.gov.br/proxy_image_1/" TargetMode="External"/><Relationship Id="rId1013" Type="http://schemas.openxmlformats.org/officeDocument/2006/relationships/hyperlink" Target="https://monitoramento.pm.pr.gov.br/proxy_image_8/" TargetMode="External"/><Relationship Id="rId661" Type="http://schemas.openxmlformats.org/officeDocument/2006/relationships/hyperlink" Target="https://monitoramento.pm.pr.gov.br/proxy_image_1/" TargetMode="External"/><Relationship Id="rId1014" Type="http://schemas.openxmlformats.org/officeDocument/2006/relationships/hyperlink" Target="https://monitoramento.pm.pr.gov.br/proxy_image_8/" TargetMode="External"/><Relationship Id="rId1004" Type="http://schemas.openxmlformats.org/officeDocument/2006/relationships/hyperlink" Target="https://monitoramento.pm.pr.gov.br/proxy_image_8/" TargetMode="External"/><Relationship Id="rId1005" Type="http://schemas.openxmlformats.org/officeDocument/2006/relationships/hyperlink" Target="https://monitoramento.pm.pr.gov.br/proxy_image_8/" TargetMode="External"/><Relationship Id="rId1006" Type="http://schemas.openxmlformats.org/officeDocument/2006/relationships/hyperlink" Target="https://monitoramento.pm.pr.gov.br/proxy_image_8/" TargetMode="External"/><Relationship Id="rId1007" Type="http://schemas.openxmlformats.org/officeDocument/2006/relationships/hyperlink" Target="https://monitoramento.pm.pr.gov.br/proxy_image_8/" TargetMode="External"/><Relationship Id="rId1008" Type="http://schemas.openxmlformats.org/officeDocument/2006/relationships/hyperlink" Target="https://monitoramento.pm.pr.gov.br/proxy_image_8/" TargetMode="External"/><Relationship Id="rId1009" Type="http://schemas.openxmlformats.org/officeDocument/2006/relationships/hyperlink" Target="https://monitoramento.pm.pr.gov.br/proxy_image_8/" TargetMode="External"/><Relationship Id="rId415" Type="http://schemas.openxmlformats.org/officeDocument/2006/relationships/hyperlink" Target="https://monitoramento.pm.pr.gov.br/proxy_image_1/" TargetMode="External"/><Relationship Id="rId657" Type="http://schemas.openxmlformats.org/officeDocument/2006/relationships/hyperlink" Target="https://monitoramento.pm.pr.gov.br/proxy_image_1/" TargetMode="External"/><Relationship Id="rId899" Type="http://schemas.openxmlformats.org/officeDocument/2006/relationships/hyperlink" Target="https://monitoramento.pm.pr.gov.br/proxy_image_8/" TargetMode="External"/><Relationship Id="rId414" Type="http://schemas.openxmlformats.org/officeDocument/2006/relationships/hyperlink" Target="https://monitoramento.pm.pr.gov.br/proxy_image_1/" TargetMode="External"/><Relationship Id="rId656" Type="http://schemas.openxmlformats.org/officeDocument/2006/relationships/hyperlink" Target="https://monitoramento.pm.pr.gov.br/proxy_image_1/" TargetMode="External"/><Relationship Id="rId898" Type="http://schemas.openxmlformats.org/officeDocument/2006/relationships/hyperlink" Target="https://monitoramento.pm.pr.gov.br/proxy_image_8/" TargetMode="External"/><Relationship Id="rId413" Type="http://schemas.openxmlformats.org/officeDocument/2006/relationships/hyperlink" Target="https://monitoramento.pm.pr.gov.br/proxy_image_1/" TargetMode="External"/><Relationship Id="rId655" Type="http://schemas.openxmlformats.org/officeDocument/2006/relationships/hyperlink" Target="https://monitoramento.pm.pr.gov.br/proxy_image_1/" TargetMode="External"/><Relationship Id="rId897" Type="http://schemas.openxmlformats.org/officeDocument/2006/relationships/hyperlink" Target="https://monitoramento.pm.pr.gov.br/proxy_image_8/" TargetMode="External"/><Relationship Id="rId412" Type="http://schemas.openxmlformats.org/officeDocument/2006/relationships/hyperlink" Target="https://monitoramento.pm.pr.gov.br/proxy_image_1/" TargetMode="External"/><Relationship Id="rId654" Type="http://schemas.openxmlformats.org/officeDocument/2006/relationships/hyperlink" Target="https://monitoramento.pm.pr.gov.br/proxy_image_1/" TargetMode="External"/><Relationship Id="rId896" Type="http://schemas.openxmlformats.org/officeDocument/2006/relationships/hyperlink" Target="https://monitoramento.pm.pr.gov.br/proxy_image_8/" TargetMode="External"/><Relationship Id="rId419" Type="http://schemas.openxmlformats.org/officeDocument/2006/relationships/hyperlink" Target="https://monitoramento.pm.pr.gov.br/proxy_image_1/" TargetMode="External"/><Relationship Id="rId418" Type="http://schemas.openxmlformats.org/officeDocument/2006/relationships/hyperlink" Target="https://monitoramento.pm.pr.gov.br/proxy_image_1/" TargetMode="External"/><Relationship Id="rId417" Type="http://schemas.openxmlformats.org/officeDocument/2006/relationships/hyperlink" Target="https://monitoramento.pm.pr.gov.br/proxy_image_1/" TargetMode="External"/><Relationship Id="rId659" Type="http://schemas.openxmlformats.org/officeDocument/2006/relationships/hyperlink" Target="https://monitoramento.pm.pr.gov.br/proxy_image_1/" TargetMode="External"/><Relationship Id="rId416" Type="http://schemas.openxmlformats.org/officeDocument/2006/relationships/hyperlink" Target="https://monitoramento.pm.pr.gov.br/proxy_image_1/" TargetMode="External"/><Relationship Id="rId658" Type="http://schemas.openxmlformats.org/officeDocument/2006/relationships/hyperlink" Target="https://monitoramento.pm.pr.gov.br/proxy_image_1/" TargetMode="External"/><Relationship Id="rId891" Type="http://schemas.openxmlformats.org/officeDocument/2006/relationships/hyperlink" Target="https://monitoramento.pm.pr.gov.br/proxy_image_8/" TargetMode="External"/><Relationship Id="rId890" Type="http://schemas.openxmlformats.org/officeDocument/2006/relationships/hyperlink" Target="https://monitoramento.pm.pr.gov.br/proxy_image_8/" TargetMode="External"/><Relationship Id="rId411" Type="http://schemas.openxmlformats.org/officeDocument/2006/relationships/hyperlink" Target="https://monitoramento.pm.pr.gov.br/proxy_image_1/" TargetMode="External"/><Relationship Id="rId653" Type="http://schemas.openxmlformats.org/officeDocument/2006/relationships/hyperlink" Target="https://monitoramento.pm.pr.gov.br/proxy_image_1/" TargetMode="External"/><Relationship Id="rId895" Type="http://schemas.openxmlformats.org/officeDocument/2006/relationships/hyperlink" Target="https://monitoramento.pm.pr.gov.br/proxy_image_8/" TargetMode="External"/><Relationship Id="rId1000" Type="http://schemas.openxmlformats.org/officeDocument/2006/relationships/hyperlink" Target="https://monitoramento.pm.pr.gov.br/proxy_image_8/" TargetMode="External"/><Relationship Id="rId410" Type="http://schemas.openxmlformats.org/officeDocument/2006/relationships/hyperlink" Target="https://monitoramento.pm.pr.gov.br/proxy_image_1/" TargetMode="External"/><Relationship Id="rId652" Type="http://schemas.openxmlformats.org/officeDocument/2006/relationships/hyperlink" Target="https://monitoramento.pm.pr.gov.br/proxy_image_1/" TargetMode="External"/><Relationship Id="rId894" Type="http://schemas.openxmlformats.org/officeDocument/2006/relationships/hyperlink" Target="https://monitoramento.pm.pr.gov.br/proxy_image_8/" TargetMode="External"/><Relationship Id="rId1001" Type="http://schemas.openxmlformats.org/officeDocument/2006/relationships/hyperlink" Target="https://monitoramento.pm.pr.gov.br/proxy_image_8/" TargetMode="External"/><Relationship Id="rId651" Type="http://schemas.openxmlformats.org/officeDocument/2006/relationships/hyperlink" Target="https://monitoramento.pm.pr.gov.br/proxy_image_1/" TargetMode="External"/><Relationship Id="rId893" Type="http://schemas.openxmlformats.org/officeDocument/2006/relationships/hyperlink" Target="https://monitoramento.pm.pr.gov.br/proxy_image_8/" TargetMode="External"/><Relationship Id="rId1002" Type="http://schemas.openxmlformats.org/officeDocument/2006/relationships/hyperlink" Target="https://monitoramento.pm.pr.gov.br/proxy_image_8/" TargetMode="External"/><Relationship Id="rId650" Type="http://schemas.openxmlformats.org/officeDocument/2006/relationships/hyperlink" Target="https://monitoramento.pm.pr.gov.br/proxy_image_1/" TargetMode="External"/><Relationship Id="rId892" Type="http://schemas.openxmlformats.org/officeDocument/2006/relationships/hyperlink" Target="https://monitoramento.pm.pr.gov.br/proxy_image_8/" TargetMode="External"/><Relationship Id="rId1003" Type="http://schemas.openxmlformats.org/officeDocument/2006/relationships/hyperlink" Target="https://monitoramento.pm.pr.gov.br/proxy_image_8/" TargetMode="External"/><Relationship Id="rId1037" Type="http://schemas.openxmlformats.org/officeDocument/2006/relationships/hyperlink" Target="https://monitoramento.pm.pr.gov.br/proxy_image_8/" TargetMode="External"/><Relationship Id="rId1038" Type="http://schemas.openxmlformats.org/officeDocument/2006/relationships/hyperlink" Target="https://monitoramento.pm.pr.gov.br/proxy_image_8/" TargetMode="External"/><Relationship Id="rId1039" Type="http://schemas.openxmlformats.org/officeDocument/2006/relationships/hyperlink" Target="https://monitoramento.pm.pr.gov.br/proxy_image_8/" TargetMode="External"/><Relationship Id="rId206" Type="http://schemas.openxmlformats.org/officeDocument/2006/relationships/hyperlink" Target="https://monitoramento.pm.pr.gov.br/proxy_image_1/" TargetMode="External"/><Relationship Id="rId448" Type="http://schemas.openxmlformats.org/officeDocument/2006/relationships/hyperlink" Target="https://monitoramento.pm.pr.gov.br/proxy_image_1/" TargetMode="External"/><Relationship Id="rId205" Type="http://schemas.openxmlformats.org/officeDocument/2006/relationships/hyperlink" Target="https://monitoramento.pm.pr.gov.br/proxy_image_1/" TargetMode="External"/><Relationship Id="rId447" Type="http://schemas.openxmlformats.org/officeDocument/2006/relationships/hyperlink" Target="https://monitoramento.pm.pr.gov.br/proxy_image_1/" TargetMode="External"/><Relationship Id="rId689" Type="http://schemas.openxmlformats.org/officeDocument/2006/relationships/hyperlink" Target="https://monitoramento.pm.pr.gov.br/proxy_image_1/" TargetMode="External"/><Relationship Id="rId204" Type="http://schemas.openxmlformats.org/officeDocument/2006/relationships/hyperlink" Target="https://monitoramento.pm.pr.gov.br/proxy_image_1/" TargetMode="External"/><Relationship Id="rId446" Type="http://schemas.openxmlformats.org/officeDocument/2006/relationships/hyperlink" Target="https://monitoramento.pm.pr.gov.br/proxy_image_1/" TargetMode="External"/><Relationship Id="rId688" Type="http://schemas.openxmlformats.org/officeDocument/2006/relationships/hyperlink" Target="https://monitoramento.pm.pr.gov.br/proxy_image_1/" TargetMode="External"/><Relationship Id="rId203" Type="http://schemas.openxmlformats.org/officeDocument/2006/relationships/hyperlink" Target="https://monitoramento.pm.pr.gov.br/proxy_image_1/" TargetMode="External"/><Relationship Id="rId445" Type="http://schemas.openxmlformats.org/officeDocument/2006/relationships/hyperlink" Target="https://monitoramento.pm.pr.gov.br/proxy_image_1/" TargetMode="External"/><Relationship Id="rId687" Type="http://schemas.openxmlformats.org/officeDocument/2006/relationships/hyperlink" Target="https://monitoramento.pm.pr.gov.br/proxy_image_1/" TargetMode="External"/><Relationship Id="rId209" Type="http://schemas.openxmlformats.org/officeDocument/2006/relationships/hyperlink" Target="https://monitoramento.pm.pr.gov.br/proxy_image_1/" TargetMode="External"/><Relationship Id="rId208" Type="http://schemas.openxmlformats.org/officeDocument/2006/relationships/hyperlink" Target="https://monitoramento.pm.pr.gov.br/proxy_image_1/" TargetMode="External"/><Relationship Id="rId207" Type="http://schemas.openxmlformats.org/officeDocument/2006/relationships/hyperlink" Target="https://monitoramento.pm.pr.gov.br/proxy_image_1/" TargetMode="External"/><Relationship Id="rId449" Type="http://schemas.openxmlformats.org/officeDocument/2006/relationships/hyperlink" Target="https://monitoramento.pm.pr.gov.br/proxy_image_1/" TargetMode="External"/><Relationship Id="rId440" Type="http://schemas.openxmlformats.org/officeDocument/2006/relationships/hyperlink" Target="https://monitoramento.pm.pr.gov.br/proxy_image_1/" TargetMode="External"/><Relationship Id="rId682" Type="http://schemas.openxmlformats.org/officeDocument/2006/relationships/hyperlink" Target="https://monitoramento.pm.pr.gov.br/proxy_image_1/" TargetMode="External"/><Relationship Id="rId681" Type="http://schemas.openxmlformats.org/officeDocument/2006/relationships/hyperlink" Target="https://monitoramento.pm.pr.gov.br/proxy_image_1/" TargetMode="External"/><Relationship Id="rId1030" Type="http://schemas.openxmlformats.org/officeDocument/2006/relationships/hyperlink" Target="https://monitoramento.pm.pr.gov.br/proxy_image_8/" TargetMode="External"/><Relationship Id="rId680" Type="http://schemas.openxmlformats.org/officeDocument/2006/relationships/hyperlink" Target="https://monitoramento.pm.pr.gov.br/proxy_image_1/" TargetMode="External"/><Relationship Id="rId1031" Type="http://schemas.openxmlformats.org/officeDocument/2006/relationships/hyperlink" Target="https://monitoramento.pm.pr.gov.br/proxy_image_8/" TargetMode="External"/><Relationship Id="rId1032" Type="http://schemas.openxmlformats.org/officeDocument/2006/relationships/hyperlink" Target="https://monitoramento.pm.pr.gov.br/proxy_image_8/" TargetMode="External"/><Relationship Id="rId202" Type="http://schemas.openxmlformats.org/officeDocument/2006/relationships/hyperlink" Target="https://monitoramento.pm.pr.gov.br/proxy_image_1/" TargetMode="External"/><Relationship Id="rId444" Type="http://schemas.openxmlformats.org/officeDocument/2006/relationships/hyperlink" Target="https://monitoramento.pm.pr.gov.br/proxy_image_1/" TargetMode="External"/><Relationship Id="rId686" Type="http://schemas.openxmlformats.org/officeDocument/2006/relationships/hyperlink" Target="https://monitoramento.pm.pr.gov.br/proxy_image_1/" TargetMode="External"/><Relationship Id="rId1033" Type="http://schemas.openxmlformats.org/officeDocument/2006/relationships/hyperlink" Target="https://monitoramento.pm.pr.gov.br/proxy_image_8/" TargetMode="External"/><Relationship Id="rId201" Type="http://schemas.openxmlformats.org/officeDocument/2006/relationships/hyperlink" Target="https://monitoramento.pm.pr.gov.br/proxy_image_1/" TargetMode="External"/><Relationship Id="rId443" Type="http://schemas.openxmlformats.org/officeDocument/2006/relationships/hyperlink" Target="https://monitoramento.pm.pr.gov.br/proxy_image_1/" TargetMode="External"/><Relationship Id="rId685" Type="http://schemas.openxmlformats.org/officeDocument/2006/relationships/hyperlink" Target="https://monitoramento.pm.pr.gov.br/proxy_image_1/" TargetMode="External"/><Relationship Id="rId1034" Type="http://schemas.openxmlformats.org/officeDocument/2006/relationships/hyperlink" Target="https://monitoramento.pm.pr.gov.br/proxy_image_8/" TargetMode="External"/><Relationship Id="rId200" Type="http://schemas.openxmlformats.org/officeDocument/2006/relationships/hyperlink" Target="https://monitoramento.pm.pr.gov.br/proxy_image_1/" TargetMode="External"/><Relationship Id="rId442" Type="http://schemas.openxmlformats.org/officeDocument/2006/relationships/hyperlink" Target="https://monitoramento.pm.pr.gov.br/proxy_image_1/" TargetMode="External"/><Relationship Id="rId684" Type="http://schemas.openxmlformats.org/officeDocument/2006/relationships/hyperlink" Target="https://monitoramento.pm.pr.gov.br/proxy_image_1/" TargetMode="External"/><Relationship Id="rId1035" Type="http://schemas.openxmlformats.org/officeDocument/2006/relationships/hyperlink" Target="https://monitoramento.pm.pr.gov.br/proxy_image_8/" TargetMode="External"/><Relationship Id="rId441" Type="http://schemas.openxmlformats.org/officeDocument/2006/relationships/hyperlink" Target="https://monitoramento.pm.pr.gov.br/proxy_image_1/" TargetMode="External"/><Relationship Id="rId683" Type="http://schemas.openxmlformats.org/officeDocument/2006/relationships/hyperlink" Target="https://monitoramento.pm.pr.gov.br/proxy_image_1/" TargetMode="External"/><Relationship Id="rId1036" Type="http://schemas.openxmlformats.org/officeDocument/2006/relationships/hyperlink" Target="https://monitoramento.pm.pr.gov.br/proxy_image_8/" TargetMode="External"/><Relationship Id="rId1026" Type="http://schemas.openxmlformats.org/officeDocument/2006/relationships/hyperlink" Target="https://monitoramento.pm.pr.gov.br/proxy_image_8/" TargetMode="External"/><Relationship Id="rId1027" Type="http://schemas.openxmlformats.org/officeDocument/2006/relationships/hyperlink" Target="https://monitoramento.pm.pr.gov.br/proxy_image_8/" TargetMode="External"/><Relationship Id="rId1028" Type="http://schemas.openxmlformats.org/officeDocument/2006/relationships/hyperlink" Target="https://monitoramento.pm.pr.gov.br/proxy_image_8/" TargetMode="External"/><Relationship Id="rId1029" Type="http://schemas.openxmlformats.org/officeDocument/2006/relationships/hyperlink" Target="https://monitoramento.pm.pr.gov.br/proxy_image_8/" TargetMode="External"/><Relationship Id="rId437" Type="http://schemas.openxmlformats.org/officeDocument/2006/relationships/hyperlink" Target="https://monitoramento.pm.pr.gov.br/proxy_image_1/" TargetMode="External"/><Relationship Id="rId679" Type="http://schemas.openxmlformats.org/officeDocument/2006/relationships/hyperlink" Target="https://monitoramento.pm.pr.gov.br/proxy_image_1/" TargetMode="External"/><Relationship Id="rId436" Type="http://schemas.openxmlformats.org/officeDocument/2006/relationships/hyperlink" Target="https://monitoramento.pm.pr.gov.br/proxy_image_1/" TargetMode="External"/><Relationship Id="rId678" Type="http://schemas.openxmlformats.org/officeDocument/2006/relationships/hyperlink" Target="https://monitoramento.pm.pr.gov.br/proxy_image_1/" TargetMode="External"/><Relationship Id="rId435" Type="http://schemas.openxmlformats.org/officeDocument/2006/relationships/hyperlink" Target="https://monitoramento.pm.pr.gov.br/proxy_image_1/" TargetMode="External"/><Relationship Id="rId677" Type="http://schemas.openxmlformats.org/officeDocument/2006/relationships/hyperlink" Target="https://monitoramento.pm.pr.gov.br/proxy_image_1/" TargetMode="External"/><Relationship Id="rId434" Type="http://schemas.openxmlformats.org/officeDocument/2006/relationships/hyperlink" Target="https://monitoramento.pm.pr.gov.br/proxy_image_1/" TargetMode="External"/><Relationship Id="rId676" Type="http://schemas.openxmlformats.org/officeDocument/2006/relationships/hyperlink" Target="https://monitoramento.pm.pr.gov.br/proxy_image_1/" TargetMode="External"/><Relationship Id="rId439" Type="http://schemas.openxmlformats.org/officeDocument/2006/relationships/hyperlink" Target="https://monitoramento.pm.pr.gov.br/proxy_image_1/" TargetMode="External"/><Relationship Id="rId438" Type="http://schemas.openxmlformats.org/officeDocument/2006/relationships/hyperlink" Target="https://monitoramento.pm.pr.gov.br/proxy_image_1/" TargetMode="External"/><Relationship Id="rId671" Type="http://schemas.openxmlformats.org/officeDocument/2006/relationships/hyperlink" Target="https://monitoramento.pm.pr.gov.br/proxy_image_1/" TargetMode="External"/><Relationship Id="rId670" Type="http://schemas.openxmlformats.org/officeDocument/2006/relationships/hyperlink" Target="https://monitoramento.pm.pr.gov.br/proxy_image_1/" TargetMode="External"/><Relationship Id="rId1020" Type="http://schemas.openxmlformats.org/officeDocument/2006/relationships/hyperlink" Target="https://monitoramento.pm.pr.gov.br/proxy_image_8/" TargetMode="External"/><Relationship Id="rId1021" Type="http://schemas.openxmlformats.org/officeDocument/2006/relationships/hyperlink" Target="https://monitoramento.pm.pr.gov.br/proxy_image_8/" TargetMode="External"/><Relationship Id="rId433" Type="http://schemas.openxmlformats.org/officeDocument/2006/relationships/hyperlink" Target="https://monitoramento.pm.pr.gov.br/proxy_image_1/" TargetMode="External"/><Relationship Id="rId675" Type="http://schemas.openxmlformats.org/officeDocument/2006/relationships/hyperlink" Target="https://monitoramento.pm.pr.gov.br/proxy_image_1/" TargetMode="External"/><Relationship Id="rId1022" Type="http://schemas.openxmlformats.org/officeDocument/2006/relationships/hyperlink" Target="https://monitoramento.pm.pr.gov.br/proxy_image_8/" TargetMode="External"/><Relationship Id="rId432" Type="http://schemas.openxmlformats.org/officeDocument/2006/relationships/hyperlink" Target="https://monitoramento.pm.pr.gov.br/proxy_image_1/" TargetMode="External"/><Relationship Id="rId674" Type="http://schemas.openxmlformats.org/officeDocument/2006/relationships/hyperlink" Target="https://monitoramento.pm.pr.gov.br/proxy_image_1/" TargetMode="External"/><Relationship Id="rId1023" Type="http://schemas.openxmlformats.org/officeDocument/2006/relationships/hyperlink" Target="https://monitoramento.pm.pr.gov.br/proxy_image_8/" TargetMode="External"/><Relationship Id="rId431" Type="http://schemas.openxmlformats.org/officeDocument/2006/relationships/hyperlink" Target="https://monitoramento.pm.pr.gov.br/proxy_image_1/" TargetMode="External"/><Relationship Id="rId673" Type="http://schemas.openxmlformats.org/officeDocument/2006/relationships/hyperlink" Target="https://monitoramento.pm.pr.gov.br/proxy_image_1/" TargetMode="External"/><Relationship Id="rId1024" Type="http://schemas.openxmlformats.org/officeDocument/2006/relationships/hyperlink" Target="https://monitoramento.pm.pr.gov.br/proxy_image_8/" TargetMode="External"/><Relationship Id="rId430" Type="http://schemas.openxmlformats.org/officeDocument/2006/relationships/hyperlink" Target="https://monitoramento.pm.pr.gov.br/proxy_image_1/" TargetMode="External"/><Relationship Id="rId672" Type="http://schemas.openxmlformats.org/officeDocument/2006/relationships/hyperlink" Target="https://monitoramento.pm.pr.gov.br/proxy_image_1/" TargetMode="External"/><Relationship Id="rId1025" Type="http://schemas.openxmlformats.org/officeDocument/2006/relationships/hyperlink" Target="https://monitoramento.pm.pr.gov.br/proxy_image_8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32.75"/>
    <col customWidth="1" min="3" max="3" width="77.88"/>
    <col customWidth="1" min="4" max="4" width="7.63"/>
    <col customWidth="1" min="5" max="5" width="45.5"/>
    <col customWidth="1" min="6" max="6" width="57.0"/>
    <col customWidth="1" min="7" max="7" width="13.5"/>
    <col customWidth="1" min="8" max="8" width="11.13"/>
    <col customWidth="1" min="9" max="9" width="12.75"/>
    <col customWidth="1" min="10" max="10" width="12.13"/>
    <col customWidth="1" min="11" max="11" width="5.63"/>
    <col customWidth="1" min="13" max="13" width="5.13"/>
    <col customWidth="1" min="14" max="14" width="9.63"/>
    <col customWidth="1" min="15" max="15" width="187.38"/>
    <col customWidth="1" min="16" max="16" width="7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</row>
    <row r="2">
      <c r="A2" s="7" t="s">
        <v>16</v>
      </c>
      <c r="B2" s="2" t="s">
        <v>17</v>
      </c>
      <c r="C2" s="8" t="s">
        <v>18</v>
      </c>
      <c r="D2" s="9">
        <v>18601.0</v>
      </c>
      <c r="E2" s="9" t="s">
        <v>19</v>
      </c>
      <c r="F2" s="10" t="s">
        <v>20</v>
      </c>
      <c r="G2" s="4" t="s">
        <v>21</v>
      </c>
      <c r="H2" s="4" t="s">
        <v>22</v>
      </c>
      <c r="I2" s="5" t="s">
        <v>23</v>
      </c>
      <c r="J2" s="5" t="s">
        <v>24</v>
      </c>
      <c r="K2" s="5" t="s">
        <v>25</v>
      </c>
      <c r="L2" s="11" t="s">
        <v>26</v>
      </c>
      <c r="M2" s="5" t="s">
        <v>27</v>
      </c>
      <c r="N2" t="str">
        <f t="shared" ref="N2:N528" si="1">$A2</f>
        <v>URBS 1</v>
      </c>
      <c r="O2" s="12" t="str">
        <f t="shared" ref="O2:O1058" si="2">IF($P2=1,IF($L2 = "Digifort",CONCATENATE($C2,"Interface/Cameras/GetJPEGStream?Camera=",$E2,"&amp;AuthUser=",$I2,"&amp;AuthPass=",$J2,"&amp;Width=1024&amp;Height=768&amp;Quality=70&amp;FPS=10&amp;ResponseFormat=Text"),IF($L2 = "Axxon",CONCATENATE($K2,"://",$I2,":",$J2,"@",$C2,":",$D2,"/live/media/",$N2,"/DeviceIpint.",$E2,"/SourceEndpoint.video:0:0?w=1024&amp;h=768"),"#")),"#")</f>
        <v>https://monitoramento.pm.pr.gov.br/proxy_image_1/Interface/Cameras/GetJPEGStream?Camera=Camera01&amp;AuthUser=copom_DDTQ&amp;AuthPass=DDTQcopom&amp;Width=1024&amp;Height=768&amp;Quality=70&amp;FPS=10&amp;ResponseFormat=Text</v>
      </c>
      <c r="P2" s="6">
        <v>1.0</v>
      </c>
    </row>
    <row r="3">
      <c r="A3" s="7" t="s">
        <v>16</v>
      </c>
      <c r="B3" s="2" t="s">
        <v>17</v>
      </c>
      <c r="C3" s="13" t="s">
        <v>18</v>
      </c>
      <c r="D3" s="9">
        <v>18601.0</v>
      </c>
      <c r="E3" s="9" t="s">
        <v>28</v>
      </c>
      <c r="F3" s="14" t="s">
        <v>29</v>
      </c>
      <c r="G3" s="4" t="s">
        <v>30</v>
      </c>
      <c r="H3" s="4" t="s">
        <v>31</v>
      </c>
      <c r="I3" s="5" t="s">
        <v>23</v>
      </c>
      <c r="J3" s="5" t="s">
        <v>24</v>
      </c>
      <c r="K3" s="5" t="s">
        <v>25</v>
      </c>
      <c r="L3" s="11" t="s">
        <v>26</v>
      </c>
      <c r="M3" s="5" t="s">
        <v>27</v>
      </c>
      <c r="N3" t="str">
        <f t="shared" si="1"/>
        <v>URBS 1</v>
      </c>
      <c r="O3" s="12" t="str">
        <f t="shared" si="2"/>
        <v>https://monitoramento.pm.pr.gov.br/proxy_image_1/Interface/Cameras/GetJPEGStream?Camera=Camera02&amp;AuthUser=copom_DDTQ&amp;AuthPass=DDTQcopom&amp;Width=1024&amp;Height=768&amp;Quality=70&amp;FPS=10&amp;ResponseFormat=Text</v>
      </c>
      <c r="P3" s="6">
        <v>1.0</v>
      </c>
    </row>
    <row r="4">
      <c r="A4" s="7" t="s">
        <v>16</v>
      </c>
      <c r="B4" s="2" t="s">
        <v>17</v>
      </c>
      <c r="C4" s="13" t="s">
        <v>18</v>
      </c>
      <c r="D4" s="9">
        <v>18601.0</v>
      </c>
      <c r="E4" s="9" t="s">
        <v>32</v>
      </c>
      <c r="F4" s="14" t="s">
        <v>33</v>
      </c>
      <c r="G4" s="4" t="s">
        <v>34</v>
      </c>
      <c r="H4" s="4" t="s">
        <v>35</v>
      </c>
      <c r="I4" s="5" t="s">
        <v>23</v>
      </c>
      <c r="J4" s="5" t="s">
        <v>24</v>
      </c>
      <c r="K4" s="5" t="s">
        <v>25</v>
      </c>
      <c r="L4" s="11" t="s">
        <v>26</v>
      </c>
      <c r="M4" s="5" t="s">
        <v>27</v>
      </c>
      <c r="N4" t="str">
        <f t="shared" si="1"/>
        <v>URBS 1</v>
      </c>
      <c r="O4" s="12" t="str">
        <f t="shared" si="2"/>
        <v>https://monitoramento.pm.pr.gov.br/proxy_image_1/Interface/Cameras/GetJPEGStream?Camera=Camera03&amp;AuthUser=copom_DDTQ&amp;AuthPass=DDTQcopom&amp;Width=1024&amp;Height=768&amp;Quality=70&amp;FPS=10&amp;ResponseFormat=Text</v>
      </c>
      <c r="P4" s="6">
        <v>1.0</v>
      </c>
    </row>
    <row r="5">
      <c r="A5" s="7" t="s">
        <v>16</v>
      </c>
      <c r="B5" s="2" t="s">
        <v>17</v>
      </c>
      <c r="C5" s="13" t="s">
        <v>18</v>
      </c>
      <c r="D5" s="9">
        <v>18601.0</v>
      </c>
      <c r="E5" s="9" t="s">
        <v>36</v>
      </c>
      <c r="F5" s="14" t="s">
        <v>37</v>
      </c>
      <c r="G5" s="4" t="s">
        <v>38</v>
      </c>
      <c r="H5" s="4" t="s">
        <v>39</v>
      </c>
      <c r="I5" s="5" t="s">
        <v>23</v>
      </c>
      <c r="J5" s="5" t="s">
        <v>24</v>
      </c>
      <c r="K5" s="5" t="s">
        <v>25</v>
      </c>
      <c r="L5" s="11" t="s">
        <v>26</v>
      </c>
      <c r="M5" s="5" t="s">
        <v>27</v>
      </c>
      <c r="N5" t="str">
        <f t="shared" si="1"/>
        <v>URBS 1</v>
      </c>
      <c r="O5" s="12" t="str">
        <f t="shared" si="2"/>
        <v>https://monitoramento.pm.pr.gov.br/proxy_image_1/Interface/Cameras/GetJPEGStream?Camera=Camera04&amp;AuthUser=copom_DDTQ&amp;AuthPass=DDTQcopom&amp;Width=1024&amp;Height=768&amp;Quality=70&amp;FPS=10&amp;ResponseFormat=Text</v>
      </c>
      <c r="P5" s="6">
        <v>1.0</v>
      </c>
    </row>
    <row r="6">
      <c r="A6" s="7" t="s">
        <v>16</v>
      </c>
      <c r="B6" s="2" t="s">
        <v>17</v>
      </c>
      <c r="C6" s="13" t="s">
        <v>18</v>
      </c>
      <c r="D6" s="9">
        <v>18601.0</v>
      </c>
      <c r="E6" s="9" t="s">
        <v>40</v>
      </c>
      <c r="F6" s="14" t="s">
        <v>41</v>
      </c>
      <c r="G6" s="4" t="s">
        <v>42</v>
      </c>
      <c r="H6" s="4" t="s">
        <v>43</v>
      </c>
      <c r="I6" s="5" t="s">
        <v>23</v>
      </c>
      <c r="J6" s="5" t="s">
        <v>24</v>
      </c>
      <c r="K6" s="5" t="s">
        <v>25</v>
      </c>
      <c r="L6" s="11" t="s">
        <v>26</v>
      </c>
      <c r="M6" s="5" t="s">
        <v>27</v>
      </c>
      <c r="N6" t="str">
        <f t="shared" si="1"/>
        <v>URBS 1</v>
      </c>
      <c r="O6" s="12" t="str">
        <f t="shared" si="2"/>
        <v>https://monitoramento.pm.pr.gov.br/proxy_image_1/Interface/Cameras/GetJPEGStream?Camera=Camera05&amp;AuthUser=copom_DDTQ&amp;AuthPass=DDTQcopom&amp;Width=1024&amp;Height=768&amp;Quality=70&amp;FPS=10&amp;ResponseFormat=Text</v>
      </c>
      <c r="P6" s="6">
        <v>1.0</v>
      </c>
    </row>
    <row r="7">
      <c r="A7" s="7" t="s">
        <v>16</v>
      </c>
      <c r="B7" s="2" t="s">
        <v>17</v>
      </c>
      <c r="C7" s="13" t="s">
        <v>18</v>
      </c>
      <c r="D7" s="9">
        <v>18601.0</v>
      </c>
      <c r="E7" s="9" t="s">
        <v>44</v>
      </c>
      <c r="F7" s="14" t="s">
        <v>45</v>
      </c>
      <c r="G7" s="4" t="s">
        <v>46</v>
      </c>
      <c r="H7" s="4" t="s">
        <v>47</v>
      </c>
      <c r="I7" s="5" t="s">
        <v>23</v>
      </c>
      <c r="J7" s="5" t="s">
        <v>24</v>
      </c>
      <c r="K7" s="5" t="s">
        <v>25</v>
      </c>
      <c r="L7" s="11" t="s">
        <v>26</v>
      </c>
      <c r="M7" s="5" t="s">
        <v>27</v>
      </c>
      <c r="N7" t="str">
        <f t="shared" si="1"/>
        <v>URBS 1</v>
      </c>
      <c r="O7" s="12" t="str">
        <f t="shared" si="2"/>
        <v>https://monitoramento.pm.pr.gov.br/proxy_image_1/Interface/Cameras/GetJPEGStream?Camera=Camera06&amp;AuthUser=copom_DDTQ&amp;AuthPass=DDTQcopom&amp;Width=1024&amp;Height=768&amp;Quality=70&amp;FPS=10&amp;ResponseFormat=Text</v>
      </c>
      <c r="P7" s="6">
        <v>1.0</v>
      </c>
    </row>
    <row r="8">
      <c r="A8" s="7" t="s">
        <v>16</v>
      </c>
      <c r="B8" s="2" t="s">
        <v>17</v>
      </c>
      <c r="C8" s="13" t="s">
        <v>18</v>
      </c>
      <c r="D8" s="9">
        <v>18601.0</v>
      </c>
      <c r="E8" s="9" t="s">
        <v>48</v>
      </c>
      <c r="F8" s="14" t="s">
        <v>49</v>
      </c>
      <c r="G8" s="4" t="s">
        <v>50</v>
      </c>
      <c r="H8" s="4" t="s">
        <v>51</v>
      </c>
      <c r="I8" s="5" t="s">
        <v>23</v>
      </c>
      <c r="J8" s="5" t="s">
        <v>24</v>
      </c>
      <c r="K8" s="5" t="s">
        <v>25</v>
      </c>
      <c r="L8" s="11" t="s">
        <v>26</v>
      </c>
      <c r="M8" s="5" t="s">
        <v>27</v>
      </c>
      <c r="N8" t="str">
        <f t="shared" si="1"/>
        <v>URBS 1</v>
      </c>
      <c r="O8" s="12" t="str">
        <f t="shared" si="2"/>
        <v>https://monitoramento.pm.pr.gov.br/proxy_image_1/Interface/Cameras/GetJPEGStream?Camera=Camera07&amp;AuthUser=copom_DDTQ&amp;AuthPass=DDTQcopom&amp;Width=1024&amp;Height=768&amp;Quality=70&amp;FPS=10&amp;ResponseFormat=Text</v>
      </c>
      <c r="P8" s="6">
        <v>1.0</v>
      </c>
    </row>
    <row r="9">
      <c r="A9" s="7" t="s">
        <v>16</v>
      </c>
      <c r="B9" s="2" t="s">
        <v>17</v>
      </c>
      <c r="C9" s="13" t="s">
        <v>18</v>
      </c>
      <c r="D9" s="9">
        <v>18601.0</v>
      </c>
      <c r="E9" s="9" t="s">
        <v>52</v>
      </c>
      <c r="F9" s="14" t="s">
        <v>53</v>
      </c>
      <c r="G9" s="4" t="s">
        <v>54</v>
      </c>
      <c r="H9" s="4" t="s">
        <v>55</v>
      </c>
      <c r="I9" s="5" t="s">
        <v>23</v>
      </c>
      <c r="J9" s="5" t="s">
        <v>24</v>
      </c>
      <c r="K9" s="5" t="s">
        <v>25</v>
      </c>
      <c r="L9" s="11" t="s">
        <v>26</v>
      </c>
      <c r="M9" s="5" t="s">
        <v>27</v>
      </c>
      <c r="N9" t="str">
        <f t="shared" si="1"/>
        <v>URBS 1</v>
      </c>
      <c r="O9" s="12" t="str">
        <f t="shared" si="2"/>
        <v>https://monitoramento.pm.pr.gov.br/proxy_image_1/Interface/Cameras/GetJPEGStream?Camera=Camera08&amp;AuthUser=copom_DDTQ&amp;AuthPass=DDTQcopom&amp;Width=1024&amp;Height=768&amp;Quality=70&amp;FPS=10&amp;ResponseFormat=Text</v>
      </c>
      <c r="P9" s="6">
        <v>1.0</v>
      </c>
    </row>
    <row r="10">
      <c r="A10" s="7" t="s">
        <v>16</v>
      </c>
      <c r="B10" s="2" t="s">
        <v>17</v>
      </c>
      <c r="C10" s="13" t="s">
        <v>18</v>
      </c>
      <c r="D10" s="9">
        <v>18601.0</v>
      </c>
      <c r="E10" s="9" t="s">
        <v>56</v>
      </c>
      <c r="F10" s="14" t="s">
        <v>57</v>
      </c>
      <c r="G10" s="4" t="s">
        <v>58</v>
      </c>
      <c r="H10" s="4" t="s">
        <v>59</v>
      </c>
      <c r="I10" s="5" t="s">
        <v>23</v>
      </c>
      <c r="J10" s="5" t="s">
        <v>24</v>
      </c>
      <c r="K10" s="5" t="s">
        <v>25</v>
      </c>
      <c r="L10" s="11" t="s">
        <v>26</v>
      </c>
      <c r="M10" s="5" t="s">
        <v>27</v>
      </c>
      <c r="N10" t="str">
        <f t="shared" si="1"/>
        <v>URBS 1</v>
      </c>
      <c r="O10" s="12" t="str">
        <f t="shared" si="2"/>
        <v>https://monitoramento.pm.pr.gov.br/proxy_image_1/Interface/Cameras/GetJPEGStream?Camera=Camera09&amp;AuthUser=copom_DDTQ&amp;AuthPass=DDTQcopom&amp;Width=1024&amp;Height=768&amp;Quality=70&amp;FPS=10&amp;ResponseFormat=Text</v>
      </c>
      <c r="P10" s="6">
        <v>1.0</v>
      </c>
    </row>
    <row r="11">
      <c r="A11" s="7" t="s">
        <v>16</v>
      </c>
      <c r="B11" s="2" t="s">
        <v>17</v>
      </c>
      <c r="C11" s="13" t="s">
        <v>18</v>
      </c>
      <c r="D11" s="9">
        <v>18601.0</v>
      </c>
      <c r="E11" s="9" t="s">
        <v>60</v>
      </c>
      <c r="F11" s="14" t="s">
        <v>61</v>
      </c>
      <c r="G11" s="4" t="s">
        <v>62</v>
      </c>
      <c r="H11" s="4" t="s">
        <v>63</v>
      </c>
      <c r="I11" s="5" t="s">
        <v>23</v>
      </c>
      <c r="J11" s="5" t="s">
        <v>24</v>
      </c>
      <c r="K11" s="5" t="s">
        <v>25</v>
      </c>
      <c r="L11" s="11" t="s">
        <v>26</v>
      </c>
      <c r="M11" s="5" t="s">
        <v>27</v>
      </c>
      <c r="N11" t="str">
        <f t="shared" si="1"/>
        <v>URBS 1</v>
      </c>
      <c r="O11" s="12" t="str">
        <f t="shared" si="2"/>
        <v>https://monitoramento.pm.pr.gov.br/proxy_image_1/Interface/Cameras/GetJPEGStream?Camera=Camera10&amp;AuthUser=copom_DDTQ&amp;AuthPass=DDTQcopom&amp;Width=1024&amp;Height=768&amp;Quality=70&amp;FPS=10&amp;ResponseFormat=Text</v>
      </c>
      <c r="P11" s="6">
        <v>1.0</v>
      </c>
    </row>
    <row r="12">
      <c r="A12" s="7" t="s">
        <v>16</v>
      </c>
      <c r="B12" s="2" t="s">
        <v>17</v>
      </c>
      <c r="C12" s="13" t="s">
        <v>18</v>
      </c>
      <c r="D12" s="9">
        <v>18601.0</v>
      </c>
      <c r="E12" s="9" t="s">
        <v>64</v>
      </c>
      <c r="F12" s="14" t="s">
        <v>65</v>
      </c>
      <c r="G12" s="4" t="s">
        <v>66</v>
      </c>
      <c r="H12" s="4" t="s">
        <v>67</v>
      </c>
      <c r="I12" s="5" t="s">
        <v>23</v>
      </c>
      <c r="J12" s="5" t="s">
        <v>24</v>
      </c>
      <c r="K12" s="5" t="s">
        <v>25</v>
      </c>
      <c r="L12" s="11" t="s">
        <v>26</v>
      </c>
      <c r="M12" s="5" t="s">
        <v>27</v>
      </c>
      <c r="N12" t="str">
        <f t="shared" si="1"/>
        <v>URBS 1</v>
      </c>
      <c r="O12" s="12" t="str">
        <f t="shared" si="2"/>
        <v>https://monitoramento.pm.pr.gov.br/proxy_image_1/Interface/Cameras/GetJPEGStream?Camera=Camera11&amp;AuthUser=copom_DDTQ&amp;AuthPass=DDTQcopom&amp;Width=1024&amp;Height=768&amp;Quality=70&amp;FPS=10&amp;ResponseFormat=Text</v>
      </c>
      <c r="P12" s="6">
        <v>1.0</v>
      </c>
    </row>
    <row r="13">
      <c r="A13" s="7" t="s">
        <v>16</v>
      </c>
      <c r="B13" s="2" t="s">
        <v>17</v>
      </c>
      <c r="C13" s="13" t="s">
        <v>18</v>
      </c>
      <c r="D13" s="9">
        <v>18601.0</v>
      </c>
      <c r="E13" s="9" t="s">
        <v>68</v>
      </c>
      <c r="F13" s="14" t="s">
        <v>69</v>
      </c>
      <c r="G13" s="4" t="s">
        <v>70</v>
      </c>
      <c r="H13" s="4" t="s">
        <v>71</v>
      </c>
      <c r="I13" s="5" t="s">
        <v>23</v>
      </c>
      <c r="J13" s="5" t="s">
        <v>24</v>
      </c>
      <c r="K13" s="5" t="s">
        <v>25</v>
      </c>
      <c r="L13" s="11" t="s">
        <v>26</v>
      </c>
      <c r="M13" s="5" t="s">
        <v>27</v>
      </c>
      <c r="N13" t="str">
        <f t="shared" si="1"/>
        <v>URBS 1</v>
      </c>
      <c r="O13" s="12" t="str">
        <f t="shared" si="2"/>
        <v>https://monitoramento.pm.pr.gov.br/proxy_image_1/Interface/Cameras/GetJPEGStream?Camera=Camera12&amp;AuthUser=copom_DDTQ&amp;AuthPass=DDTQcopom&amp;Width=1024&amp;Height=768&amp;Quality=70&amp;FPS=10&amp;ResponseFormat=Text</v>
      </c>
      <c r="P13" s="6">
        <v>1.0</v>
      </c>
    </row>
    <row r="14">
      <c r="A14" s="7" t="s">
        <v>16</v>
      </c>
      <c r="B14" s="2" t="s">
        <v>17</v>
      </c>
      <c r="C14" s="13" t="s">
        <v>18</v>
      </c>
      <c r="D14" s="9">
        <v>18601.0</v>
      </c>
      <c r="E14" s="9" t="s">
        <v>72</v>
      </c>
      <c r="F14" s="14" t="s">
        <v>73</v>
      </c>
      <c r="G14" s="4" t="s">
        <v>74</v>
      </c>
      <c r="H14" s="4" t="s">
        <v>75</v>
      </c>
      <c r="I14" s="5" t="s">
        <v>23</v>
      </c>
      <c r="J14" s="5" t="s">
        <v>24</v>
      </c>
      <c r="K14" s="5" t="s">
        <v>25</v>
      </c>
      <c r="L14" s="11" t="s">
        <v>26</v>
      </c>
      <c r="M14" s="5" t="s">
        <v>27</v>
      </c>
      <c r="N14" t="str">
        <f t="shared" si="1"/>
        <v>URBS 1</v>
      </c>
      <c r="O14" s="12" t="str">
        <f t="shared" si="2"/>
        <v>https://monitoramento.pm.pr.gov.br/proxy_image_1/Interface/Cameras/GetJPEGStream?Camera=Camera13&amp;AuthUser=copom_DDTQ&amp;AuthPass=DDTQcopom&amp;Width=1024&amp;Height=768&amp;Quality=70&amp;FPS=10&amp;ResponseFormat=Text</v>
      </c>
      <c r="P14" s="6">
        <v>1.0</v>
      </c>
    </row>
    <row r="15">
      <c r="A15" s="7" t="s">
        <v>16</v>
      </c>
      <c r="B15" s="2" t="s">
        <v>17</v>
      </c>
      <c r="C15" s="13" t="s">
        <v>18</v>
      </c>
      <c r="D15" s="9">
        <v>18601.0</v>
      </c>
      <c r="E15" s="9" t="s">
        <v>76</v>
      </c>
      <c r="F15" s="14" t="s">
        <v>77</v>
      </c>
      <c r="G15" s="4" t="s">
        <v>78</v>
      </c>
      <c r="H15" s="4" t="s">
        <v>79</v>
      </c>
      <c r="I15" s="5" t="s">
        <v>23</v>
      </c>
      <c r="J15" s="5" t="s">
        <v>24</v>
      </c>
      <c r="K15" s="5" t="s">
        <v>25</v>
      </c>
      <c r="L15" s="11" t="s">
        <v>26</v>
      </c>
      <c r="M15" s="5" t="s">
        <v>27</v>
      </c>
      <c r="N15" t="str">
        <f t="shared" si="1"/>
        <v>URBS 1</v>
      </c>
      <c r="O15" s="12" t="str">
        <f t="shared" si="2"/>
        <v>https://monitoramento.pm.pr.gov.br/proxy_image_1/Interface/Cameras/GetJPEGStream?Camera=Camera14&amp;AuthUser=copom_DDTQ&amp;AuthPass=DDTQcopom&amp;Width=1024&amp;Height=768&amp;Quality=70&amp;FPS=10&amp;ResponseFormat=Text</v>
      </c>
      <c r="P15" s="6">
        <v>1.0</v>
      </c>
    </row>
    <row r="16">
      <c r="A16" s="7" t="s">
        <v>16</v>
      </c>
      <c r="B16" s="2" t="s">
        <v>17</v>
      </c>
      <c r="C16" s="13" t="s">
        <v>18</v>
      </c>
      <c r="D16" s="9">
        <v>18601.0</v>
      </c>
      <c r="E16" s="9" t="s">
        <v>80</v>
      </c>
      <c r="F16" s="14" t="s">
        <v>81</v>
      </c>
      <c r="G16" s="4" t="s">
        <v>82</v>
      </c>
      <c r="H16" s="4" t="s">
        <v>83</v>
      </c>
      <c r="I16" s="5" t="s">
        <v>23</v>
      </c>
      <c r="J16" s="5" t="s">
        <v>24</v>
      </c>
      <c r="K16" s="5" t="s">
        <v>25</v>
      </c>
      <c r="L16" s="11" t="s">
        <v>26</v>
      </c>
      <c r="M16" s="5" t="s">
        <v>27</v>
      </c>
      <c r="N16" s="15" t="str">
        <f t="shared" si="1"/>
        <v>URBS 1</v>
      </c>
      <c r="O16" s="12" t="str">
        <f t="shared" si="2"/>
        <v>https://monitoramento.pm.pr.gov.br/proxy_image_1/Interface/Cameras/GetJPEGStream?Camera=Camera15a&amp;AuthUser=copom_DDTQ&amp;AuthPass=DDTQcopom&amp;Width=1024&amp;Height=768&amp;Quality=70&amp;FPS=10&amp;ResponseFormat=Text</v>
      </c>
      <c r="P16" s="6">
        <v>1.0</v>
      </c>
    </row>
    <row r="17">
      <c r="A17" s="7" t="s">
        <v>16</v>
      </c>
      <c r="B17" s="2" t="s">
        <v>17</v>
      </c>
      <c r="C17" s="13" t="s">
        <v>18</v>
      </c>
      <c r="D17" s="9">
        <v>18601.0</v>
      </c>
      <c r="E17" s="9" t="s">
        <v>84</v>
      </c>
      <c r="F17" s="14" t="s">
        <v>85</v>
      </c>
      <c r="G17" s="4" t="s">
        <v>86</v>
      </c>
      <c r="H17" s="4" t="s">
        <v>87</v>
      </c>
      <c r="I17" s="5" t="s">
        <v>23</v>
      </c>
      <c r="J17" s="5" t="s">
        <v>24</v>
      </c>
      <c r="K17" s="5" t="s">
        <v>25</v>
      </c>
      <c r="L17" s="11" t="s">
        <v>26</v>
      </c>
      <c r="M17" s="5" t="s">
        <v>27</v>
      </c>
      <c r="N17" t="str">
        <f t="shared" si="1"/>
        <v>URBS 1</v>
      </c>
      <c r="O17" s="12" t="str">
        <f t="shared" si="2"/>
        <v>https://monitoramento.pm.pr.gov.br/proxy_image_1/Interface/Cameras/GetJPEGStream?Camera=Camera16&amp;AuthUser=copom_DDTQ&amp;AuthPass=DDTQcopom&amp;Width=1024&amp;Height=768&amp;Quality=70&amp;FPS=10&amp;ResponseFormat=Text</v>
      </c>
      <c r="P17" s="6">
        <v>1.0</v>
      </c>
    </row>
    <row r="18">
      <c r="A18" s="7" t="s">
        <v>16</v>
      </c>
      <c r="B18" s="2" t="s">
        <v>17</v>
      </c>
      <c r="C18" s="13" t="s">
        <v>18</v>
      </c>
      <c r="D18" s="9">
        <v>18601.0</v>
      </c>
      <c r="E18" s="9" t="s">
        <v>88</v>
      </c>
      <c r="F18" s="14" t="s">
        <v>89</v>
      </c>
      <c r="G18" s="4" t="s">
        <v>90</v>
      </c>
      <c r="H18" s="4" t="s">
        <v>91</v>
      </c>
      <c r="I18" s="5" t="s">
        <v>23</v>
      </c>
      <c r="J18" s="5" t="s">
        <v>24</v>
      </c>
      <c r="K18" s="5" t="s">
        <v>25</v>
      </c>
      <c r="L18" s="11" t="s">
        <v>26</v>
      </c>
      <c r="M18" s="5" t="s">
        <v>27</v>
      </c>
      <c r="N18" t="str">
        <f t="shared" si="1"/>
        <v>URBS 1</v>
      </c>
      <c r="O18" s="12" t="str">
        <f t="shared" si="2"/>
        <v>https://monitoramento.pm.pr.gov.br/proxy_image_1/Interface/Cameras/GetJPEGStream?Camera=Camera17&amp;AuthUser=copom_DDTQ&amp;AuthPass=DDTQcopom&amp;Width=1024&amp;Height=768&amp;Quality=70&amp;FPS=10&amp;ResponseFormat=Text</v>
      </c>
      <c r="P18" s="6">
        <v>1.0</v>
      </c>
    </row>
    <row r="19">
      <c r="A19" s="7" t="s">
        <v>16</v>
      </c>
      <c r="B19" s="2" t="s">
        <v>17</v>
      </c>
      <c r="C19" s="13" t="s">
        <v>18</v>
      </c>
      <c r="D19" s="9">
        <v>18601.0</v>
      </c>
      <c r="E19" s="9" t="s">
        <v>92</v>
      </c>
      <c r="F19" s="14" t="s">
        <v>93</v>
      </c>
      <c r="G19" s="4" t="s">
        <v>94</v>
      </c>
      <c r="H19" s="4" t="s">
        <v>95</v>
      </c>
      <c r="I19" s="5" t="s">
        <v>23</v>
      </c>
      <c r="J19" s="5" t="s">
        <v>24</v>
      </c>
      <c r="K19" s="5" t="s">
        <v>25</v>
      </c>
      <c r="L19" s="11" t="s">
        <v>26</v>
      </c>
      <c r="M19" s="5" t="s">
        <v>27</v>
      </c>
      <c r="N19" t="str">
        <f t="shared" si="1"/>
        <v>URBS 1</v>
      </c>
      <c r="O19" s="12" t="str">
        <f t="shared" si="2"/>
        <v>https://monitoramento.pm.pr.gov.br/proxy_image_1/Interface/Cameras/GetJPEGStream?Camera=Camera18&amp;AuthUser=copom_DDTQ&amp;AuthPass=DDTQcopom&amp;Width=1024&amp;Height=768&amp;Quality=70&amp;FPS=10&amp;ResponseFormat=Text</v>
      </c>
      <c r="P19" s="6">
        <v>1.0</v>
      </c>
    </row>
    <row r="20">
      <c r="A20" s="7" t="s">
        <v>16</v>
      </c>
      <c r="B20" s="2" t="s">
        <v>17</v>
      </c>
      <c r="C20" s="13" t="s">
        <v>18</v>
      </c>
      <c r="D20" s="9">
        <v>18601.0</v>
      </c>
      <c r="E20" s="9" t="s">
        <v>96</v>
      </c>
      <c r="F20" s="14" t="s">
        <v>97</v>
      </c>
      <c r="G20" s="4" t="s">
        <v>98</v>
      </c>
      <c r="H20" s="4" t="s">
        <v>99</v>
      </c>
      <c r="I20" s="5" t="s">
        <v>23</v>
      </c>
      <c r="J20" s="5" t="s">
        <v>24</v>
      </c>
      <c r="K20" s="5" t="s">
        <v>25</v>
      </c>
      <c r="L20" s="11" t="s">
        <v>26</v>
      </c>
      <c r="M20" s="5" t="s">
        <v>27</v>
      </c>
      <c r="N20" t="str">
        <f t="shared" si="1"/>
        <v>URBS 1</v>
      </c>
      <c r="O20" s="12" t="str">
        <f t="shared" si="2"/>
        <v>https://monitoramento.pm.pr.gov.br/proxy_image_1/Interface/Cameras/GetJPEGStream?Camera=Camera19&amp;AuthUser=copom_DDTQ&amp;AuthPass=DDTQcopom&amp;Width=1024&amp;Height=768&amp;Quality=70&amp;FPS=10&amp;ResponseFormat=Text</v>
      </c>
      <c r="P20" s="6">
        <v>1.0</v>
      </c>
    </row>
    <row r="21">
      <c r="A21" s="7" t="s">
        <v>16</v>
      </c>
      <c r="B21" s="2" t="s">
        <v>17</v>
      </c>
      <c r="C21" s="13" t="s">
        <v>18</v>
      </c>
      <c r="D21" s="9">
        <v>18601.0</v>
      </c>
      <c r="E21" s="9" t="s">
        <v>100</v>
      </c>
      <c r="F21" s="14" t="s">
        <v>101</v>
      </c>
      <c r="G21" s="4" t="s">
        <v>102</v>
      </c>
      <c r="H21" s="4" t="s">
        <v>103</v>
      </c>
      <c r="I21" s="5" t="s">
        <v>23</v>
      </c>
      <c r="J21" s="5" t="s">
        <v>24</v>
      </c>
      <c r="K21" s="5" t="s">
        <v>25</v>
      </c>
      <c r="L21" s="11" t="s">
        <v>26</v>
      </c>
      <c r="M21" s="5" t="s">
        <v>27</v>
      </c>
      <c r="N21" t="str">
        <f t="shared" si="1"/>
        <v>URBS 1</v>
      </c>
      <c r="O21" s="12" t="str">
        <f t="shared" si="2"/>
        <v>https://monitoramento.pm.pr.gov.br/proxy_image_1/Interface/Cameras/GetJPEGStream?Camera=Camera20&amp;AuthUser=copom_DDTQ&amp;AuthPass=DDTQcopom&amp;Width=1024&amp;Height=768&amp;Quality=70&amp;FPS=10&amp;ResponseFormat=Text</v>
      </c>
      <c r="P21" s="6">
        <v>1.0</v>
      </c>
    </row>
    <row r="22">
      <c r="A22" s="7" t="s">
        <v>16</v>
      </c>
      <c r="B22" s="2" t="s">
        <v>17</v>
      </c>
      <c r="C22" s="13" t="s">
        <v>18</v>
      </c>
      <c r="D22" s="9">
        <v>18601.0</v>
      </c>
      <c r="E22" s="9" t="s">
        <v>104</v>
      </c>
      <c r="F22" s="14" t="s">
        <v>105</v>
      </c>
      <c r="G22" s="4" t="s">
        <v>106</v>
      </c>
      <c r="H22" s="4" t="s">
        <v>107</v>
      </c>
      <c r="I22" s="5" t="s">
        <v>23</v>
      </c>
      <c r="J22" s="5" t="s">
        <v>24</v>
      </c>
      <c r="K22" s="5" t="s">
        <v>25</v>
      </c>
      <c r="L22" s="11" t="s">
        <v>26</v>
      </c>
      <c r="M22" s="5" t="s">
        <v>27</v>
      </c>
      <c r="N22" t="str">
        <f t="shared" si="1"/>
        <v>URBS 1</v>
      </c>
      <c r="O22" s="12" t="str">
        <f t="shared" si="2"/>
        <v>https://monitoramento.pm.pr.gov.br/proxy_image_1/Interface/Cameras/GetJPEGStream?Camera=Camera21&amp;AuthUser=copom_DDTQ&amp;AuthPass=DDTQcopom&amp;Width=1024&amp;Height=768&amp;Quality=70&amp;FPS=10&amp;ResponseFormat=Text</v>
      </c>
      <c r="P22" s="6">
        <v>1.0</v>
      </c>
    </row>
    <row r="23">
      <c r="A23" s="7" t="s">
        <v>16</v>
      </c>
      <c r="B23" s="2" t="s">
        <v>17</v>
      </c>
      <c r="C23" s="13" t="s">
        <v>18</v>
      </c>
      <c r="D23" s="9">
        <v>18601.0</v>
      </c>
      <c r="E23" s="9" t="s">
        <v>108</v>
      </c>
      <c r="F23" s="14" t="s">
        <v>109</v>
      </c>
      <c r="G23" s="4" t="s">
        <v>110</v>
      </c>
      <c r="H23" s="4" t="s">
        <v>111</v>
      </c>
      <c r="I23" s="5" t="s">
        <v>23</v>
      </c>
      <c r="J23" s="5" t="s">
        <v>24</v>
      </c>
      <c r="K23" s="5" t="s">
        <v>25</v>
      </c>
      <c r="L23" s="11" t="s">
        <v>26</v>
      </c>
      <c r="M23" s="5" t="s">
        <v>27</v>
      </c>
      <c r="N23" t="str">
        <f t="shared" si="1"/>
        <v>URBS 1</v>
      </c>
      <c r="O23" s="12" t="str">
        <f t="shared" si="2"/>
        <v>https://monitoramento.pm.pr.gov.br/proxy_image_1/Interface/Cameras/GetJPEGStream?Camera=Camera22&amp;AuthUser=copom_DDTQ&amp;AuthPass=DDTQcopom&amp;Width=1024&amp;Height=768&amp;Quality=70&amp;FPS=10&amp;ResponseFormat=Text</v>
      </c>
      <c r="P23" s="6">
        <v>1.0</v>
      </c>
    </row>
    <row r="24">
      <c r="A24" s="7" t="s">
        <v>16</v>
      </c>
      <c r="B24" s="2" t="s">
        <v>17</v>
      </c>
      <c r="C24" s="13" t="s">
        <v>18</v>
      </c>
      <c r="D24" s="9">
        <v>18601.0</v>
      </c>
      <c r="E24" s="9" t="s">
        <v>112</v>
      </c>
      <c r="F24" s="14" t="s">
        <v>113</v>
      </c>
      <c r="G24" s="4" t="s">
        <v>114</v>
      </c>
      <c r="H24" s="4" t="s">
        <v>115</v>
      </c>
      <c r="I24" s="5" t="s">
        <v>23</v>
      </c>
      <c r="J24" s="5" t="s">
        <v>24</v>
      </c>
      <c r="K24" s="5" t="s">
        <v>25</v>
      </c>
      <c r="L24" s="11" t="s">
        <v>26</v>
      </c>
      <c r="M24" s="5" t="s">
        <v>27</v>
      </c>
      <c r="N24" t="str">
        <f t="shared" si="1"/>
        <v>URBS 1</v>
      </c>
      <c r="O24" s="12" t="str">
        <f t="shared" si="2"/>
        <v>https://monitoramento.pm.pr.gov.br/proxy_image_1/Interface/Cameras/GetJPEGStream?Camera=Camera23&amp;AuthUser=copom_DDTQ&amp;AuthPass=DDTQcopom&amp;Width=1024&amp;Height=768&amp;Quality=70&amp;FPS=10&amp;ResponseFormat=Text</v>
      </c>
      <c r="P24" s="6">
        <v>1.0</v>
      </c>
    </row>
    <row r="25">
      <c r="A25" s="7" t="s">
        <v>16</v>
      </c>
      <c r="B25" s="2" t="s">
        <v>17</v>
      </c>
      <c r="C25" s="13" t="s">
        <v>18</v>
      </c>
      <c r="D25" s="9">
        <v>18601.0</v>
      </c>
      <c r="E25" s="9" t="s">
        <v>116</v>
      </c>
      <c r="F25" s="14" t="s">
        <v>117</v>
      </c>
      <c r="G25" s="4" t="s">
        <v>118</v>
      </c>
      <c r="H25" s="4" t="s">
        <v>119</v>
      </c>
      <c r="I25" s="5" t="s">
        <v>23</v>
      </c>
      <c r="J25" s="5" t="s">
        <v>24</v>
      </c>
      <c r="K25" s="5" t="s">
        <v>25</v>
      </c>
      <c r="L25" s="11" t="s">
        <v>26</v>
      </c>
      <c r="M25" s="5" t="s">
        <v>27</v>
      </c>
      <c r="N25" t="str">
        <f t="shared" si="1"/>
        <v>URBS 1</v>
      </c>
      <c r="O25" s="12" t="str">
        <f t="shared" si="2"/>
        <v>https://monitoramento.pm.pr.gov.br/proxy_image_1/Interface/Cameras/GetJPEGStream?Camera=Camera24&amp;AuthUser=copom_DDTQ&amp;AuthPass=DDTQcopom&amp;Width=1024&amp;Height=768&amp;Quality=70&amp;FPS=10&amp;ResponseFormat=Text</v>
      </c>
      <c r="P25" s="6">
        <v>1.0</v>
      </c>
    </row>
    <row r="26">
      <c r="A26" s="7" t="s">
        <v>16</v>
      </c>
      <c r="B26" s="2" t="s">
        <v>17</v>
      </c>
      <c r="C26" s="13" t="s">
        <v>18</v>
      </c>
      <c r="D26" s="9">
        <v>18601.0</v>
      </c>
      <c r="E26" s="9" t="s">
        <v>120</v>
      </c>
      <c r="F26" s="14" t="s">
        <v>121</v>
      </c>
      <c r="G26" s="4" t="s">
        <v>122</v>
      </c>
      <c r="H26" s="4" t="s">
        <v>123</v>
      </c>
      <c r="I26" s="5" t="s">
        <v>23</v>
      </c>
      <c r="J26" s="5" t="s">
        <v>24</v>
      </c>
      <c r="K26" s="5" t="s">
        <v>25</v>
      </c>
      <c r="L26" s="11" t="s">
        <v>26</v>
      </c>
      <c r="M26" s="5" t="s">
        <v>27</v>
      </c>
      <c r="N26" t="str">
        <f t="shared" si="1"/>
        <v>URBS 1</v>
      </c>
      <c r="O26" s="12" t="str">
        <f t="shared" si="2"/>
        <v>https://monitoramento.pm.pr.gov.br/proxy_image_1/Interface/Cameras/GetJPEGStream?Camera=Camera25&amp;AuthUser=copom_DDTQ&amp;AuthPass=DDTQcopom&amp;Width=1024&amp;Height=768&amp;Quality=70&amp;FPS=10&amp;ResponseFormat=Text</v>
      </c>
      <c r="P26" s="6">
        <v>1.0</v>
      </c>
    </row>
    <row r="27">
      <c r="A27" s="7" t="s">
        <v>16</v>
      </c>
      <c r="B27" s="2" t="s">
        <v>17</v>
      </c>
      <c r="C27" s="13" t="s">
        <v>18</v>
      </c>
      <c r="D27" s="9">
        <v>18601.0</v>
      </c>
      <c r="E27" s="9" t="s">
        <v>124</v>
      </c>
      <c r="F27" s="14" t="s">
        <v>125</v>
      </c>
      <c r="G27" s="4" t="s">
        <v>126</v>
      </c>
      <c r="H27" s="4" t="s">
        <v>127</v>
      </c>
      <c r="I27" s="5" t="s">
        <v>23</v>
      </c>
      <c r="J27" s="5" t="s">
        <v>24</v>
      </c>
      <c r="K27" s="5" t="s">
        <v>25</v>
      </c>
      <c r="L27" s="11" t="s">
        <v>26</v>
      </c>
      <c r="M27" s="5" t="s">
        <v>27</v>
      </c>
      <c r="N27" t="str">
        <f t="shared" si="1"/>
        <v>URBS 1</v>
      </c>
      <c r="O27" s="12" t="str">
        <f t="shared" si="2"/>
        <v>https://monitoramento.pm.pr.gov.br/proxy_image_1/Interface/Cameras/GetJPEGStream?Camera=Camera26&amp;AuthUser=copom_DDTQ&amp;AuthPass=DDTQcopom&amp;Width=1024&amp;Height=768&amp;Quality=70&amp;FPS=10&amp;ResponseFormat=Text</v>
      </c>
      <c r="P27" s="6">
        <v>1.0</v>
      </c>
    </row>
    <row r="28">
      <c r="A28" s="7" t="s">
        <v>16</v>
      </c>
      <c r="B28" s="2" t="s">
        <v>17</v>
      </c>
      <c r="C28" s="13" t="s">
        <v>18</v>
      </c>
      <c r="D28" s="9">
        <v>18601.0</v>
      </c>
      <c r="E28" s="9" t="s">
        <v>128</v>
      </c>
      <c r="F28" s="14" t="s">
        <v>129</v>
      </c>
      <c r="G28" s="4" t="s">
        <v>130</v>
      </c>
      <c r="H28" s="4" t="s">
        <v>131</v>
      </c>
      <c r="I28" s="5" t="s">
        <v>23</v>
      </c>
      <c r="J28" s="5" t="s">
        <v>24</v>
      </c>
      <c r="K28" s="5" t="s">
        <v>25</v>
      </c>
      <c r="L28" s="11" t="s">
        <v>26</v>
      </c>
      <c r="M28" s="5" t="s">
        <v>27</v>
      </c>
      <c r="N28" t="str">
        <f t="shared" si="1"/>
        <v>URBS 1</v>
      </c>
      <c r="O28" s="12" t="str">
        <f t="shared" si="2"/>
        <v>https://monitoramento.pm.pr.gov.br/proxy_image_1/Interface/Cameras/GetJPEGStream?Camera=Camera27&amp;AuthUser=copom_DDTQ&amp;AuthPass=DDTQcopom&amp;Width=1024&amp;Height=768&amp;Quality=70&amp;FPS=10&amp;ResponseFormat=Text</v>
      </c>
      <c r="P28" s="6">
        <v>1.0</v>
      </c>
    </row>
    <row r="29">
      <c r="A29" s="7" t="s">
        <v>16</v>
      </c>
      <c r="B29" s="2" t="s">
        <v>17</v>
      </c>
      <c r="C29" s="13" t="s">
        <v>18</v>
      </c>
      <c r="D29" s="9">
        <v>18601.0</v>
      </c>
      <c r="E29" s="9" t="s">
        <v>132</v>
      </c>
      <c r="F29" s="14" t="s">
        <v>133</v>
      </c>
      <c r="G29" s="4" t="s">
        <v>134</v>
      </c>
      <c r="H29" s="4" t="s">
        <v>135</v>
      </c>
      <c r="I29" s="5" t="s">
        <v>23</v>
      </c>
      <c r="J29" s="5" t="s">
        <v>24</v>
      </c>
      <c r="K29" s="5" t="s">
        <v>25</v>
      </c>
      <c r="L29" s="11" t="s">
        <v>26</v>
      </c>
      <c r="M29" s="5" t="s">
        <v>27</v>
      </c>
      <c r="N29" t="str">
        <f t="shared" si="1"/>
        <v>URBS 1</v>
      </c>
      <c r="O29" s="12" t="str">
        <f t="shared" si="2"/>
        <v>https://monitoramento.pm.pr.gov.br/proxy_image_1/Interface/Cameras/GetJPEGStream?Camera=Camera28&amp;AuthUser=copom_DDTQ&amp;AuthPass=DDTQcopom&amp;Width=1024&amp;Height=768&amp;Quality=70&amp;FPS=10&amp;ResponseFormat=Text</v>
      </c>
      <c r="P29" s="6">
        <v>1.0</v>
      </c>
    </row>
    <row r="30">
      <c r="A30" s="7" t="s">
        <v>16</v>
      </c>
      <c r="B30" s="2" t="s">
        <v>17</v>
      </c>
      <c r="C30" s="13" t="s">
        <v>18</v>
      </c>
      <c r="D30" s="9">
        <v>18601.0</v>
      </c>
      <c r="E30" s="9" t="s">
        <v>136</v>
      </c>
      <c r="F30" s="14" t="s">
        <v>137</v>
      </c>
      <c r="G30" s="4" t="s">
        <v>138</v>
      </c>
      <c r="H30" s="4" t="s">
        <v>139</v>
      </c>
      <c r="I30" s="5" t="s">
        <v>23</v>
      </c>
      <c r="J30" s="5" t="s">
        <v>24</v>
      </c>
      <c r="K30" s="5" t="s">
        <v>25</v>
      </c>
      <c r="L30" s="11" t="s">
        <v>26</v>
      </c>
      <c r="M30" s="5" t="s">
        <v>27</v>
      </c>
      <c r="N30" t="str">
        <f t="shared" si="1"/>
        <v>URBS 1</v>
      </c>
      <c r="O30" s="12" t="str">
        <f t="shared" si="2"/>
        <v>https://monitoramento.pm.pr.gov.br/proxy_image_1/Interface/Cameras/GetJPEGStream?Camera=EdLaucas&amp;AuthUser=copom_DDTQ&amp;AuthPass=DDTQcopom&amp;Width=1024&amp;Height=768&amp;Quality=70&amp;FPS=10&amp;ResponseFormat=Text</v>
      </c>
      <c r="P30" s="6">
        <v>1.0</v>
      </c>
    </row>
    <row r="31">
      <c r="A31" s="7" t="s">
        <v>140</v>
      </c>
      <c r="B31" s="2" t="s">
        <v>17</v>
      </c>
      <c r="C31" s="13" t="s">
        <v>141</v>
      </c>
      <c r="D31" s="9">
        <v>28601.0</v>
      </c>
      <c r="E31" s="9" t="s">
        <v>142</v>
      </c>
      <c r="F31" s="14" t="s">
        <v>143</v>
      </c>
      <c r="G31" s="4" t="s">
        <v>144</v>
      </c>
      <c r="H31" s="4" t="s">
        <v>145</v>
      </c>
      <c r="I31" s="5" t="s">
        <v>23</v>
      </c>
      <c r="J31" s="5" t="s">
        <v>24</v>
      </c>
      <c r="K31" s="5" t="s">
        <v>25</v>
      </c>
      <c r="L31" s="11" t="s">
        <v>26</v>
      </c>
      <c r="M31" s="5" t="s">
        <v>27</v>
      </c>
      <c r="N31" t="str">
        <f t="shared" si="1"/>
        <v>URBS 2</v>
      </c>
      <c r="O31" s="12" t="str">
        <f t="shared" si="2"/>
        <v>https://monitoramento.pm.pr.gov.br/proxy_image_2/Interface/Cameras/GetJPEGStream?Camera=Camera034&amp;AuthUser=copom_DDTQ&amp;AuthPass=DDTQcopom&amp;Width=1024&amp;Height=768&amp;Quality=70&amp;FPS=10&amp;ResponseFormat=Text</v>
      </c>
      <c r="P31" s="6">
        <v>1.0</v>
      </c>
    </row>
    <row r="32">
      <c r="A32" s="7" t="s">
        <v>140</v>
      </c>
      <c r="B32" s="2" t="s">
        <v>17</v>
      </c>
      <c r="C32" s="13" t="s">
        <v>141</v>
      </c>
      <c r="D32" s="9">
        <v>28601.0</v>
      </c>
      <c r="E32" s="9" t="s">
        <v>146</v>
      </c>
      <c r="F32" s="14" t="s">
        <v>147</v>
      </c>
      <c r="G32" s="4" t="s">
        <v>148</v>
      </c>
      <c r="H32" s="4" t="s">
        <v>149</v>
      </c>
      <c r="I32" s="5" t="s">
        <v>23</v>
      </c>
      <c r="J32" s="5" t="s">
        <v>24</v>
      </c>
      <c r="K32" s="5" t="s">
        <v>25</v>
      </c>
      <c r="L32" s="11" t="s">
        <v>26</v>
      </c>
      <c r="M32" s="5" t="s">
        <v>27</v>
      </c>
      <c r="N32" t="str">
        <f t="shared" si="1"/>
        <v>URBS 2</v>
      </c>
      <c r="O32" s="12" t="str">
        <f t="shared" si="2"/>
        <v>https://monitoramento.pm.pr.gov.br/proxy_image_2/Interface/Cameras/GetJPEGStream?Camera=Camera035&amp;AuthUser=copom_DDTQ&amp;AuthPass=DDTQcopom&amp;Width=1024&amp;Height=768&amp;Quality=70&amp;FPS=10&amp;ResponseFormat=Text</v>
      </c>
      <c r="P32" s="6">
        <v>1.0</v>
      </c>
    </row>
    <row r="33">
      <c r="A33" s="7" t="s">
        <v>140</v>
      </c>
      <c r="B33" s="2" t="s">
        <v>17</v>
      </c>
      <c r="C33" s="13" t="s">
        <v>141</v>
      </c>
      <c r="D33" s="9">
        <v>28601.0</v>
      </c>
      <c r="E33" s="9" t="s">
        <v>150</v>
      </c>
      <c r="F33" s="14" t="s">
        <v>151</v>
      </c>
      <c r="G33" s="4" t="s">
        <v>152</v>
      </c>
      <c r="H33" s="4" t="s">
        <v>153</v>
      </c>
      <c r="I33" s="5" t="s">
        <v>23</v>
      </c>
      <c r="J33" s="5" t="s">
        <v>24</v>
      </c>
      <c r="K33" s="5" t="s">
        <v>25</v>
      </c>
      <c r="L33" s="11" t="s">
        <v>26</v>
      </c>
      <c r="M33" s="5" t="s">
        <v>27</v>
      </c>
      <c r="N33" t="str">
        <f t="shared" si="1"/>
        <v>URBS 2</v>
      </c>
      <c r="O33" s="12" t="str">
        <f t="shared" si="2"/>
        <v>https://monitoramento.pm.pr.gov.br/proxy_image_2/Interface/Cameras/GetJPEGStream?Camera=Camera036&amp;AuthUser=copom_DDTQ&amp;AuthPass=DDTQcopom&amp;Width=1024&amp;Height=768&amp;Quality=70&amp;FPS=10&amp;ResponseFormat=Text</v>
      </c>
      <c r="P33" s="6">
        <v>1.0</v>
      </c>
    </row>
    <row r="34">
      <c r="A34" s="7" t="s">
        <v>140</v>
      </c>
      <c r="B34" s="2" t="s">
        <v>17</v>
      </c>
      <c r="C34" s="13" t="s">
        <v>141</v>
      </c>
      <c r="D34" s="9">
        <v>28601.0</v>
      </c>
      <c r="E34" s="9" t="s">
        <v>154</v>
      </c>
      <c r="F34" s="14" t="s">
        <v>155</v>
      </c>
      <c r="G34" s="4" t="s">
        <v>156</v>
      </c>
      <c r="H34" s="4" t="s">
        <v>157</v>
      </c>
      <c r="I34" s="5" t="s">
        <v>23</v>
      </c>
      <c r="J34" s="5" t="s">
        <v>24</v>
      </c>
      <c r="K34" s="5" t="s">
        <v>25</v>
      </c>
      <c r="L34" s="11" t="s">
        <v>26</v>
      </c>
      <c r="M34" s="5" t="s">
        <v>27</v>
      </c>
      <c r="N34" t="str">
        <f t="shared" si="1"/>
        <v>URBS 2</v>
      </c>
      <c r="O34" s="12" t="str">
        <f t="shared" si="2"/>
        <v>https://monitoramento.pm.pr.gov.br/proxy_image_2/Interface/Cameras/GetJPEGStream?Camera=Camera037&amp;AuthUser=copom_DDTQ&amp;AuthPass=DDTQcopom&amp;Width=1024&amp;Height=768&amp;Quality=70&amp;FPS=10&amp;ResponseFormat=Text</v>
      </c>
      <c r="P34" s="6">
        <v>1.0</v>
      </c>
    </row>
    <row r="35">
      <c r="A35" s="7" t="s">
        <v>140</v>
      </c>
      <c r="B35" s="2" t="s">
        <v>17</v>
      </c>
      <c r="C35" s="13" t="s">
        <v>141</v>
      </c>
      <c r="D35" s="9">
        <v>28601.0</v>
      </c>
      <c r="E35" s="9" t="s">
        <v>158</v>
      </c>
      <c r="F35" s="14" t="s">
        <v>159</v>
      </c>
      <c r="G35" s="4" t="s">
        <v>160</v>
      </c>
      <c r="H35" s="4" t="s">
        <v>161</v>
      </c>
      <c r="I35" s="5" t="s">
        <v>23</v>
      </c>
      <c r="J35" s="5" t="s">
        <v>24</v>
      </c>
      <c r="K35" s="5" t="s">
        <v>25</v>
      </c>
      <c r="L35" s="11" t="s">
        <v>26</v>
      </c>
      <c r="M35" s="5" t="s">
        <v>27</v>
      </c>
      <c r="N35" t="str">
        <f t="shared" si="1"/>
        <v>URBS 2</v>
      </c>
      <c r="O35" s="12" t="str">
        <f t="shared" si="2"/>
        <v>https://monitoramento.pm.pr.gov.br/proxy_image_2/Interface/Cameras/GetJPEGStream?Camera=Camera038&amp;AuthUser=copom_DDTQ&amp;AuthPass=DDTQcopom&amp;Width=1024&amp;Height=768&amp;Quality=70&amp;FPS=10&amp;ResponseFormat=Text</v>
      </c>
      <c r="P35" s="6">
        <v>1.0</v>
      </c>
    </row>
    <row r="36">
      <c r="A36" s="7" t="s">
        <v>140</v>
      </c>
      <c r="B36" s="2" t="s">
        <v>17</v>
      </c>
      <c r="C36" s="13" t="s">
        <v>141</v>
      </c>
      <c r="D36" s="9">
        <v>28601.0</v>
      </c>
      <c r="E36" s="9" t="s">
        <v>162</v>
      </c>
      <c r="F36" s="14" t="s">
        <v>163</v>
      </c>
      <c r="G36" s="4" t="s">
        <v>164</v>
      </c>
      <c r="H36" s="4" t="s">
        <v>165</v>
      </c>
      <c r="I36" s="5" t="s">
        <v>23</v>
      </c>
      <c r="J36" s="5" t="s">
        <v>24</v>
      </c>
      <c r="K36" s="5" t="s">
        <v>25</v>
      </c>
      <c r="L36" s="11" t="s">
        <v>26</v>
      </c>
      <c r="M36" s="5" t="s">
        <v>27</v>
      </c>
      <c r="N36" t="str">
        <f t="shared" si="1"/>
        <v>URBS 2</v>
      </c>
      <c r="O36" s="12" t="str">
        <f t="shared" si="2"/>
        <v>https://monitoramento.pm.pr.gov.br/proxy_image_2/Interface/Cameras/GetJPEGStream?Camera=Camera039&amp;AuthUser=copom_DDTQ&amp;AuthPass=DDTQcopom&amp;Width=1024&amp;Height=768&amp;Quality=70&amp;FPS=10&amp;ResponseFormat=Text</v>
      </c>
      <c r="P36" s="6">
        <v>1.0</v>
      </c>
    </row>
    <row r="37">
      <c r="A37" s="7" t="s">
        <v>140</v>
      </c>
      <c r="B37" s="2" t="s">
        <v>17</v>
      </c>
      <c r="C37" s="13" t="s">
        <v>141</v>
      </c>
      <c r="D37" s="9">
        <v>28601.0</v>
      </c>
      <c r="E37" s="9" t="s">
        <v>166</v>
      </c>
      <c r="F37" s="14" t="s">
        <v>167</v>
      </c>
      <c r="G37" s="4" t="s">
        <v>168</v>
      </c>
      <c r="H37" s="4" t="s">
        <v>169</v>
      </c>
      <c r="I37" s="5" t="s">
        <v>23</v>
      </c>
      <c r="J37" s="5" t="s">
        <v>24</v>
      </c>
      <c r="K37" s="5" t="s">
        <v>25</v>
      </c>
      <c r="L37" s="11" t="s">
        <v>26</v>
      </c>
      <c r="M37" s="5" t="s">
        <v>27</v>
      </c>
      <c r="N37" t="str">
        <f t="shared" si="1"/>
        <v>URBS 2</v>
      </c>
      <c r="O37" s="12" t="str">
        <f t="shared" si="2"/>
        <v>https://monitoramento.pm.pr.gov.br/proxy_image_2/Interface/Cameras/GetJPEGStream?Camera=Camera040&amp;AuthUser=copom_DDTQ&amp;AuthPass=DDTQcopom&amp;Width=1024&amp;Height=768&amp;Quality=70&amp;FPS=10&amp;ResponseFormat=Text</v>
      </c>
      <c r="P37" s="6">
        <v>1.0</v>
      </c>
    </row>
    <row r="38">
      <c r="A38" s="7" t="s">
        <v>140</v>
      </c>
      <c r="B38" s="2" t="s">
        <v>17</v>
      </c>
      <c r="C38" s="13" t="s">
        <v>141</v>
      </c>
      <c r="D38" s="9">
        <v>28601.0</v>
      </c>
      <c r="E38" s="9" t="s">
        <v>170</v>
      </c>
      <c r="F38" s="14" t="s">
        <v>171</v>
      </c>
      <c r="G38" s="4" t="s">
        <v>172</v>
      </c>
      <c r="H38" s="4" t="s">
        <v>173</v>
      </c>
      <c r="I38" s="5" t="s">
        <v>23</v>
      </c>
      <c r="J38" s="5" t="s">
        <v>24</v>
      </c>
      <c r="K38" s="5" t="s">
        <v>25</v>
      </c>
      <c r="L38" s="11" t="s">
        <v>26</v>
      </c>
      <c r="M38" s="5" t="s">
        <v>27</v>
      </c>
      <c r="N38" t="str">
        <f t="shared" si="1"/>
        <v>URBS 2</v>
      </c>
      <c r="O38" s="12" t="str">
        <f t="shared" si="2"/>
        <v>https://monitoramento.pm.pr.gov.br/proxy_image_2/Interface/Cameras/GetJPEGStream?Camera=Camera041&amp;AuthUser=copom_DDTQ&amp;AuthPass=DDTQcopom&amp;Width=1024&amp;Height=768&amp;Quality=70&amp;FPS=10&amp;ResponseFormat=Text</v>
      </c>
      <c r="P38" s="6">
        <v>1.0</v>
      </c>
    </row>
    <row r="39">
      <c r="A39" s="7" t="s">
        <v>140</v>
      </c>
      <c r="B39" s="2" t="s">
        <v>17</v>
      </c>
      <c r="C39" s="13" t="s">
        <v>141</v>
      </c>
      <c r="D39" s="9">
        <v>28601.0</v>
      </c>
      <c r="E39" s="9" t="s">
        <v>174</v>
      </c>
      <c r="F39" s="14" t="s">
        <v>175</v>
      </c>
      <c r="G39" s="4" t="s">
        <v>176</v>
      </c>
      <c r="H39" s="4" t="s">
        <v>177</v>
      </c>
      <c r="I39" s="5" t="s">
        <v>23</v>
      </c>
      <c r="J39" s="5" t="s">
        <v>24</v>
      </c>
      <c r="K39" s="5" t="s">
        <v>25</v>
      </c>
      <c r="L39" s="11" t="s">
        <v>26</v>
      </c>
      <c r="M39" s="5" t="s">
        <v>27</v>
      </c>
      <c r="N39" t="str">
        <f t="shared" si="1"/>
        <v>URBS 2</v>
      </c>
      <c r="O39" s="12" t="str">
        <f t="shared" si="2"/>
        <v>https://monitoramento.pm.pr.gov.br/proxy_image_2/Interface/Cameras/GetJPEGStream?Camera=Camera042&amp;AuthUser=copom_DDTQ&amp;AuthPass=DDTQcopom&amp;Width=1024&amp;Height=768&amp;Quality=70&amp;FPS=10&amp;ResponseFormat=Text</v>
      </c>
      <c r="P39" s="6">
        <v>1.0</v>
      </c>
    </row>
    <row r="40">
      <c r="A40" s="7" t="s">
        <v>140</v>
      </c>
      <c r="B40" s="2" t="s">
        <v>17</v>
      </c>
      <c r="C40" s="13" t="s">
        <v>141</v>
      </c>
      <c r="D40" s="9">
        <v>28601.0</v>
      </c>
      <c r="E40" s="9" t="s">
        <v>178</v>
      </c>
      <c r="F40" s="14" t="s">
        <v>179</v>
      </c>
      <c r="G40" s="4" t="s">
        <v>180</v>
      </c>
      <c r="H40" s="4" t="s">
        <v>181</v>
      </c>
      <c r="I40" s="5" t="s">
        <v>23</v>
      </c>
      <c r="J40" s="5" t="s">
        <v>24</v>
      </c>
      <c r="K40" s="5" t="s">
        <v>25</v>
      </c>
      <c r="L40" s="11" t="s">
        <v>26</v>
      </c>
      <c r="M40" s="5" t="s">
        <v>27</v>
      </c>
      <c r="N40" t="str">
        <f t="shared" si="1"/>
        <v>URBS 2</v>
      </c>
      <c r="O40" s="12" t="str">
        <f t="shared" si="2"/>
        <v>https://monitoramento.pm.pr.gov.br/proxy_image_2/Interface/Cameras/GetJPEGStream?Camera=Camera043&amp;AuthUser=copom_DDTQ&amp;AuthPass=DDTQcopom&amp;Width=1024&amp;Height=768&amp;Quality=70&amp;FPS=10&amp;ResponseFormat=Text</v>
      </c>
      <c r="P40" s="6">
        <v>1.0</v>
      </c>
    </row>
    <row r="41">
      <c r="A41" s="7" t="s">
        <v>140</v>
      </c>
      <c r="B41" s="2" t="s">
        <v>17</v>
      </c>
      <c r="C41" s="13" t="s">
        <v>141</v>
      </c>
      <c r="D41" s="9">
        <v>28601.0</v>
      </c>
      <c r="E41" s="9" t="s">
        <v>182</v>
      </c>
      <c r="F41" s="14" t="s">
        <v>183</v>
      </c>
      <c r="G41" s="4" t="s">
        <v>184</v>
      </c>
      <c r="H41" s="4" t="s">
        <v>185</v>
      </c>
      <c r="I41" s="5" t="s">
        <v>23</v>
      </c>
      <c r="J41" s="5" t="s">
        <v>24</v>
      </c>
      <c r="K41" s="5" t="s">
        <v>25</v>
      </c>
      <c r="L41" s="11" t="s">
        <v>26</v>
      </c>
      <c r="M41" s="5" t="s">
        <v>27</v>
      </c>
      <c r="N41" t="str">
        <f t="shared" si="1"/>
        <v>URBS 2</v>
      </c>
      <c r="O41" s="12" t="str">
        <f t="shared" si="2"/>
        <v>https://monitoramento.pm.pr.gov.br/proxy_image_2/Interface/Cameras/GetJPEGStream?Camera=Camera044&amp;AuthUser=copom_DDTQ&amp;AuthPass=DDTQcopom&amp;Width=1024&amp;Height=768&amp;Quality=70&amp;FPS=10&amp;ResponseFormat=Text</v>
      </c>
      <c r="P41" s="6">
        <v>1.0</v>
      </c>
    </row>
    <row r="42">
      <c r="A42" s="7" t="s">
        <v>140</v>
      </c>
      <c r="B42" s="2" t="s">
        <v>17</v>
      </c>
      <c r="C42" s="13" t="s">
        <v>141</v>
      </c>
      <c r="D42" s="9">
        <v>28601.0</v>
      </c>
      <c r="E42" s="9" t="s">
        <v>186</v>
      </c>
      <c r="F42" s="14" t="s">
        <v>187</v>
      </c>
      <c r="G42" s="4" t="s">
        <v>188</v>
      </c>
      <c r="H42" s="4" t="s">
        <v>189</v>
      </c>
      <c r="I42" s="5" t="s">
        <v>23</v>
      </c>
      <c r="J42" s="5" t="s">
        <v>24</v>
      </c>
      <c r="K42" s="5" t="s">
        <v>25</v>
      </c>
      <c r="L42" s="11" t="s">
        <v>26</v>
      </c>
      <c r="M42" s="5" t="s">
        <v>27</v>
      </c>
      <c r="N42" t="str">
        <f t="shared" si="1"/>
        <v>URBS 2</v>
      </c>
      <c r="O42" s="12" t="str">
        <f t="shared" si="2"/>
        <v>https://monitoramento.pm.pr.gov.br/proxy_image_2/Interface/Cameras/GetJPEGStream?Camera=Camera045&amp;AuthUser=copom_DDTQ&amp;AuthPass=DDTQcopom&amp;Width=1024&amp;Height=768&amp;Quality=70&amp;FPS=10&amp;ResponseFormat=Text</v>
      </c>
      <c r="P42" s="6">
        <v>1.0</v>
      </c>
    </row>
    <row r="43">
      <c r="A43" s="7" t="s">
        <v>140</v>
      </c>
      <c r="B43" s="2" t="s">
        <v>17</v>
      </c>
      <c r="C43" s="13" t="s">
        <v>141</v>
      </c>
      <c r="D43" s="9">
        <v>28601.0</v>
      </c>
      <c r="E43" s="9" t="s">
        <v>190</v>
      </c>
      <c r="F43" s="14" t="s">
        <v>191</v>
      </c>
      <c r="G43" s="4" t="s">
        <v>192</v>
      </c>
      <c r="H43" s="4" t="s">
        <v>193</v>
      </c>
      <c r="I43" s="5" t="s">
        <v>23</v>
      </c>
      <c r="J43" s="5" t="s">
        <v>24</v>
      </c>
      <c r="K43" s="5" t="s">
        <v>25</v>
      </c>
      <c r="L43" s="11" t="s">
        <v>26</v>
      </c>
      <c r="M43" s="5" t="s">
        <v>27</v>
      </c>
      <c r="N43" t="str">
        <f t="shared" si="1"/>
        <v>URBS 2</v>
      </c>
      <c r="O43" s="12" t="str">
        <f t="shared" si="2"/>
        <v>https://monitoramento.pm.pr.gov.br/proxy_image_2/Interface/Cameras/GetJPEGStream?Camera=Camera046&amp;AuthUser=copom_DDTQ&amp;AuthPass=DDTQcopom&amp;Width=1024&amp;Height=768&amp;Quality=70&amp;FPS=10&amp;ResponseFormat=Text</v>
      </c>
      <c r="P43" s="6">
        <v>1.0</v>
      </c>
    </row>
    <row r="44">
      <c r="A44" s="7" t="s">
        <v>140</v>
      </c>
      <c r="B44" s="2" t="s">
        <v>17</v>
      </c>
      <c r="C44" s="13" t="s">
        <v>141</v>
      </c>
      <c r="D44" s="9">
        <v>28601.0</v>
      </c>
      <c r="E44" s="9" t="s">
        <v>194</v>
      </c>
      <c r="F44" s="14" t="s">
        <v>195</v>
      </c>
      <c r="G44" s="4" t="s">
        <v>196</v>
      </c>
      <c r="H44" s="4" t="s">
        <v>197</v>
      </c>
      <c r="I44" s="5" t="s">
        <v>23</v>
      </c>
      <c r="J44" s="5" t="s">
        <v>24</v>
      </c>
      <c r="K44" s="5" t="s">
        <v>25</v>
      </c>
      <c r="L44" s="11" t="s">
        <v>26</v>
      </c>
      <c r="M44" s="5" t="s">
        <v>27</v>
      </c>
      <c r="N44" t="str">
        <f t="shared" si="1"/>
        <v>URBS 2</v>
      </c>
      <c r="O44" s="12" t="str">
        <f t="shared" si="2"/>
        <v>https://monitoramento.pm.pr.gov.br/proxy_image_2/Interface/Cameras/GetJPEGStream?Camera=Camera047&amp;AuthUser=copom_DDTQ&amp;AuthPass=DDTQcopom&amp;Width=1024&amp;Height=768&amp;Quality=70&amp;FPS=10&amp;ResponseFormat=Text</v>
      </c>
      <c r="P44" s="6">
        <v>1.0</v>
      </c>
    </row>
    <row r="45">
      <c r="A45" s="7" t="s">
        <v>140</v>
      </c>
      <c r="B45" s="2" t="s">
        <v>17</v>
      </c>
      <c r="C45" s="13" t="s">
        <v>141</v>
      </c>
      <c r="D45" s="9">
        <v>28601.0</v>
      </c>
      <c r="E45" s="9" t="s">
        <v>198</v>
      </c>
      <c r="F45" s="14" t="s">
        <v>199</v>
      </c>
      <c r="G45" s="4" t="s">
        <v>200</v>
      </c>
      <c r="H45" s="4" t="s">
        <v>201</v>
      </c>
      <c r="I45" s="5" t="s">
        <v>23</v>
      </c>
      <c r="J45" s="5" t="s">
        <v>24</v>
      </c>
      <c r="K45" s="5" t="s">
        <v>25</v>
      </c>
      <c r="L45" s="11" t="s">
        <v>26</v>
      </c>
      <c r="M45" s="5" t="s">
        <v>27</v>
      </c>
      <c r="N45" t="str">
        <f t="shared" si="1"/>
        <v>URBS 2</v>
      </c>
      <c r="O45" s="12" t="str">
        <f t="shared" si="2"/>
        <v>https://monitoramento.pm.pr.gov.br/proxy_image_2/Interface/Cameras/GetJPEGStream?Camera=Camera048&amp;AuthUser=copom_DDTQ&amp;AuthPass=DDTQcopom&amp;Width=1024&amp;Height=768&amp;Quality=70&amp;FPS=10&amp;ResponseFormat=Text</v>
      </c>
      <c r="P45" s="6">
        <v>1.0</v>
      </c>
    </row>
    <row r="46">
      <c r="A46" s="7" t="s">
        <v>140</v>
      </c>
      <c r="B46" s="2" t="s">
        <v>17</v>
      </c>
      <c r="C46" s="13" t="s">
        <v>141</v>
      </c>
      <c r="D46" s="9">
        <v>28601.0</v>
      </c>
      <c r="E46" s="9" t="s">
        <v>202</v>
      </c>
      <c r="F46" s="14" t="s">
        <v>203</v>
      </c>
      <c r="G46" s="4" t="s">
        <v>204</v>
      </c>
      <c r="H46" s="4" t="s">
        <v>205</v>
      </c>
      <c r="I46" s="5" t="s">
        <v>23</v>
      </c>
      <c r="J46" s="5" t="s">
        <v>24</v>
      </c>
      <c r="K46" s="5" t="s">
        <v>25</v>
      </c>
      <c r="L46" s="11" t="s">
        <v>26</v>
      </c>
      <c r="M46" s="5" t="s">
        <v>27</v>
      </c>
      <c r="N46" t="str">
        <f t="shared" si="1"/>
        <v>URBS 2</v>
      </c>
      <c r="O46" s="12" t="str">
        <f t="shared" si="2"/>
        <v>https://monitoramento.pm.pr.gov.br/proxy_image_2/Interface/Cameras/GetJPEGStream?Camera=Camera049&amp;AuthUser=copom_DDTQ&amp;AuthPass=DDTQcopom&amp;Width=1024&amp;Height=768&amp;Quality=70&amp;FPS=10&amp;ResponseFormat=Text</v>
      </c>
      <c r="P46" s="6">
        <v>1.0</v>
      </c>
    </row>
    <row r="47">
      <c r="A47" s="7" t="s">
        <v>140</v>
      </c>
      <c r="B47" s="2" t="s">
        <v>17</v>
      </c>
      <c r="C47" s="13" t="s">
        <v>141</v>
      </c>
      <c r="D47" s="9">
        <v>28601.0</v>
      </c>
      <c r="E47" s="9" t="s">
        <v>206</v>
      </c>
      <c r="F47" s="14" t="s">
        <v>207</v>
      </c>
      <c r="G47" s="4" t="s">
        <v>208</v>
      </c>
      <c r="H47" s="4" t="s">
        <v>209</v>
      </c>
      <c r="I47" s="5" t="s">
        <v>23</v>
      </c>
      <c r="J47" s="5" t="s">
        <v>24</v>
      </c>
      <c r="K47" s="5" t="s">
        <v>25</v>
      </c>
      <c r="L47" s="11" t="s">
        <v>26</v>
      </c>
      <c r="M47" s="5" t="s">
        <v>27</v>
      </c>
      <c r="N47" t="str">
        <f t="shared" si="1"/>
        <v>URBS 2</v>
      </c>
      <c r="O47" s="12" t="str">
        <f t="shared" si="2"/>
        <v>https://monitoramento.pm.pr.gov.br/proxy_image_2/Interface/Cameras/GetJPEGStream?Camera=Camera050&amp;AuthUser=copom_DDTQ&amp;AuthPass=DDTQcopom&amp;Width=1024&amp;Height=768&amp;Quality=70&amp;FPS=10&amp;ResponseFormat=Text</v>
      </c>
      <c r="P47" s="6">
        <v>1.0</v>
      </c>
    </row>
    <row r="48">
      <c r="A48" s="7" t="s">
        <v>140</v>
      </c>
      <c r="B48" s="2" t="s">
        <v>17</v>
      </c>
      <c r="C48" s="13" t="s">
        <v>141</v>
      </c>
      <c r="D48" s="9">
        <v>28601.0</v>
      </c>
      <c r="E48" s="9" t="s">
        <v>210</v>
      </c>
      <c r="F48" s="14" t="s">
        <v>211</v>
      </c>
      <c r="G48" s="4" t="s">
        <v>212</v>
      </c>
      <c r="H48" s="4" t="s">
        <v>213</v>
      </c>
      <c r="I48" s="5" t="s">
        <v>23</v>
      </c>
      <c r="J48" s="5" t="s">
        <v>24</v>
      </c>
      <c r="K48" s="5" t="s">
        <v>25</v>
      </c>
      <c r="L48" s="11" t="s">
        <v>26</v>
      </c>
      <c r="M48" s="5" t="s">
        <v>27</v>
      </c>
      <c r="N48" t="str">
        <f t="shared" si="1"/>
        <v>URBS 2</v>
      </c>
      <c r="O48" s="12" t="str">
        <f t="shared" si="2"/>
        <v>https://monitoramento.pm.pr.gov.br/proxy_image_2/Interface/Cameras/GetJPEGStream?Camera=Camera051&amp;AuthUser=copom_DDTQ&amp;AuthPass=DDTQcopom&amp;Width=1024&amp;Height=768&amp;Quality=70&amp;FPS=10&amp;ResponseFormat=Text</v>
      </c>
      <c r="P48" s="6">
        <v>1.0</v>
      </c>
    </row>
    <row r="49">
      <c r="A49" s="7" t="s">
        <v>140</v>
      </c>
      <c r="B49" s="2" t="s">
        <v>17</v>
      </c>
      <c r="C49" s="13" t="s">
        <v>141</v>
      </c>
      <c r="D49" s="9">
        <v>28601.0</v>
      </c>
      <c r="E49" s="9" t="s">
        <v>214</v>
      </c>
      <c r="F49" s="14" t="s">
        <v>215</v>
      </c>
      <c r="G49" s="4" t="s">
        <v>216</v>
      </c>
      <c r="H49" s="4" t="s">
        <v>217</v>
      </c>
      <c r="I49" s="5" t="s">
        <v>23</v>
      </c>
      <c r="J49" s="5" t="s">
        <v>24</v>
      </c>
      <c r="K49" s="5" t="s">
        <v>25</v>
      </c>
      <c r="L49" s="11" t="s">
        <v>26</v>
      </c>
      <c r="M49" s="5" t="s">
        <v>27</v>
      </c>
      <c r="N49" t="str">
        <f t="shared" si="1"/>
        <v>URBS 2</v>
      </c>
      <c r="O49" s="12" t="str">
        <f t="shared" si="2"/>
        <v>https://monitoramento.pm.pr.gov.br/proxy_image_2/Interface/Cameras/GetJPEGStream?Camera=Camera052&amp;AuthUser=copom_DDTQ&amp;AuthPass=DDTQcopom&amp;Width=1024&amp;Height=768&amp;Quality=70&amp;FPS=10&amp;ResponseFormat=Text</v>
      </c>
      <c r="P49" s="6">
        <v>1.0</v>
      </c>
    </row>
    <row r="50">
      <c r="A50" s="7" t="s">
        <v>140</v>
      </c>
      <c r="B50" s="2" t="s">
        <v>17</v>
      </c>
      <c r="C50" s="13" t="s">
        <v>141</v>
      </c>
      <c r="D50" s="9">
        <v>28601.0</v>
      </c>
      <c r="E50" s="9" t="s">
        <v>218</v>
      </c>
      <c r="F50" s="14" t="s">
        <v>219</v>
      </c>
      <c r="G50" s="4" t="s">
        <v>220</v>
      </c>
      <c r="H50" s="4" t="s">
        <v>221</v>
      </c>
      <c r="I50" s="5" t="s">
        <v>23</v>
      </c>
      <c r="J50" s="5" t="s">
        <v>24</v>
      </c>
      <c r="K50" s="5" t="s">
        <v>25</v>
      </c>
      <c r="L50" s="11" t="s">
        <v>26</v>
      </c>
      <c r="M50" s="5" t="s">
        <v>27</v>
      </c>
      <c r="N50" t="str">
        <f t="shared" si="1"/>
        <v>URBS 2</v>
      </c>
      <c r="O50" s="12" t="str">
        <f t="shared" si="2"/>
        <v>https://monitoramento.pm.pr.gov.br/proxy_image_2/Interface/Cameras/GetJPEGStream?Camera=Camera053&amp;AuthUser=copom_DDTQ&amp;AuthPass=DDTQcopom&amp;Width=1024&amp;Height=768&amp;Quality=70&amp;FPS=10&amp;ResponseFormat=Text</v>
      </c>
      <c r="P50" s="6">
        <v>1.0</v>
      </c>
    </row>
    <row r="51">
      <c r="A51" s="7" t="s">
        <v>140</v>
      </c>
      <c r="B51" s="2" t="s">
        <v>17</v>
      </c>
      <c r="C51" s="13" t="s">
        <v>141</v>
      </c>
      <c r="D51" s="9">
        <v>28601.0</v>
      </c>
      <c r="E51" s="9" t="s">
        <v>222</v>
      </c>
      <c r="F51" s="14" t="s">
        <v>223</v>
      </c>
      <c r="G51" s="4" t="s">
        <v>224</v>
      </c>
      <c r="H51" s="4" t="s">
        <v>225</v>
      </c>
      <c r="I51" s="5" t="s">
        <v>23</v>
      </c>
      <c r="J51" s="5" t="s">
        <v>24</v>
      </c>
      <c r="K51" s="5" t="s">
        <v>25</v>
      </c>
      <c r="L51" s="11" t="s">
        <v>26</v>
      </c>
      <c r="M51" s="5" t="s">
        <v>27</v>
      </c>
      <c r="N51" t="str">
        <f t="shared" si="1"/>
        <v>URBS 2</v>
      </c>
      <c r="O51" s="12" t="str">
        <f t="shared" si="2"/>
        <v>https://monitoramento.pm.pr.gov.br/proxy_image_2/Interface/Cameras/GetJPEGStream?Camera=Camera054&amp;AuthUser=copom_DDTQ&amp;AuthPass=DDTQcopom&amp;Width=1024&amp;Height=768&amp;Quality=70&amp;FPS=10&amp;ResponseFormat=Text</v>
      </c>
      <c r="P51" s="6">
        <v>1.0</v>
      </c>
    </row>
    <row r="52">
      <c r="A52" s="7" t="s">
        <v>140</v>
      </c>
      <c r="B52" s="2" t="s">
        <v>17</v>
      </c>
      <c r="C52" s="13" t="s">
        <v>141</v>
      </c>
      <c r="D52" s="9">
        <v>28601.0</v>
      </c>
      <c r="E52" s="9" t="s">
        <v>226</v>
      </c>
      <c r="F52" s="14" t="s">
        <v>227</v>
      </c>
      <c r="G52" s="4" t="s">
        <v>228</v>
      </c>
      <c r="H52" s="4" t="s">
        <v>229</v>
      </c>
      <c r="I52" s="5" t="s">
        <v>23</v>
      </c>
      <c r="J52" s="5" t="s">
        <v>24</v>
      </c>
      <c r="K52" s="5" t="s">
        <v>25</v>
      </c>
      <c r="L52" s="11" t="s">
        <v>26</v>
      </c>
      <c r="M52" s="5" t="s">
        <v>27</v>
      </c>
      <c r="N52" t="str">
        <f t="shared" si="1"/>
        <v>URBS 2</v>
      </c>
      <c r="O52" s="12" t="str">
        <f t="shared" si="2"/>
        <v>https://monitoramento.pm.pr.gov.br/proxy_image_2/Interface/Cameras/GetJPEGStream?Camera=Camera055&amp;AuthUser=copom_DDTQ&amp;AuthPass=DDTQcopom&amp;Width=1024&amp;Height=768&amp;Quality=70&amp;FPS=10&amp;ResponseFormat=Text</v>
      </c>
      <c r="P52" s="6">
        <v>1.0</v>
      </c>
    </row>
    <row r="53">
      <c r="A53" s="7" t="s">
        <v>140</v>
      </c>
      <c r="B53" s="2" t="s">
        <v>17</v>
      </c>
      <c r="C53" s="13" t="s">
        <v>141</v>
      </c>
      <c r="D53" s="9">
        <v>28601.0</v>
      </c>
      <c r="E53" s="9" t="s">
        <v>230</v>
      </c>
      <c r="F53" s="14" t="s">
        <v>231</v>
      </c>
      <c r="G53" s="4" t="s">
        <v>232</v>
      </c>
      <c r="H53" s="4" t="s">
        <v>233</v>
      </c>
      <c r="I53" s="5" t="s">
        <v>23</v>
      </c>
      <c r="J53" s="5" t="s">
        <v>24</v>
      </c>
      <c r="K53" s="5" t="s">
        <v>25</v>
      </c>
      <c r="L53" s="11" t="s">
        <v>26</v>
      </c>
      <c r="M53" s="5" t="s">
        <v>27</v>
      </c>
      <c r="N53" t="str">
        <f t="shared" si="1"/>
        <v>URBS 2</v>
      </c>
      <c r="O53" s="12" t="str">
        <f t="shared" si="2"/>
        <v>https://monitoramento.pm.pr.gov.br/proxy_image_2/Interface/Cameras/GetJPEGStream?Camera=Camera056&amp;AuthUser=copom_DDTQ&amp;AuthPass=DDTQcopom&amp;Width=1024&amp;Height=768&amp;Quality=70&amp;FPS=10&amp;ResponseFormat=Text</v>
      </c>
      <c r="P53" s="6">
        <v>1.0</v>
      </c>
    </row>
    <row r="54">
      <c r="A54" s="7" t="s">
        <v>140</v>
      </c>
      <c r="B54" s="2" t="s">
        <v>17</v>
      </c>
      <c r="C54" s="13" t="s">
        <v>141</v>
      </c>
      <c r="D54" s="9">
        <v>28601.0</v>
      </c>
      <c r="E54" s="9" t="s">
        <v>234</v>
      </c>
      <c r="F54" s="14" t="s">
        <v>235</v>
      </c>
      <c r="G54" s="4" t="s">
        <v>236</v>
      </c>
      <c r="H54" s="4" t="s">
        <v>237</v>
      </c>
      <c r="I54" s="5" t="s">
        <v>23</v>
      </c>
      <c r="J54" s="5" t="s">
        <v>24</v>
      </c>
      <c r="K54" s="5" t="s">
        <v>25</v>
      </c>
      <c r="L54" s="11" t="s">
        <v>26</v>
      </c>
      <c r="M54" s="5" t="s">
        <v>27</v>
      </c>
      <c r="N54" t="str">
        <f t="shared" si="1"/>
        <v>URBS 2</v>
      </c>
      <c r="O54" s="12" t="str">
        <f t="shared" si="2"/>
        <v>https://monitoramento.pm.pr.gov.br/proxy_image_2/Interface/Cameras/GetJPEGStream?Camera=Camera057&amp;AuthUser=copom_DDTQ&amp;AuthPass=DDTQcopom&amp;Width=1024&amp;Height=768&amp;Quality=70&amp;FPS=10&amp;ResponseFormat=Text</v>
      </c>
      <c r="P54" s="6">
        <v>1.0</v>
      </c>
    </row>
    <row r="55">
      <c r="A55" s="7" t="s">
        <v>140</v>
      </c>
      <c r="B55" s="2" t="s">
        <v>17</v>
      </c>
      <c r="C55" s="13" t="s">
        <v>141</v>
      </c>
      <c r="D55" s="9">
        <v>28601.0</v>
      </c>
      <c r="E55" s="9" t="s">
        <v>238</v>
      </c>
      <c r="F55" s="14" t="s">
        <v>239</v>
      </c>
      <c r="G55" s="4" t="s">
        <v>240</v>
      </c>
      <c r="H55" s="4" t="s">
        <v>241</v>
      </c>
      <c r="I55" s="5" t="s">
        <v>23</v>
      </c>
      <c r="J55" s="5" t="s">
        <v>24</v>
      </c>
      <c r="K55" s="5" t="s">
        <v>25</v>
      </c>
      <c r="L55" s="11" t="s">
        <v>26</v>
      </c>
      <c r="M55" s="5" t="s">
        <v>27</v>
      </c>
      <c r="N55" t="str">
        <f t="shared" si="1"/>
        <v>URBS 2</v>
      </c>
      <c r="O55" s="12" t="str">
        <f t="shared" si="2"/>
        <v>https://monitoramento.pm.pr.gov.br/proxy_image_2/Interface/Cameras/GetJPEGStream?Camera=Camera058&amp;AuthUser=copom_DDTQ&amp;AuthPass=DDTQcopom&amp;Width=1024&amp;Height=768&amp;Quality=70&amp;FPS=10&amp;ResponseFormat=Text</v>
      </c>
      <c r="P55" s="6">
        <v>1.0</v>
      </c>
    </row>
    <row r="56">
      <c r="A56" s="7" t="s">
        <v>140</v>
      </c>
      <c r="B56" s="2" t="s">
        <v>17</v>
      </c>
      <c r="C56" s="13" t="s">
        <v>141</v>
      </c>
      <c r="D56" s="9">
        <v>28601.0</v>
      </c>
      <c r="E56" s="9" t="s">
        <v>242</v>
      </c>
      <c r="F56" s="14" t="s">
        <v>243</v>
      </c>
      <c r="G56" s="4" t="s">
        <v>244</v>
      </c>
      <c r="H56" s="4" t="s">
        <v>245</v>
      </c>
      <c r="I56" s="5" t="s">
        <v>23</v>
      </c>
      <c r="J56" s="5" t="s">
        <v>24</v>
      </c>
      <c r="K56" s="5" t="s">
        <v>25</v>
      </c>
      <c r="L56" s="11" t="s">
        <v>26</v>
      </c>
      <c r="M56" s="5" t="s">
        <v>27</v>
      </c>
      <c r="N56" t="str">
        <f t="shared" si="1"/>
        <v>URBS 2</v>
      </c>
      <c r="O56" s="12" t="str">
        <f t="shared" si="2"/>
        <v>https://monitoramento.pm.pr.gov.br/proxy_image_2/Interface/Cameras/GetJPEGStream?Camera=Camera059&amp;AuthUser=copom_DDTQ&amp;AuthPass=DDTQcopom&amp;Width=1024&amp;Height=768&amp;Quality=70&amp;FPS=10&amp;ResponseFormat=Text</v>
      </c>
      <c r="P56" s="6">
        <v>1.0</v>
      </c>
    </row>
    <row r="57">
      <c r="A57" s="7" t="s">
        <v>140</v>
      </c>
      <c r="B57" s="2" t="s">
        <v>17</v>
      </c>
      <c r="C57" s="13" t="s">
        <v>141</v>
      </c>
      <c r="D57" s="9">
        <v>28601.0</v>
      </c>
      <c r="E57" s="9" t="s">
        <v>246</v>
      </c>
      <c r="F57" s="14" t="s">
        <v>247</v>
      </c>
      <c r="G57" s="4" t="s">
        <v>248</v>
      </c>
      <c r="H57" s="4" t="s">
        <v>249</v>
      </c>
      <c r="I57" s="5" t="s">
        <v>23</v>
      </c>
      <c r="J57" s="5" t="s">
        <v>24</v>
      </c>
      <c r="K57" s="5" t="s">
        <v>25</v>
      </c>
      <c r="L57" s="11" t="s">
        <v>26</v>
      </c>
      <c r="M57" s="5" t="s">
        <v>27</v>
      </c>
      <c r="N57" t="str">
        <f t="shared" si="1"/>
        <v>URBS 2</v>
      </c>
      <c r="O57" s="12" t="str">
        <f t="shared" si="2"/>
        <v>https://monitoramento.pm.pr.gov.br/proxy_image_2/Interface/Cameras/GetJPEGStream?Camera=Camera060&amp;AuthUser=copom_DDTQ&amp;AuthPass=DDTQcopom&amp;Width=1024&amp;Height=768&amp;Quality=70&amp;FPS=10&amp;ResponseFormat=Text</v>
      </c>
      <c r="P57" s="6">
        <v>1.0</v>
      </c>
    </row>
    <row r="58">
      <c r="A58" s="7" t="s">
        <v>140</v>
      </c>
      <c r="B58" s="2" t="s">
        <v>17</v>
      </c>
      <c r="C58" s="13" t="s">
        <v>141</v>
      </c>
      <c r="D58" s="9">
        <v>28601.0</v>
      </c>
      <c r="E58" s="9" t="s">
        <v>250</v>
      </c>
      <c r="F58" s="14" t="s">
        <v>251</v>
      </c>
      <c r="G58" s="4" t="s">
        <v>252</v>
      </c>
      <c r="H58" s="4" t="s">
        <v>253</v>
      </c>
      <c r="I58" s="5" t="s">
        <v>23</v>
      </c>
      <c r="J58" s="5" t="s">
        <v>24</v>
      </c>
      <c r="K58" s="5" t="s">
        <v>25</v>
      </c>
      <c r="L58" s="11" t="s">
        <v>26</v>
      </c>
      <c r="M58" s="5" t="s">
        <v>27</v>
      </c>
      <c r="N58" t="str">
        <f t="shared" si="1"/>
        <v>URBS 2</v>
      </c>
      <c r="O58" s="12" t="str">
        <f t="shared" si="2"/>
        <v>https://monitoramento.pm.pr.gov.br/proxy_image_2/Interface/Cameras/GetJPEGStream?Camera=Camera061&amp;AuthUser=copom_DDTQ&amp;AuthPass=DDTQcopom&amp;Width=1024&amp;Height=768&amp;Quality=70&amp;FPS=10&amp;ResponseFormat=Text</v>
      </c>
      <c r="P58" s="6">
        <v>1.0</v>
      </c>
    </row>
    <row r="59">
      <c r="A59" s="7" t="s">
        <v>140</v>
      </c>
      <c r="B59" s="2" t="s">
        <v>17</v>
      </c>
      <c r="C59" s="13" t="s">
        <v>141</v>
      </c>
      <c r="D59" s="9">
        <v>28601.0</v>
      </c>
      <c r="E59" s="9" t="s">
        <v>254</v>
      </c>
      <c r="F59" s="14" t="s">
        <v>255</v>
      </c>
      <c r="G59" s="4" t="s">
        <v>256</v>
      </c>
      <c r="H59" s="4" t="s">
        <v>257</v>
      </c>
      <c r="I59" s="5" t="s">
        <v>23</v>
      </c>
      <c r="J59" s="5" t="s">
        <v>24</v>
      </c>
      <c r="K59" s="5" t="s">
        <v>25</v>
      </c>
      <c r="L59" s="11" t="s">
        <v>26</v>
      </c>
      <c r="M59" s="5" t="s">
        <v>27</v>
      </c>
      <c r="N59" t="str">
        <f t="shared" si="1"/>
        <v>URBS 2</v>
      </c>
      <c r="O59" s="12" t="str">
        <f t="shared" si="2"/>
        <v>https://monitoramento.pm.pr.gov.br/proxy_image_2/Interface/Cameras/GetJPEGStream?Camera=Camera062&amp;AuthUser=copom_DDTQ&amp;AuthPass=DDTQcopom&amp;Width=1024&amp;Height=768&amp;Quality=70&amp;FPS=10&amp;ResponseFormat=Text</v>
      </c>
      <c r="P59" s="6">
        <v>1.0</v>
      </c>
    </row>
    <row r="60">
      <c r="A60" s="7" t="s">
        <v>140</v>
      </c>
      <c r="B60" s="2" t="s">
        <v>17</v>
      </c>
      <c r="C60" s="13" t="s">
        <v>141</v>
      </c>
      <c r="D60" s="9">
        <v>28601.0</v>
      </c>
      <c r="E60" s="9" t="s">
        <v>258</v>
      </c>
      <c r="F60" s="14" t="s">
        <v>259</v>
      </c>
      <c r="G60" s="4" t="s">
        <v>260</v>
      </c>
      <c r="H60" s="4" t="s">
        <v>261</v>
      </c>
      <c r="I60" s="5" t="s">
        <v>23</v>
      </c>
      <c r="J60" s="5" t="s">
        <v>24</v>
      </c>
      <c r="K60" s="5" t="s">
        <v>25</v>
      </c>
      <c r="L60" s="11" t="s">
        <v>26</v>
      </c>
      <c r="M60" s="5" t="s">
        <v>27</v>
      </c>
      <c r="N60" t="str">
        <f t="shared" si="1"/>
        <v>URBS 2</v>
      </c>
      <c r="O60" s="12" t="str">
        <f t="shared" si="2"/>
        <v>https://monitoramento.pm.pr.gov.br/proxy_image_2/Interface/Cameras/GetJPEGStream?Camera=Camera063&amp;AuthUser=copom_DDTQ&amp;AuthPass=DDTQcopom&amp;Width=1024&amp;Height=768&amp;Quality=70&amp;FPS=10&amp;ResponseFormat=Text</v>
      </c>
      <c r="P60" s="6">
        <v>1.0</v>
      </c>
    </row>
    <row r="61">
      <c r="A61" s="7" t="s">
        <v>140</v>
      </c>
      <c r="B61" s="2" t="s">
        <v>17</v>
      </c>
      <c r="C61" s="13" t="s">
        <v>141</v>
      </c>
      <c r="D61" s="9">
        <v>28601.0</v>
      </c>
      <c r="E61" s="9" t="s">
        <v>262</v>
      </c>
      <c r="F61" s="14" t="s">
        <v>263</v>
      </c>
      <c r="G61" s="4" t="s">
        <v>264</v>
      </c>
      <c r="H61" s="4" t="s">
        <v>265</v>
      </c>
      <c r="I61" s="5" t="s">
        <v>23</v>
      </c>
      <c r="J61" s="5" t="s">
        <v>24</v>
      </c>
      <c r="K61" s="5" t="s">
        <v>25</v>
      </c>
      <c r="L61" s="11" t="s">
        <v>26</v>
      </c>
      <c r="M61" s="5" t="s">
        <v>27</v>
      </c>
      <c r="N61" t="str">
        <f t="shared" si="1"/>
        <v>URBS 2</v>
      </c>
      <c r="O61" s="12" t="str">
        <f t="shared" si="2"/>
        <v>https://monitoramento.pm.pr.gov.br/proxy_image_2/Interface/Cameras/GetJPEGStream?Camera=Camera064&amp;AuthUser=copom_DDTQ&amp;AuthPass=DDTQcopom&amp;Width=1024&amp;Height=768&amp;Quality=70&amp;FPS=10&amp;ResponseFormat=Text</v>
      </c>
      <c r="P61" s="6">
        <v>1.0</v>
      </c>
    </row>
    <row r="62">
      <c r="A62" s="7" t="s">
        <v>140</v>
      </c>
      <c r="B62" s="2" t="s">
        <v>17</v>
      </c>
      <c r="C62" s="13" t="s">
        <v>141</v>
      </c>
      <c r="D62" s="9">
        <v>28601.0</v>
      </c>
      <c r="E62" s="9" t="s">
        <v>266</v>
      </c>
      <c r="F62" s="14" t="s">
        <v>267</v>
      </c>
      <c r="G62" s="4" t="s">
        <v>268</v>
      </c>
      <c r="H62" s="4" t="s">
        <v>269</v>
      </c>
      <c r="I62" s="5" t="s">
        <v>23</v>
      </c>
      <c r="J62" s="5" t="s">
        <v>24</v>
      </c>
      <c r="K62" s="5" t="s">
        <v>25</v>
      </c>
      <c r="L62" s="11" t="s">
        <v>26</v>
      </c>
      <c r="M62" s="5" t="s">
        <v>27</v>
      </c>
      <c r="N62" t="str">
        <f t="shared" si="1"/>
        <v>URBS 2</v>
      </c>
      <c r="O62" s="12" t="str">
        <f t="shared" si="2"/>
        <v>https://monitoramento.pm.pr.gov.br/proxy_image_2/Interface/Cameras/GetJPEGStream?Camera=Camera065&amp;AuthUser=copom_DDTQ&amp;AuthPass=DDTQcopom&amp;Width=1024&amp;Height=768&amp;Quality=70&amp;FPS=10&amp;ResponseFormat=Text</v>
      </c>
      <c r="P62" s="6">
        <v>1.0</v>
      </c>
    </row>
    <row r="63">
      <c r="A63" s="7" t="s">
        <v>140</v>
      </c>
      <c r="B63" s="2" t="s">
        <v>17</v>
      </c>
      <c r="C63" s="13" t="s">
        <v>141</v>
      </c>
      <c r="D63" s="9">
        <v>28601.0</v>
      </c>
      <c r="E63" s="9" t="s">
        <v>270</v>
      </c>
      <c r="F63" s="14" t="s">
        <v>271</v>
      </c>
      <c r="G63" s="4" t="s">
        <v>272</v>
      </c>
      <c r="H63" s="4" t="s">
        <v>273</v>
      </c>
      <c r="I63" s="5" t="s">
        <v>23</v>
      </c>
      <c r="J63" s="5" t="s">
        <v>24</v>
      </c>
      <c r="K63" s="5" t="s">
        <v>25</v>
      </c>
      <c r="L63" s="11" t="s">
        <v>26</v>
      </c>
      <c r="M63" s="5" t="s">
        <v>27</v>
      </c>
      <c r="N63" t="str">
        <f t="shared" si="1"/>
        <v>URBS 2</v>
      </c>
      <c r="O63" s="12" t="str">
        <f t="shared" si="2"/>
        <v>https://monitoramento.pm.pr.gov.br/proxy_image_2/Interface/Cameras/GetJPEGStream?Camera=Camera066&amp;AuthUser=copom_DDTQ&amp;AuthPass=DDTQcopom&amp;Width=1024&amp;Height=768&amp;Quality=70&amp;FPS=10&amp;ResponseFormat=Text</v>
      </c>
      <c r="P63" s="6">
        <v>1.0</v>
      </c>
    </row>
    <row r="64">
      <c r="A64" s="7" t="s">
        <v>140</v>
      </c>
      <c r="B64" s="2" t="s">
        <v>17</v>
      </c>
      <c r="C64" s="13" t="s">
        <v>141</v>
      </c>
      <c r="D64" s="9">
        <v>28601.0</v>
      </c>
      <c r="E64" s="9" t="s">
        <v>274</v>
      </c>
      <c r="F64" s="14" t="s">
        <v>275</v>
      </c>
      <c r="G64" s="4" t="s">
        <v>276</v>
      </c>
      <c r="H64" s="4" t="s">
        <v>277</v>
      </c>
      <c r="I64" s="5" t="s">
        <v>23</v>
      </c>
      <c r="J64" s="5" t="s">
        <v>24</v>
      </c>
      <c r="K64" s="5" t="s">
        <v>25</v>
      </c>
      <c r="L64" s="11" t="s">
        <v>26</v>
      </c>
      <c r="M64" s="5" t="s">
        <v>27</v>
      </c>
      <c r="N64" t="str">
        <f t="shared" si="1"/>
        <v>URBS 2</v>
      </c>
      <c r="O64" s="12" t="str">
        <f t="shared" si="2"/>
        <v>https://monitoramento.pm.pr.gov.br/proxy_image_2/Interface/Cameras/GetJPEGStream?Camera=Camera067&amp;AuthUser=copom_DDTQ&amp;AuthPass=DDTQcopom&amp;Width=1024&amp;Height=768&amp;Quality=70&amp;FPS=10&amp;ResponseFormat=Text</v>
      </c>
      <c r="P64" s="6">
        <v>1.0</v>
      </c>
    </row>
    <row r="65">
      <c r="A65" s="7" t="s">
        <v>140</v>
      </c>
      <c r="B65" s="2" t="s">
        <v>17</v>
      </c>
      <c r="C65" s="13" t="s">
        <v>141</v>
      </c>
      <c r="D65" s="9">
        <v>28601.0</v>
      </c>
      <c r="E65" s="9" t="s">
        <v>278</v>
      </c>
      <c r="F65" s="14" t="s">
        <v>279</v>
      </c>
      <c r="G65" s="4" t="s">
        <v>280</v>
      </c>
      <c r="H65" s="4" t="s">
        <v>281</v>
      </c>
      <c r="I65" s="5" t="s">
        <v>23</v>
      </c>
      <c r="J65" s="5" t="s">
        <v>24</v>
      </c>
      <c r="K65" s="5" t="s">
        <v>25</v>
      </c>
      <c r="L65" s="11" t="s">
        <v>26</v>
      </c>
      <c r="M65" s="5" t="s">
        <v>27</v>
      </c>
      <c r="N65" t="str">
        <f t="shared" si="1"/>
        <v>URBS 2</v>
      </c>
      <c r="O65" s="12" t="str">
        <f t="shared" si="2"/>
        <v>https://monitoramento.pm.pr.gov.br/proxy_image_2/Interface/Cameras/GetJPEGStream?Camera=Camera068&amp;AuthUser=copom_DDTQ&amp;AuthPass=DDTQcopom&amp;Width=1024&amp;Height=768&amp;Quality=70&amp;FPS=10&amp;ResponseFormat=Text</v>
      </c>
      <c r="P65" s="6">
        <v>1.0</v>
      </c>
    </row>
    <row r="66">
      <c r="A66" s="7" t="s">
        <v>140</v>
      </c>
      <c r="B66" s="2" t="s">
        <v>17</v>
      </c>
      <c r="C66" s="13" t="s">
        <v>141</v>
      </c>
      <c r="D66" s="9">
        <v>28601.0</v>
      </c>
      <c r="E66" s="9" t="s">
        <v>282</v>
      </c>
      <c r="F66" s="14" t="s">
        <v>283</v>
      </c>
      <c r="G66" s="4" t="s">
        <v>284</v>
      </c>
      <c r="H66" s="4" t="s">
        <v>285</v>
      </c>
      <c r="I66" s="5" t="s">
        <v>23</v>
      </c>
      <c r="J66" s="5" t="s">
        <v>24</v>
      </c>
      <c r="K66" s="5" t="s">
        <v>25</v>
      </c>
      <c r="L66" s="11" t="s">
        <v>26</v>
      </c>
      <c r="M66" s="5" t="s">
        <v>27</v>
      </c>
      <c r="N66" t="str">
        <f t="shared" si="1"/>
        <v>URBS 2</v>
      </c>
      <c r="O66" s="12" t="str">
        <f t="shared" si="2"/>
        <v>https://monitoramento.pm.pr.gov.br/proxy_image_2/Interface/Cameras/GetJPEGStream?Camera=Camera069&amp;AuthUser=copom_DDTQ&amp;AuthPass=DDTQcopom&amp;Width=1024&amp;Height=768&amp;Quality=70&amp;FPS=10&amp;ResponseFormat=Text</v>
      </c>
      <c r="P66" s="6">
        <v>1.0</v>
      </c>
    </row>
    <row r="67">
      <c r="A67" s="7" t="s">
        <v>140</v>
      </c>
      <c r="B67" s="2" t="s">
        <v>17</v>
      </c>
      <c r="C67" s="13" t="s">
        <v>141</v>
      </c>
      <c r="D67" s="9">
        <v>28601.0</v>
      </c>
      <c r="E67" s="9" t="s">
        <v>286</v>
      </c>
      <c r="F67" s="14" t="s">
        <v>287</v>
      </c>
      <c r="G67" s="4" t="s">
        <v>288</v>
      </c>
      <c r="H67" s="4" t="s">
        <v>289</v>
      </c>
      <c r="I67" s="5" t="s">
        <v>23</v>
      </c>
      <c r="J67" s="5" t="s">
        <v>24</v>
      </c>
      <c r="K67" s="5" t="s">
        <v>25</v>
      </c>
      <c r="L67" s="11" t="s">
        <v>26</v>
      </c>
      <c r="M67" s="5" t="s">
        <v>27</v>
      </c>
      <c r="N67" t="str">
        <f t="shared" si="1"/>
        <v>URBS 2</v>
      </c>
      <c r="O67" s="12" t="str">
        <f t="shared" si="2"/>
        <v>https://monitoramento.pm.pr.gov.br/proxy_image_2/Interface/Cameras/GetJPEGStream?Camera=Camera070&amp;AuthUser=copom_DDTQ&amp;AuthPass=DDTQcopom&amp;Width=1024&amp;Height=768&amp;Quality=70&amp;FPS=10&amp;ResponseFormat=Text</v>
      </c>
      <c r="P67" s="6">
        <v>1.0</v>
      </c>
    </row>
    <row r="68">
      <c r="A68" s="7" t="s">
        <v>140</v>
      </c>
      <c r="B68" s="2" t="s">
        <v>17</v>
      </c>
      <c r="C68" s="13" t="s">
        <v>141</v>
      </c>
      <c r="D68" s="9">
        <v>28601.0</v>
      </c>
      <c r="E68" s="9" t="s">
        <v>290</v>
      </c>
      <c r="F68" s="14" t="s">
        <v>291</v>
      </c>
      <c r="G68" s="4" t="s">
        <v>292</v>
      </c>
      <c r="H68" s="4" t="s">
        <v>293</v>
      </c>
      <c r="I68" s="5" t="s">
        <v>23</v>
      </c>
      <c r="J68" s="5" t="s">
        <v>24</v>
      </c>
      <c r="K68" s="5" t="s">
        <v>25</v>
      </c>
      <c r="L68" s="11" t="s">
        <v>26</v>
      </c>
      <c r="M68" s="5" t="s">
        <v>27</v>
      </c>
      <c r="N68" t="str">
        <f t="shared" si="1"/>
        <v>URBS 2</v>
      </c>
      <c r="O68" s="12" t="str">
        <f t="shared" si="2"/>
        <v>https://monitoramento.pm.pr.gov.br/proxy_image_2/Interface/Cameras/GetJPEGStream?Camera=Camera071&amp;AuthUser=copom_DDTQ&amp;AuthPass=DDTQcopom&amp;Width=1024&amp;Height=768&amp;Quality=70&amp;FPS=10&amp;ResponseFormat=Text</v>
      </c>
      <c r="P68" s="6">
        <v>1.0</v>
      </c>
    </row>
    <row r="69">
      <c r="A69" s="7" t="s">
        <v>140</v>
      </c>
      <c r="B69" s="2" t="s">
        <v>17</v>
      </c>
      <c r="C69" s="13" t="s">
        <v>141</v>
      </c>
      <c r="D69" s="9">
        <v>28601.0</v>
      </c>
      <c r="E69" s="9" t="s">
        <v>294</v>
      </c>
      <c r="F69" s="14" t="s">
        <v>295</v>
      </c>
      <c r="G69" s="4" t="s">
        <v>296</v>
      </c>
      <c r="H69" s="4" t="s">
        <v>297</v>
      </c>
      <c r="I69" s="5" t="s">
        <v>23</v>
      </c>
      <c r="J69" s="5" t="s">
        <v>24</v>
      </c>
      <c r="K69" s="5" t="s">
        <v>25</v>
      </c>
      <c r="L69" s="11" t="s">
        <v>26</v>
      </c>
      <c r="M69" s="5" t="s">
        <v>27</v>
      </c>
      <c r="N69" t="str">
        <f t="shared" si="1"/>
        <v>URBS 2</v>
      </c>
      <c r="O69" s="12" t="str">
        <f t="shared" si="2"/>
        <v>https://monitoramento.pm.pr.gov.br/proxy_image_2/Interface/Cameras/GetJPEGStream?Camera=Camera072&amp;AuthUser=copom_DDTQ&amp;AuthPass=DDTQcopom&amp;Width=1024&amp;Height=768&amp;Quality=70&amp;FPS=10&amp;ResponseFormat=Text</v>
      </c>
      <c r="P69" s="6">
        <v>1.0</v>
      </c>
    </row>
    <row r="70">
      <c r="A70" s="7" t="s">
        <v>140</v>
      </c>
      <c r="B70" s="2" t="s">
        <v>17</v>
      </c>
      <c r="C70" s="13" t="s">
        <v>141</v>
      </c>
      <c r="D70" s="9">
        <v>28601.0</v>
      </c>
      <c r="E70" s="9" t="s">
        <v>298</v>
      </c>
      <c r="F70" s="14" t="s">
        <v>299</v>
      </c>
      <c r="G70" s="4" t="s">
        <v>300</v>
      </c>
      <c r="H70" s="4" t="s">
        <v>301</v>
      </c>
      <c r="I70" s="5" t="s">
        <v>23</v>
      </c>
      <c r="J70" s="5" t="s">
        <v>24</v>
      </c>
      <c r="K70" s="5" t="s">
        <v>25</v>
      </c>
      <c r="L70" s="11" t="s">
        <v>26</v>
      </c>
      <c r="M70" s="5" t="s">
        <v>27</v>
      </c>
      <c r="N70" t="str">
        <f t="shared" si="1"/>
        <v>URBS 2</v>
      </c>
      <c r="O70" s="12" t="str">
        <f t="shared" si="2"/>
        <v>https://monitoramento.pm.pr.gov.br/proxy_image_2/Interface/Cameras/GetJPEGStream?Camera=Camera073&amp;AuthUser=copom_DDTQ&amp;AuthPass=DDTQcopom&amp;Width=1024&amp;Height=768&amp;Quality=70&amp;FPS=10&amp;ResponseFormat=Text</v>
      </c>
      <c r="P70" s="6">
        <v>1.0</v>
      </c>
    </row>
    <row r="71">
      <c r="A71" s="7" t="s">
        <v>140</v>
      </c>
      <c r="B71" s="2" t="s">
        <v>17</v>
      </c>
      <c r="C71" s="13" t="s">
        <v>141</v>
      </c>
      <c r="D71" s="9">
        <v>28601.0</v>
      </c>
      <c r="E71" s="9" t="s">
        <v>302</v>
      </c>
      <c r="F71" s="14" t="s">
        <v>303</v>
      </c>
      <c r="G71" s="4" t="s">
        <v>304</v>
      </c>
      <c r="H71" s="4" t="s">
        <v>305</v>
      </c>
      <c r="I71" s="5" t="s">
        <v>23</v>
      </c>
      <c r="J71" s="5" t="s">
        <v>24</v>
      </c>
      <c r="K71" s="5" t="s">
        <v>25</v>
      </c>
      <c r="L71" s="11" t="s">
        <v>26</v>
      </c>
      <c r="M71" s="5" t="s">
        <v>27</v>
      </c>
      <c r="N71" t="str">
        <f t="shared" si="1"/>
        <v>URBS 2</v>
      </c>
      <c r="O71" s="12" t="str">
        <f t="shared" si="2"/>
        <v>https://monitoramento.pm.pr.gov.br/proxy_image_2/Interface/Cameras/GetJPEGStream?Camera=Camera074&amp;AuthUser=copom_DDTQ&amp;AuthPass=DDTQcopom&amp;Width=1024&amp;Height=768&amp;Quality=70&amp;FPS=10&amp;ResponseFormat=Text</v>
      </c>
      <c r="P71" s="6">
        <v>1.0</v>
      </c>
    </row>
    <row r="72">
      <c r="A72" s="7" t="s">
        <v>140</v>
      </c>
      <c r="B72" s="2" t="s">
        <v>17</v>
      </c>
      <c r="C72" s="13" t="s">
        <v>141</v>
      </c>
      <c r="D72" s="9">
        <v>28601.0</v>
      </c>
      <c r="E72" s="9" t="s">
        <v>306</v>
      </c>
      <c r="F72" s="14" t="s">
        <v>307</v>
      </c>
      <c r="G72" s="4" t="s">
        <v>308</v>
      </c>
      <c r="H72" s="4" t="s">
        <v>309</v>
      </c>
      <c r="I72" s="5" t="s">
        <v>23</v>
      </c>
      <c r="J72" s="5" t="s">
        <v>24</v>
      </c>
      <c r="K72" s="5" t="s">
        <v>25</v>
      </c>
      <c r="L72" s="11" t="s">
        <v>26</v>
      </c>
      <c r="M72" s="5" t="s">
        <v>27</v>
      </c>
      <c r="N72" t="str">
        <f t="shared" si="1"/>
        <v>URBS 2</v>
      </c>
      <c r="O72" s="12" t="str">
        <f t="shared" si="2"/>
        <v>https://monitoramento.pm.pr.gov.br/proxy_image_2/Interface/Cameras/GetJPEGStream?Camera=Camera075&amp;AuthUser=copom_DDTQ&amp;AuthPass=DDTQcopom&amp;Width=1024&amp;Height=768&amp;Quality=70&amp;FPS=10&amp;ResponseFormat=Text</v>
      </c>
      <c r="P72" s="6">
        <v>1.0</v>
      </c>
    </row>
    <row r="73">
      <c r="A73" s="7" t="s">
        <v>140</v>
      </c>
      <c r="B73" s="2" t="s">
        <v>17</v>
      </c>
      <c r="C73" s="13" t="s">
        <v>141</v>
      </c>
      <c r="D73" s="9">
        <v>28601.0</v>
      </c>
      <c r="E73" s="9" t="s">
        <v>310</v>
      </c>
      <c r="F73" s="14" t="s">
        <v>311</v>
      </c>
      <c r="G73" s="4" t="s">
        <v>312</v>
      </c>
      <c r="H73" s="4" t="s">
        <v>313</v>
      </c>
      <c r="I73" s="5" t="s">
        <v>23</v>
      </c>
      <c r="J73" s="5" t="s">
        <v>24</v>
      </c>
      <c r="K73" s="5" t="s">
        <v>25</v>
      </c>
      <c r="L73" s="11" t="s">
        <v>26</v>
      </c>
      <c r="M73" s="5" t="s">
        <v>27</v>
      </c>
      <c r="N73" t="str">
        <f t="shared" si="1"/>
        <v>URBS 2</v>
      </c>
      <c r="O73" s="12" t="str">
        <f t="shared" si="2"/>
        <v>https://monitoramento.pm.pr.gov.br/proxy_image_2/Interface/Cameras/GetJPEGStream?Camera=Camera076&amp;AuthUser=copom_DDTQ&amp;AuthPass=DDTQcopom&amp;Width=1024&amp;Height=768&amp;Quality=70&amp;FPS=10&amp;ResponseFormat=Text</v>
      </c>
      <c r="P73" s="6">
        <v>1.0</v>
      </c>
    </row>
    <row r="74">
      <c r="A74" s="7" t="s">
        <v>140</v>
      </c>
      <c r="B74" s="2" t="s">
        <v>17</v>
      </c>
      <c r="C74" s="13" t="s">
        <v>141</v>
      </c>
      <c r="D74" s="9">
        <v>28601.0</v>
      </c>
      <c r="E74" s="9" t="s">
        <v>314</v>
      </c>
      <c r="F74" s="14" t="s">
        <v>315</v>
      </c>
      <c r="G74" s="4" t="s">
        <v>316</v>
      </c>
      <c r="H74" s="4" t="s">
        <v>317</v>
      </c>
      <c r="I74" s="5" t="s">
        <v>23</v>
      </c>
      <c r="J74" s="5" t="s">
        <v>24</v>
      </c>
      <c r="K74" s="5" t="s">
        <v>25</v>
      </c>
      <c r="L74" s="11" t="s">
        <v>26</v>
      </c>
      <c r="M74" s="5" t="s">
        <v>27</v>
      </c>
      <c r="N74" t="str">
        <f t="shared" si="1"/>
        <v>URBS 2</v>
      </c>
      <c r="O74" s="12" t="str">
        <f t="shared" si="2"/>
        <v>https://monitoramento.pm.pr.gov.br/proxy_image_2/Interface/Cameras/GetJPEGStream?Camera=Camera077&amp;AuthUser=copom_DDTQ&amp;AuthPass=DDTQcopom&amp;Width=1024&amp;Height=768&amp;Quality=70&amp;FPS=10&amp;ResponseFormat=Text</v>
      </c>
      <c r="P74" s="6">
        <v>1.0</v>
      </c>
    </row>
    <row r="75">
      <c r="A75" s="7" t="s">
        <v>140</v>
      </c>
      <c r="B75" s="2" t="s">
        <v>17</v>
      </c>
      <c r="C75" s="13" t="s">
        <v>141</v>
      </c>
      <c r="D75" s="9">
        <v>28601.0</v>
      </c>
      <c r="E75" s="9" t="s">
        <v>318</v>
      </c>
      <c r="F75" s="14" t="s">
        <v>319</v>
      </c>
      <c r="G75" s="4" t="s">
        <v>320</v>
      </c>
      <c r="H75" s="4" t="s">
        <v>321</v>
      </c>
      <c r="I75" s="5" t="s">
        <v>23</v>
      </c>
      <c r="J75" s="5" t="s">
        <v>24</v>
      </c>
      <c r="K75" s="5" t="s">
        <v>25</v>
      </c>
      <c r="L75" s="11" t="s">
        <v>26</v>
      </c>
      <c r="M75" s="5" t="s">
        <v>27</v>
      </c>
      <c r="N75" t="str">
        <f t="shared" si="1"/>
        <v>URBS 2</v>
      </c>
      <c r="O75" s="12" t="str">
        <f t="shared" si="2"/>
        <v>https://monitoramento.pm.pr.gov.br/proxy_image_2/Interface/Cameras/GetJPEGStream?Camera=Camera078&amp;AuthUser=copom_DDTQ&amp;AuthPass=DDTQcopom&amp;Width=1024&amp;Height=768&amp;Quality=70&amp;FPS=10&amp;ResponseFormat=Text</v>
      </c>
      <c r="P75" s="6">
        <v>1.0</v>
      </c>
    </row>
    <row r="76">
      <c r="A76" s="7" t="s">
        <v>140</v>
      </c>
      <c r="B76" s="2" t="s">
        <v>17</v>
      </c>
      <c r="C76" s="13" t="s">
        <v>141</v>
      </c>
      <c r="D76" s="9">
        <v>28601.0</v>
      </c>
      <c r="E76" s="9" t="s">
        <v>322</v>
      </c>
      <c r="F76" s="14" t="s">
        <v>323</v>
      </c>
      <c r="G76" s="4" t="s">
        <v>324</v>
      </c>
      <c r="H76" s="4" t="s">
        <v>325</v>
      </c>
      <c r="I76" s="5" t="s">
        <v>23</v>
      </c>
      <c r="J76" s="5" t="s">
        <v>24</v>
      </c>
      <c r="K76" s="5" t="s">
        <v>25</v>
      </c>
      <c r="L76" s="11" t="s">
        <v>26</v>
      </c>
      <c r="M76" s="5" t="s">
        <v>27</v>
      </c>
      <c r="N76" t="str">
        <f t="shared" si="1"/>
        <v>URBS 2</v>
      </c>
      <c r="O76" s="12" t="str">
        <f t="shared" si="2"/>
        <v>https://monitoramento.pm.pr.gov.br/proxy_image_2/Interface/Cameras/GetJPEGStream?Camera=Camera079&amp;AuthUser=copom_DDTQ&amp;AuthPass=DDTQcopom&amp;Width=1024&amp;Height=768&amp;Quality=70&amp;FPS=10&amp;ResponseFormat=Text</v>
      </c>
      <c r="P76" s="6">
        <v>1.0</v>
      </c>
    </row>
    <row r="77">
      <c r="A77" s="7" t="s">
        <v>140</v>
      </c>
      <c r="B77" s="2" t="s">
        <v>17</v>
      </c>
      <c r="C77" s="13" t="s">
        <v>141</v>
      </c>
      <c r="D77" s="9">
        <v>28601.0</v>
      </c>
      <c r="E77" s="9" t="s">
        <v>326</v>
      </c>
      <c r="F77" s="14" t="s">
        <v>327</v>
      </c>
      <c r="G77" s="4" t="s">
        <v>328</v>
      </c>
      <c r="H77" s="4" t="s">
        <v>329</v>
      </c>
      <c r="I77" s="5" t="s">
        <v>23</v>
      </c>
      <c r="J77" s="5" t="s">
        <v>24</v>
      </c>
      <c r="K77" s="5" t="s">
        <v>25</v>
      </c>
      <c r="L77" s="11" t="s">
        <v>26</v>
      </c>
      <c r="M77" s="5" t="s">
        <v>27</v>
      </c>
      <c r="N77" t="str">
        <f t="shared" si="1"/>
        <v>URBS 2</v>
      </c>
      <c r="O77" s="12" t="str">
        <f t="shared" si="2"/>
        <v>https://monitoramento.pm.pr.gov.br/proxy_image_2/Interface/Cameras/GetJPEGStream?Camera=Camera080&amp;AuthUser=copom_DDTQ&amp;AuthPass=DDTQcopom&amp;Width=1024&amp;Height=768&amp;Quality=70&amp;FPS=10&amp;ResponseFormat=Text</v>
      </c>
      <c r="P77" s="6">
        <v>1.0</v>
      </c>
    </row>
    <row r="78">
      <c r="A78" s="7" t="s">
        <v>140</v>
      </c>
      <c r="B78" s="2" t="s">
        <v>17</v>
      </c>
      <c r="C78" s="13" t="s">
        <v>141</v>
      </c>
      <c r="D78" s="9">
        <v>28601.0</v>
      </c>
      <c r="E78" s="9" t="s">
        <v>330</v>
      </c>
      <c r="F78" s="14" t="s">
        <v>331</v>
      </c>
      <c r="G78" s="4" t="s">
        <v>332</v>
      </c>
      <c r="H78" s="4" t="s">
        <v>333</v>
      </c>
      <c r="I78" s="5" t="s">
        <v>23</v>
      </c>
      <c r="J78" s="5" t="s">
        <v>24</v>
      </c>
      <c r="K78" s="5" t="s">
        <v>25</v>
      </c>
      <c r="L78" s="11" t="s">
        <v>26</v>
      </c>
      <c r="M78" s="5" t="s">
        <v>27</v>
      </c>
      <c r="N78" t="str">
        <f t="shared" si="1"/>
        <v>URBS 2</v>
      </c>
      <c r="O78" s="12" t="str">
        <f t="shared" si="2"/>
        <v>https://monitoramento.pm.pr.gov.br/proxy_image_2/Interface/Cameras/GetJPEGStream?Camera=Camera081&amp;AuthUser=copom_DDTQ&amp;AuthPass=DDTQcopom&amp;Width=1024&amp;Height=768&amp;Quality=70&amp;FPS=10&amp;ResponseFormat=Text</v>
      </c>
      <c r="P78" s="6">
        <v>1.0</v>
      </c>
    </row>
    <row r="79">
      <c r="A79" s="7" t="s">
        <v>140</v>
      </c>
      <c r="B79" s="2" t="s">
        <v>17</v>
      </c>
      <c r="C79" s="13" t="s">
        <v>141</v>
      </c>
      <c r="D79" s="9">
        <v>28601.0</v>
      </c>
      <c r="E79" s="9" t="s">
        <v>334</v>
      </c>
      <c r="F79" s="14" t="s">
        <v>335</v>
      </c>
      <c r="G79" s="4" t="s">
        <v>336</v>
      </c>
      <c r="H79" s="4" t="s">
        <v>337</v>
      </c>
      <c r="I79" s="5" t="s">
        <v>23</v>
      </c>
      <c r="J79" s="5" t="s">
        <v>24</v>
      </c>
      <c r="K79" s="5" t="s">
        <v>25</v>
      </c>
      <c r="L79" s="11" t="s">
        <v>26</v>
      </c>
      <c r="M79" s="5" t="s">
        <v>27</v>
      </c>
      <c r="N79" t="str">
        <f t="shared" si="1"/>
        <v>URBS 2</v>
      </c>
      <c r="O79" s="12" t="str">
        <f t="shared" si="2"/>
        <v>https://monitoramento.pm.pr.gov.br/proxy_image_2/Interface/Cameras/GetJPEGStream?Camera=Camera082&amp;AuthUser=copom_DDTQ&amp;AuthPass=DDTQcopom&amp;Width=1024&amp;Height=768&amp;Quality=70&amp;FPS=10&amp;ResponseFormat=Text</v>
      </c>
      <c r="P79" s="6">
        <v>1.0</v>
      </c>
    </row>
    <row r="80">
      <c r="A80" s="7" t="s">
        <v>140</v>
      </c>
      <c r="B80" s="2" t="s">
        <v>17</v>
      </c>
      <c r="C80" s="13" t="s">
        <v>141</v>
      </c>
      <c r="D80" s="9">
        <v>28601.0</v>
      </c>
      <c r="E80" s="9" t="s">
        <v>338</v>
      </c>
      <c r="F80" s="14" t="s">
        <v>339</v>
      </c>
      <c r="G80" s="4" t="s">
        <v>340</v>
      </c>
      <c r="H80" s="4" t="s">
        <v>341</v>
      </c>
      <c r="I80" s="5" t="s">
        <v>23</v>
      </c>
      <c r="J80" s="5" t="s">
        <v>24</v>
      </c>
      <c r="K80" s="5" t="s">
        <v>25</v>
      </c>
      <c r="L80" s="11" t="s">
        <v>26</v>
      </c>
      <c r="M80" s="5" t="s">
        <v>27</v>
      </c>
      <c r="N80" t="str">
        <f t="shared" si="1"/>
        <v>URBS 2</v>
      </c>
      <c r="O80" s="12" t="str">
        <f t="shared" si="2"/>
        <v>https://monitoramento.pm.pr.gov.br/proxy_image_2/Interface/Cameras/GetJPEGStream?Camera=Camera083&amp;AuthUser=copom_DDTQ&amp;AuthPass=DDTQcopom&amp;Width=1024&amp;Height=768&amp;Quality=70&amp;FPS=10&amp;ResponseFormat=Text</v>
      </c>
      <c r="P80" s="6">
        <v>1.0</v>
      </c>
    </row>
    <row r="81">
      <c r="A81" s="7" t="s">
        <v>140</v>
      </c>
      <c r="B81" s="2" t="s">
        <v>17</v>
      </c>
      <c r="C81" s="13" t="s">
        <v>141</v>
      </c>
      <c r="D81" s="9">
        <v>28601.0</v>
      </c>
      <c r="E81" s="9" t="s">
        <v>342</v>
      </c>
      <c r="F81" s="14" t="s">
        <v>343</v>
      </c>
      <c r="G81" s="4" t="s">
        <v>344</v>
      </c>
      <c r="H81" s="4" t="s">
        <v>345</v>
      </c>
      <c r="I81" s="5" t="s">
        <v>23</v>
      </c>
      <c r="J81" s="5" t="s">
        <v>24</v>
      </c>
      <c r="K81" s="5" t="s">
        <v>25</v>
      </c>
      <c r="L81" s="11" t="s">
        <v>26</v>
      </c>
      <c r="M81" s="5" t="s">
        <v>27</v>
      </c>
      <c r="N81" t="str">
        <f t="shared" si="1"/>
        <v>URBS 2</v>
      </c>
      <c r="O81" s="12" t="str">
        <f t="shared" si="2"/>
        <v>https://monitoramento.pm.pr.gov.br/proxy_image_2/Interface/Cameras/GetJPEGStream?Camera=Camera084&amp;AuthUser=copom_DDTQ&amp;AuthPass=DDTQcopom&amp;Width=1024&amp;Height=768&amp;Quality=70&amp;FPS=10&amp;ResponseFormat=Text</v>
      </c>
      <c r="P81" s="6">
        <v>1.0</v>
      </c>
    </row>
    <row r="82">
      <c r="A82" s="7" t="s">
        <v>140</v>
      </c>
      <c r="B82" s="2" t="s">
        <v>17</v>
      </c>
      <c r="C82" s="13" t="s">
        <v>141</v>
      </c>
      <c r="D82" s="9">
        <v>28601.0</v>
      </c>
      <c r="E82" s="9" t="s">
        <v>346</v>
      </c>
      <c r="F82" s="14" t="s">
        <v>347</v>
      </c>
      <c r="G82" s="4" t="s">
        <v>348</v>
      </c>
      <c r="H82" s="4" t="s">
        <v>349</v>
      </c>
      <c r="I82" s="5" t="s">
        <v>23</v>
      </c>
      <c r="J82" s="5" t="s">
        <v>24</v>
      </c>
      <c r="K82" s="5" t="s">
        <v>25</v>
      </c>
      <c r="L82" s="11" t="s">
        <v>26</v>
      </c>
      <c r="M82" s="5" t="s">
        <v>27</v>
      </c>
      <c r="N82" t="str">
        <f t="shared" si="1"/>
        <v>URBS 2</v>
      </c>
      <c r="O82" s="12" t="str">
        <f t="shared" si="2"/>
        <v>https://monitoramento.pm.pr.gov.br/proxy_image_2/Interface/Cameras/GetJPEGStream?Camera=Camera085&amp;AuthUser=copom_DDTQ&amp;AuthPass=DDTQcopom&amp;Width=1024&amp;Height=768&amp;Quality=70&amp;FPS=10&amp;ResponseFormat=Text</v>
      </c>
      <c r="P82" s="6">
        <v>1.0</v>
      </c>
    </row>
    <row r="83">
      <c r="A83" s="7" t="s">
        <v>140</v>
      </c>
      <c r="B83" s="2" t="s">
        <v>17</v>
      </c>
      <c r="C83" s="13" t="s">
        <v>141</v>
      </c>
      <c r="D83" s="9">
        <v>28601.0</v>
      </c>
      <c r="E83" s="9" t="s">
        <v>350</v>
      </c>
      <c r="F83" s="14" t="s">
        <v>351</v>
      </c>
      <c r="G83" s="4" t="s">
        <v>352</v>
      </c>
      <c r="H83" s="4" t="s">
        <v>353</v>
      </c>
      <c r="I83" s="5" t="s">
        <v>23</v>
      </c>
      <c r="J83" s="5" t="s">
        <v>24</v>
      </c>
      <c r="K83" s="5" t="s">
        <v>25</v>
      </c>
      <c r="L83" s="11" t="s">
        <v>26</v>
      </c>
      <c r="M83" s="5" t="s">
        <v>27</v>
      </c>
      <c r="N83" t="str">
        <f t="shared" si="1"/>
        <v>URBS 2</v>
      </c>
      <c r="O83" s="12" t="str">
        <f t="shared" si="2"/>
        <v>https://monitoramento.pm.pr.gov.br/proxy_image_2/Interface/Cameras/GetJPEGStream?Camera=Camera086&amp;AuthUser=copom_DDTQ&amp;AuthPass=DDTQcopom&amp;Width=1024&amp;Height=768&amp;Quality=70&amp;FPS=10&amp;ResponseFormat=Text</v>
      </c>
      <c r="P83" s="6">
        <v>1.0</v>
      </c>
    </row>
    <row r="84">
      <c r="A84" s="7" t="s">
        <v>140</v>
      </c>
      <c r="B84" s="2" t="s">
        <v>17</v>
      </c>
      <c r="C84" s="13" t="s">
        <v>141</v>
      </c>
      <c r="D84" s="9">
        <v>28601.0</v>
      </c>
      <c r="E84" s="9" t="s">
        <v>354</v>
      </c>
      <c r="F84" s="14" t="s">
        <v>355</v>
      </c>
      <c r="G84" s="4" t="s">
        <v>356</v>
      </c>
      <c r="H84" s="4" t="s">
        <v>357</v>
      </c>
      <c r="I84" s="5" t="s">
        <v>23</v>
      </c>
      <c r="J84" s="5" t="s">
        <v>24</v>
      </c>
      <c r="K84" s="5" t="s">
        <v>25</v>
      </c>
      <c r="L84" s="11" t="s">
        <v>26</v>
      </c>
      <c r="M84" s="5" t="s">
        <v>27</v>
      </c>
      <c r="N84" t="str">
        <f t="shared" si="1"/>
        <v>URBS 2</v>
      </c>
      <c r="O84" s="12" t="str">
        <f t="shared" si="2"/>
        <v>https://monitoramento.pm.pr.gov.br/proxy_image_2/Interface/Cameras/GetJPEGStream?Camera=Camera087&amp;AuthUser=copom_DDTQ&amp;AuthPass=DDTQcopom&amp;Width=1024&amp;Height=768&amp;Quality=70&amp;FPS=10&amp;ResponseFormat=Text</v>
      </c>
      <c r="P84" s="6">
        <v>1.0</v>
      </c>
    </row>
    <row r="85">
      <c r="A85" s="7" t="s">
        <v>140</v>
      </c>
      <c r="B85" s="2" t="s">
        <v>17</v>
      </c>
      <c r="C85" s="13" t="s">
        <v>141</v>
      </c>
      <c r="D85" s="9">
        <v>28601.0</v>
      </c>
      <c r="E85" s="9" t="s">
        <v>358</v>
      </c>
      <c r="F85" s="14" t="s">
        <v>359</v>
      </c>
      <c r="G85" s="4" t="s">
        <v>360</v>
      </c>
      <c r="H85" s="4" t="s">
        <v>361</v>
      </c>
      <c r="I85" s="5" t="s">
        <v>23</v>
      </c>
      <c r="J85" s="5" t="s">
        <v>24</v>
      </c>
      <c r="K85" s="5" t="s">
        <v>25</v>
      </c>
      <c r="L85" s="11" t="s">
        <v>26</v>
      </c>
      <c r="M85" s="5" t="s">
        <v>27</v>
      </c>
      <c r="N85" t="str">
        <f t="shared" si="1"/>
        <v>URBS 2</v>
      </c>
      <c r="O85" s="12" t="str">
        <f t="shared" si="2"/>
        <v>https://monitoramento.pm.pr.gov.br/proxy_image_2/Interface/Cameras/GetJPEGStream?Camera=Camera088&amp;AuthUser=copom_DDTQ&amp;AuthPass=DDTQcopom&amp;Width=1024&amp;Height=768&amp;Quality=70&amp;FPS=10&amp;ResponseFormat=Text</v>
      </c>
      <c r="P85" s="6">
        <v>1.0</v>
      </c>
    </row>
    <row r="86">
      <c r="A86" s="7" t="s">
        <v>140</v>
      </c>
      <c r="B86" s="2" t="s">
        <v>17</v>
      </c>
      <c r="C86" s="13" t="s">
        <v>141</v>
      </c>
      <c r="D86" s="9">
        <v>28601.0</v>
      </c>
      <c r="E86" s="9" t="s">
        <v>362</v>
      </c>
      <c r="F86" s="14" t="s">
        <v>363</v>
      </c>
      <c r="G86" s="4" t="s">
        <v>364</v>
      </c>
      <c r="H86" s="4" t="s">
        <v>365</v>
      </c>
      <c r="I86" s="5" t="s">
        <v>23</v>
      </c>
      <c r="J86" s="5" t="s">
        <v>24</v>
      </c>
      <c r="K86" s="5" t="s">
        <v>25</v>
      </c>
      <c r="L86" s="11" t="s">
        <v>26</v>
      </c>
      <c r="M86" s="5" t="s">
        <v>27</v>
      </c>
      <c r="N86" t="str">
        <f t="shared" si="1"/>
        <v>URBS 2</v>
      </c>
      <c r="O86" s="12" t="str">
        <f t="shared" si="2"/>
        <v>https://monitoramento.pm.pr.gov.br/proxy_image_2/Interface/Cameras/GetJPEGStream?Camera=Camera089&amp;AuthUser=copom_DDTQ&amp;AuthPass=DDTQcopom&amp;Width=1024&amp;Height=768&amp;Quality=70&amp;FPS=10&amp;ResponseFormat=Text</v>
      </c>
      <c r="P86" s="6">
        <v>1.0</v>
      </c>
    </row>
    <row r="87">
      <c r="A87" s="7" t="s">
        <v>140</v>
      </c>
      <c r="B87" s="2" t="s">
        <v>17</v>
      </c>
      <c r="C87" s="13" t="s">
        <v>141</v>
      </c>
      <c r="D87" s="9">
        <v>28601.0</v>
      </c>
      <c r="E87" s="9" t="s">
        <v>366</v>
      </c>
      <c r="F87" s="14" t="s">
        <v>367</v>
      </c>
      <c r="G87" s="4" t="s">
        <v>368</v>
      </c>
      <c r="H87" s="4" t="s">
        <v>369</v>
      </c>
      <c r="I87" s="5" t="s">
        <v>23</v>
      </c>
      <c r="J87" s="5" t="s">
        <v>24</v>
      </c>
      <c r="K87" s="5" t="s">
        <v>25</v>
      </c>
      <c r="L87" s="11" t="s">
        <v>26</v>
      </c>
      <c r="M87" s="5" t="s">
        <v>27</v>
      </c>
      <c r="N87" t="str">
        <f t="shared" si="1"/>
        <v>URBS 2</v>
      </c>
      <c r="O87" s="12" t="str">
        <f t="shared" si="2"/>
        <v>https://monitoramento.pm.pr.gov.br/proxy_image_2/Interface/Cameras/GetJPEGStream?Camera=Camera100&amp;AuthUser=copom_DDTQ&amp;AuthPass=DDTQcopom&amp;Width=1024&amp;Height=768&amp;Quality=70&amp;FPS=10&amp;ResponseFormat=Text</v>
      </c>
      <c r="P87" s="6">
        <v>1.0</v>
      </c>
    </row>
    <row r="88">
      <c r="A88" s="7" t="s">
        <v>140</v>
      </c>
      <c r="B88" s="2" t="s">
        <v>17</v>
      </c>
      <c r="C88" s="13" t="s">
        <v>141</v>
      </c>
      <c r="D88" s="9">
        <v>28601.0</v>
      </c>
      <c r="E88" s="9" t="s">
        <v>370</v>
      </c>
      <c r="F88" s="14" t="s">
        <v>371</v>
      </c>
      <c r="G88" s="4" t="s">
        <v>372</v>
      </c>
      <c r="H88" s="4" t="s">
        <v>373</v>
      </c>
      <c r="I88" s="5" t="s">
        <v>23</v>
      </c>
      <c r="J88" s="5" t="s">
        <v>24</v>
      </c>
      <c r="K88" s="5" t="s">
        <v>25</v>
      </c>
      <c r="L88" s="11" t="s">
        <v>26</v>
      </c>
      <c r="M88" s="5" t="s">
        <v>27</v>
      </c>
      <c r="N88" t="str">
        <f t="shared" si="1"/>
        <v>URBS 2</v>
      </c>
      <c r="O88" s="12" t="str">
        <f t="shared" si="2"/>
        <v>https://monitoramento.pm.pr.gov.br/proxy_image_2/Interface/Cameras/GetJPEGStream?Camera=Camera60&amp;AuthUser=copom_DDTQ&amp;AuthPass=DDTQcopom&amp;Width=1024&amp;Height=768&amp;Quality=70&amp;FPS=10&amp;ResponseFormat=Text</v>
      </c>
      <c r="P88" s="6">
        <v>1.0</v>
      </c>
    </row>
    <row r="89">
      <c r="A89" s="7" t="s">
        <v>140</v>
      </c>
      <c r="B89" s="2" t="s">
        <v>17</v>
      </c>
      <c r="C89" s="13" t="s">
        <v>141</v>
      </c>
      <c r="D89" s="9">
        <v>28601.0</v>
      </c>
      <c r="E89" s="9" t="s">
        <v>374</v>
      </c>
      <c r="F89" s="14" t="s">
        <v>375</v>
      </c>
      <c r="G89" s="4" t="s">
        <v>376</v>
      </c>
      <c r="H89" s="4" t="s">
        <v>377</v>
      </c>
      <c r="I89" s="5" t="s">
        <v>23</v>
      </c>
      <c r="J89" s="5" t="s">
        <v>24</v>
      </c>
      <c r="K89" s="5" t="s">
        <v>25</v>
      </c>
      <c r="L89" s="11" t="s">
        <v>26</v>
      </c>
      <c r="M89" s="5" t="s">
        <v>27</v>
      </c>
      <c r="N89" t="str">
        <f t="shared" si="1"/>
        <v>URBS 2</v>
      </c>
      <c r="O89" s="12" t="str">
        <f t="shared" si="2"/>
        <v>https://monitoramento.pm.pr.gov.br/proxy_image_2/Interface/Cameras/GetJPEGStream?Camera=Camera61&amp;AuthUser=copom_DDTQ&amp;AuthPass=DDTQcopom&amp;Width=1024&amp;Height=768&amp;Quality=70&amp;FPS=10&amp;ResponseFormat=Text</v>
      </c>
      <c r="P89" s="6">
        <v>1.0</v>
      </c>
    </row>
    <row r="90">
      <c r="A90" s="7" t="s">
        <v>140</v>
      </c>
      <c r="B90" s="2" t="s">
        <v>17</v>
      </c>
      <c r="C90" s="13" t="s">
        <v>141</v>
      </c>
      <c r="D90" s="9">
        <v>28601.0</v>
      </c>
      <c r="E90" s="9" t="s">
        <v>378</v>
      </c>
      <c r="F90" s="14" t="s">
        <v>379</v>
      </c>
      <c r="G90" s="4" t="s">
        <v>380</v>
      </c>
      <c r="H90" s="4" t="s">
        <v>381</v>
      </c>
      <c r="I90" s="5" t="s">
        <v>23</v>
      </c>
      <c r="J90" s="5" t="s">
        <v>24</v>
      </c>
      <c r="K90" s="5" t="s">
        <v>25</v>
      </c>
      <c r="L90" s="11" t="s">
        <v>26</v>
      </c>
      <c r="M90" s="5" t="s">
        <v>27</v>
      </c>
      <c r="N90" t="str">
        <f t="shared" si="1"/>
        <v>URBS 2</v>
      </c>
      <c r="O90" s="12" t="str">
        <f t="shared" si="2"/>
        <v>https://monitoramento.pm.pr.gov.br/proxy_image_2/Interface/Cameras/GetJPEGStream?Camera=Camera64&amp;AuthUser=copom_DDTQ&amp;AuthPass=DDTQcopom&amp;Width=1024&amp;Height=768&amp;Quality=70&amp;FPS=10&amp;ResponseFormat=Text</v>
      </c>
      <c r="P90" s="6">
        <v>1.0</v>
      </c>
    </row>
    <row r="91">
      <c r="A91" s="7" t="s">
        <v>140</v>
      </c>
      <c r="B91" s="2" t="s">
        <v>17</v>
      </c>
      <c r="C91" s="13" t="s">
        <v>141</v>
      </c>
      <c r="D91" s="9">
        <v>28601.0</v>
      </c>
      <c r="E91" s="9" t="s">
        <v>382</v>
      </c>
      <c r="F91" s="14" t="s">
        <v>383</v>
      </c>
      <c r="G91" s="4" t="s">
        <v>384</v>
      </c>
      <c r="H91" s="4" t="s">
        <v>385</v>
      </c>
      <c r="I91" s="5" t="s">
        <v>23</v>
      </c>
      <c r="J91" s="5" t="s">
        <v>24</v>
      </c>
      <c r="K91" s="5" t="s">
        <v>25</v>
      </c>
      <c r="L91" s="11" t="s">
        <v>26</v>
      </c>
      <c r="M91" s="5" t="s">
        <v>27</v>
      </c>
      <c r="N91" t="str">
        <f t="shared" si="1"/>
        <v>URBS 2</v>
      </c>
      <c r="O91" s="12" t="str">
        <f t="shared" si="2"/>
        <v>https://monitoramento.pm.pr.gov.br/proxy_image_2/Interface/Cameras/GetJPEGStream?Camera=Camera65&amp;AuthUser=copom_DDTQ&amp;AuthPass=DDTQcopom&amp;Width=1024&amp;Height=768&amp;Quality=70&amp;FPS=10&amp;ResponseFormat=Text</v>
      </c>
      <c r="P91" s="6">
        <v>1.0</v>
      </c>
    </row>
    <row r="92">
      <c r="A92" s="7" t="s">
        <v>140</v>
      </c>
      <c r="B92" s="2" t="s">
        <v>17</v>
      </c>
      <c r="C92" s="13" t="s">
        <v>141</v>
      </c>
      <c r="D92" s="9">
        <v>28601.0</v>
      </c>
      <c r="E92" s="9" t="s">
        <v>386</v>
      </c>
      <c r="F92" s="14" t="s">
        <v>387</v>
      </c>
      <c r="G92" s="4" t="s">
        <v>388</v>
      </c>
      <c r="H92" s="4" t="s">
        <v>389</v>
      </c>
      <c r="I92" s="5" t="s">
        <v>23</v>
      </c>
      <c r="J92" s="5" t="s">
        <v>24</v>
      </c>
      <c r="K92" s="5" t="s">
        <v>25</v>
      </c>
      <c r="L92" s="11" t="s">
        <v>26</v>
      </c>
      <c r="M92" s="5" t="s">
        <v>27</v>
      </c>
      <c r="N92" t="str">
        <f t="shared" si="1"/>
        <v>URBS 2</v>
      </c>
      <c r="O92" s="12" t="str">
        <f t="shared" si="2"/>
        <v>https://monitoramento.pm.pr.gov.br/proxy_image_2/Interface/Cameras/GetJPEGStream?Camera=Camera66&amp;AuthUser=copom_DDTQ&amp;AuthPass=DDTQcopom&amp;Width=1024&amp;Height=768&amp;Quality=70&amp;FPS=10&amp;ResponseFormat=Text</v>
      </c>
      <c r="P92" s="6">
        <v>1.0</v>
      </c>
    </row>
    <row r="93">
      <c r="A93" s="7" t="s">
        <v>140</v>
      </c>
      <c r="B93" s="2" t="s">
        <v>17</v>
      </c>
      <c r="C93" s="13" t="s">
        <v>141</v>
      </c>
      <c r="D93" s="9">
        <v>28601.0</v>
      </c>
      <c r="E93" s="9" t="s">
        <v>390</v>
      </c>
      <c r="F93" s="14" t="s">
        <v>391</v>
      </c>
      <c r="G93" s="4" t="s">
        <v>392</v>
      </c>
      <c r="H93" s="4" t="s">
        <v>393</v>
      </c>
      <c r="I93" s="5" t="s">
        <v>23</v>
      </c>
      <c r="J93" s="5" t="s">
        <v>24</v>
      </c>
      <c r="K93" s="5" t="s">
        <v>25</v>
      </c>
      <c r="L93" s="11" t="s">
        <v>26</v>
      </c>
      <c r="M93" s="5" t="s">
        <v>27</v>
      </c>
      <c r="N93" t="str">
        <f t="shared" si="1"/>
        <v>URBS 2</v>
      </c>
      <c r="O93" s="12" t="str">
        <f t="shared" si="2"/>
        <v>https://monitoramento.pm.pr.gov.br/proxy_image_2/Interface/Cameras/GetJPEGStream?Camera=Camera71&amp;AuthUser=copom_DDTQ&amp;AuthPass=DDTQcopom&amp;Width=1024&amp;Height=768&amp;Quality=70&amp;FPS=10&amp;ResponseFormat=Text</v>
      </c>
      <c r="P93" s="6">
        <v>1.0</v>
      </c>
    </row>
    <row r="94">
      <c r="A94" s="7" t="s">
        <v>140</v>
      </c>
      <c r="B94" s="2" t="s">
        <v>17</v>
      </c>
      <c r="C94" s="13" t="s">
        <v>141</v>
      </c>
      <c r="D94" s="9">
        <v>28601.0</v>
      </c>
      <c r="E94" s="9" t="s">
        <v>394</v>
      </c>
      <c r="F94" s="14" t="s">
        <v>395</v>
      </c>
      <c r="G94" s="4" t="s">
        <v>396</v>
      </c>
      <c r="H94" s="4" t="s">
        <v>397</v>
      </c>
      <c r="I94" s="5" t="s">
        <v>23</v>
      </c>
      <c r="J94" s="5" t="s">
        <v>24</v>
      </c>
      <c r="K94" s="5" t="s">
        <v>25</v>
      </c>
      <c r="L94" s="11" t="s">
        <v>26</v>
      </c>
      <c r="M94" s="5" t="s">
        <v>27</v>
      </c>
      <c r="N94" t="str">
        <f t="shared" si="1"/>
        <v>URBS 2</v>
      </c>
      <c r="O94" s="12" t="str">
        <f t="shared" si="2"/>
        <v>https://monitoramento.pm.pr.gov.br/proxy_image_2/Interface/Cameras/GetJPEGStream?Camera=Camera72&amp;AuthUser=copom_DDTQ&amp;AuthPass=DDTQcopom&amp;Width=1024&amp;Height=768&amp;Quality=70&amp;FPS=10&amp;ResponseFormat=Text</v>
      </c>
      <c r="P94" s="6">
        <v>1.0</v>
      </c>
    </row>
    <row r="95">
      <c r="A95" s="7" t="s">
        <v>140</v>
      </c>
      <c r="B95" s="2" t="s">
        <v>17</v>
      </c>
      <c r="C95" s="13" t="s">
        <v>141</v>
      </c>
      <c r="D95" s="9">
        <v>28601.0</v>
      </c>
      <c r="E95" s="9" t="s">
        <v>398</v>
      </c>
      <c r="F95" s="14" t="s">
        <v>399</v>
      </c>
      <c r="G95" s="4" t="s">
        <v>400</v>
      </c>
      <c r="H95" s="4" t="s">
        <v>401</v>
      </c>
      <c r="I95" s="5" t="s">
        <v>23</v>
      </c>
      <c r="J95" s="5" t="s">
        <v>24</v>
      </c>
      <c r="K95" s="5" t="s">
        <v>25</v>
      </c>
      <c r="L95" s="11" t="s">
        <v>26</v>
      </c>
      <c r="M95" s="5" t="s">
        <v>27</v>
      </c>
      <c r="N95" t="str">
        <f t="shared" si="1"/>
        <v>URBS 2</v>
      </c>
      <c r="O95" s="12" t="str">
        <f t="shared" si="2"/>
        <v>https://monitoramento.pm.pr.gov.br/proxy_image_2/Interface/Cameras/GetJPEGStream?Camera=Camera73&amp;AuthUser=copom_DDTQ&amp;AuthPass=DDTQcopom&amp;Width=1024&amp;Height=768&amp;Quality=70&amp;FPS=10&amp;ResponseFormat=Text</v>
      </c>
      <c r="P95" s="6">
        <v>1.0</v>
      </c>
    </row>
    <row r="96">
      <c r="A96" s="7" t="s">
        <v>140</v>
      </c>
      <c r="B96" s="2" t="s">
        <v>17</v>
      </c>
      <c r="C96" s="13" t="s">
        <v>141</v>
      </c>
      <c r="D96" s="9">
        <v>28601.0</v>
      </c>
      <c r="E96" s="9" t="s">
        <v>402</v>
      </c>
      <c r="F96" s="14" t="s">
        <v>403</v>
      </c>
      <c r="G96" s="4" t="s">
        <v>404</v>
      </c>
      <c r="H96" s="4" t="s">
        <v>405</v>
      </c>
      <c r="I96" s="5" t="s">
        <v>23</v>
      </c>
      <c r="J96" s="5" t="s">
        <v>24</v>
      </c>
      <c r="K96" s="5" t="s">
        <v>25</v>
      </c>
      <c r="L96" s="11" t="s">
        <v>26</v>
      </c>
      <c r="M96" s="5" t="s">
        <v>27</v>
      </c>
      <c r="N96" t="str">
        <f t="shared" si="1"/>
        <v>URBS 2</v>
      </c>
      <c r="O96" s="12" t="str">
        <f t="shared" si="2"/>
        <v>https://monitoramento.pm.pr.gov.br/proxy_image_2/Interface/Cameras/GetJPEGStream?Camera=Camera74&amp;AuthUser=copom_DDTQ&amp;AuthPass=DDTQcopom&amp;Width=1024&amp;Height=768&amp;Quality=70&amp;FPS=10&amp;ResponseFormat=Text</v>
      </c>
      <c r="P96" s="6">
        <v>1.0</v>
      </c>
    </row>
    <row r="97">
      <c r="A97" s="7" t="s">
        <v>140</v>
      </c>
      <c r="B97" s="2" t="s">
        <v>17</v>
      </c>
      <c r="C97" s="13" t="s">
        <v>141</v>
      </c>
      <c r="D97" s="9">
        <v>28601.0</v>
      </c>
      <c r="E97" s="9" t="s">
        <v>406</v>
      </c>
      <c r="F97" s="14" t="s">
        <v>407</v>
      </c>
      <c r="G97" s="4" t="s">
        <v>408</v>
      </c>
      <c r="H97" s="4" t="s">
        <v>409</v>
      </c>
      <c r="I97" s="5" t="s">
        <v>23</v>
      </c>
      <c r="J97" s="5" t="s">
        <v>24</v>
      </c>
      <c r="K97" s="5" t="s">
        <v>25</v>
      </c>
      <c r="L97" s="11" t="s">
        <v>26</v>
      </c>
      <c r="M97" s="5" t="s">
        <v>27</v>
      </c>
      <c r="N97" t="str">
        <f t="shared" si="1"/>
        <v>URBS 2</v>
      </c>
      <c r="O97" s="12" t="str">
        <f t="shared" si="2"/>
        <v>https://monitoramento.pm.pr.gov.br/proxy_image_2/Interface/Cameras/GetJPEGStream?Camera=Camera75&amp;AuthUser=copom_DDTQ&amp;AuthPass=DDTQcopom&amp;Width=1024&amp;Height=768&amp;Quality=70&amp;FPS=10&amp;ResponseFormat=Text</v>
      </c>
      <c r="P97" s="6">
        <v>1.0</v>
      </c>
    </row>
    <row r="98">
      <c r="A98" s="7" t="s">
        <v>140</v>
      </c>
      <c r="B98" s="2" t="s">
        <v>17</v>
      </c>
      <c r="C98" s="13" t="s">
        <v>141</v>
      </c>
      <c r="D98" s="9">
        <v>28601.0</v>
      </c>
      <c r="E98" s="9" t="s">
        <v>410</v>
      </c>
      <c r="F98" s="14" t="s">
        <v>411</v>
      </c>
      <c r="G98" s="4" t="s">
        <v>412</v>
      </c>
      <c r="H98" s="4" t="s">
        <v>413</v>
      </c>
      <c r="I98" s="5" t="s">
        <v>23</v>
      </c>
      <c r="J98" s="5" t="s">
        <v>24</v>
      </c>
      <c r="K98" s="5" t="s">
        <v>25</v>
      </c>
      <c r="L98" s="11" t="s">
        <v>26</v>
      </c>
      <c r="M98" s="5" t="s">
        <v>27</v>
      </c>
      <c r="N98" t="str">
        <f t="shared" si="1"/>
        <v>URBS 2</v>
      </c>
      <c r="O98" s="12" t="str">
        <f t="shared" si="2"/>
        <v>https://monitoramento.pm.pr.gov.br/proxy_image_2/Interface/Cameras/GetJPEGStream?Camera=Camera76&amp;AuthUser=copom_DDTQ&amp;AuthPass=DDTQcopom&amp;Width=1024&amp;Height=768&amp;Quality=70&amp;FPS=10&amp;ResponseFormat=Text</v>
      </c>
      <c r="P98" s="6">
        <v>1.0</v>
      </c>
    </row>
    <row r="99">
      <c r="A99" s="7" t="s">
        <v>140</v>
      </c>
      <c r="B99" s="2" t="s">
        <v>17</v>
      </c>
      <c r="C99" s="13" t="s">
        <v>141</v>
      </c>
      <c r="D99" s="9">
        <v>28601.0</v>
      </c>
      <c r="E99" s="9" t="s">
        <v>414</v>
      </c>
      <c r="F99" s="16" t="s">
        <v>415</v>
      </c>
      <c r="G99" s="4">
        <v>0.0</v>
      </c>
      <c r="H99" s="4">
        <v>0.0</v>
      </c>
      <c r="I99" s="5" t="s">
        <v>23</v>
      </c>
      <c r="J99" s="5" t="s">
        <v>24</v>
      </c>
      <c r="K99" s="5" t="s">
        <v>25</v>
      </c>
      <c r="L99" s="11" t="s">
        <v>26</v>
      </c>
      <c r="M99" s="5" t="s">
        <v>27</v>
      </c>
      <c r="N99" t="str">
        <f t="shared" si="1"/>
        <v>URBS 2</v>
      </c>
      <c r="O99" s="12" t="str">
        <f t="shared" si="2"/>
        <v>https://monitoramento.pm.pr.gov.br/proxy_image_2/Interface/Cameras/GetJPEGStream?Camera=Camera77&amp;AuthUser=copom_DDTQ&amp;AuthPass=DDTQcopom&amp;Width=1024&amp;Height=768&amp;Quality=70&amp;FPS=10&amp;ResponseFormat=Text</v>
      </c>
      <c r="P99" s="6">
        <v>1.0</v>
      </c>
    </row>
    <row r="100">
      <c r="A100" s="7" t="s">
        <v>140</v>
      </c>
      <c r="B100" s="2" t="s">
        <v>17</v>
      </c>
      <c r="C100" s="13" t="s">
        <v>141</v>
      </c>
      <c r="D100" s="9">
        <v>28601.0</v>
      </c>
      <c r="E100" s="9" t="s">
        <v>416</v>
      </c>
      <c r="F100" s="16" t="s">
        <v>415</v>
      </c>
      <c r="G100" s="4">
        <v>0.0</v>
      </c>
      <c r="H100" s="4">
        <v>0.0</v>
      </c>
      <c r="I100" s="5" t="s">
        <v>23</v>
      </c>
      <c r="J100" s="5" t="s">
        <v>24</v>
      </c>
      <c r="K100" s="5" t="s">
        <v>25</v>
      </c>
      <c r="L100" s="11" t="s">
        <v>26</v>
      </c>
      <c r="M100" s="5" t="s">
        <v>27</v>
      </c>
      <c r="N100" t="str">
        <f t="shared" si="1"/>
        <v>URBS 2</v>
      </c>
      <c r="O100" s="12" t="str">
        <f t="shared" si="2"/>
        <v>https://monitoramento.pm.pr.gov.br/proxy_image_2/Interface/Cameras/GetJPEGStream?Camera=Camera78&amp;AuthUser=copom_DDTQ&amp;AuthPass=DDTQcopom&amp;Width=1024&amp;Height=768&amp;Quality=70&amp;FPS=10&amp;ResponseFormat=Text</v>
      </c>
      <c r="P100" s="6">
        <v>1.0</v>
      </c>
    </row>
    <row r="101">
      <c r="A101" s="7" t="s">
        <v>140</v>
      </c>
      <c r="B101" s="2" t="s">
        <v>17</v>
      </c>
      <c r="C101" s="13" t="s">
        <v>141</v>
      </c>
      <c r="D101" s="9">
        <v>28601.0</v>
      </c>
      <c r="E101" s="9" t="s">
        <v>417</v>
      </c>
      <c r="F101" s="14" t="s">
        <v>418</v>
      </c>
      <c r="G101" s="4" t="s">
        <v>404</v>
      </c>
      <c r="H101" s="4" t="s">
        <v>405</v>
      </c>
      <c r="I101" s="5" t="s">
        <v>23</v>
      </c>
      <c r="J101" s="5" t="s">
        <v>24</v>
      </c>
      <c r="K101" s="5" t="s">
        <v>25</v>
      </c>
      <c r="L101" s="11" t="s">
        <v>26</v>
      </c>
      <c r="M101" s="5" t="s">
        <v>27</v>
      </c>
      <c r="N101" t="str">
        <f t="shared" si="1"/>
        <v>URBS 2</v>
      </c>
      <c r="O101" s="12" t="str">
        <f t="shared" si="2"/>
        <v>https://monitoramento.pm.pr.gov.br/proxy_image_2/Interface/Cameras/GetJPEGStream?Camera=Camera79&amp;AuthUser=copom_DDTQ&amp;AuthPass=DDTQcopom&amp;Width=1024&amp;Height=768&amp;Quality=70&amp;FPS=10&amp;ResponseFormat=Text</v>
      </c>
      <c r="P101" s="6">
        <v>1.0</v>
      </c>
    </row>
    <row r="102">
      <c r="A102" s="7" t="s">
        <v>140</v>
      </c>
      <c r="B102" s="2" t="s">
        <v>17</v>
      </c>
      <c r="C102" s="13" t="s">
        <v>141</v>
      </c>
      <c r="D102" s="9">
        <v>28601.0</v>
      </c>
      <c r="E102" s="9" t="s">
        <v>419</v>
      </c>
      <c r="F102" s="16" t="s">
        <v>415</v>
      </c>
      <c r="G102" s="4">
        <v>0.0</v>
      </c>
      <c r="H102" s="4">
        <v>0.0</v>
      </c>
      <c r="I102" s="5" t="s">
        <v>23</v>
      </c>
      <c r="J102" s="5" t="s">
        <v>24</v>
      </c>
      <c r="K102" s="5" t="s">
        <v>25</v>
      </c>
      <c r="L102" s="11" t="s">
        <v>26</v>
      </c>
      <c r="M102" s="5" t="s">
        <v>27</v>
      </c>
      <c r="N102" t="str">
        <f t="shared" si="1"/>
        <v>URBS 2</v>
      </c>
      <c r="O102" s="12" t="str">
        <f t="shared" si="2"/>
        <v>https://monitoramento.pm.pr.gov.br/proxy_image_2/Interface/Cameras/GetJPEGStream?Camera=Camera80&amp;AuthUser=copom_DDTQ&amp;AuthPass=DDTQcopom&amp;Width=1024&amp;Height=768&amp;Quality=70&amp;FPS=10&amp;ResponseFormat=Text</v>
      </c>
      <c r="P102" s="6">
        <v>1.0</v>
      </c>
    </row>
    <row r="103">
      <c r="A103" s="7" t="s">
        <v>140</v>
      </c>
      <c r="B103" s="2" t="s">
        <v>17</v>
      </c>
      <c r="C103" s="13" t="s">
        <v>141</v>
      </c>
      <c r="D103" s="9">
        <v>28601.0</v>
      </c>
      <c r="E103" s="9" t="s">
        <v>420</v>
      </c>
      <c r="F103" s="14" t="s">
        <v>421</v>
      </c>
      <c r="G103" s="4" t="s">
        <v>422</v>
      </c>
      <c r="H103" s="4" t="s">
        <v>423</v>
      </c>
      <c r="I103" s="5" t="s">
        <v>23</v>
      </c>
      <c r="J103" s="5" t="s">
        <v>24</v>
      </c>
      <c r="K103" s="5" t="s">
        <v>25</v>
      </c>
      <c r="L103" s="11" t="s">
        <v>26</v>
      </c>
      <c r="M103" s="5" t="s">
        <v>27</v>
      </c>
      <c r="N103" t="str">
        <f t="shared" si="1"/>
        <v>URBS 2</v>
      </c>
      <c r="O103" s="12" t="str">
        <f t="shared" si="2"/>
        <v>https://monitoramento.pm.pr.gov.br/proxy_image_2/Interface/Cameras/GetJPEGStream?Camera=Camera81&amp;AuthUser=copom_DDTQ&amp;AuthPass=DDTQcopom&amp;Width=1024&amp;Height=768&amp;Quality=70&amp;FPS=10&amp;ResponseFormat=Text</v>
      </c>
      <c r="P103" s="6">
        <v>1.0</v>
      </c>
    </row>
    <row r="104">
      <c r="A104" s="7" t="s">
        <v>140</v>
      </c>
      <c r="B104" s="2" t="s">
        <v>17</v>
      </c>
      <c r="C104" s="13" t="s">
        <v>141</v>
      </c>
      <c r="D104" s="9">
        <v>28601.0</v>
      </c>
      <c r="E104" s="9" t="s">
        <v>424</v>
      </c>
      <c r="F104" s="14" t="s">
        <v>421</v>
      </c>
      <c r="G104" s="4" t="s">
        <v>425</v>
      </c>
      <c r="H104" s="4" t="s">
        <v>426</v>
      </c>
      <c r="I104" s="5" t="s">
        <v>23</v>
      </c>
      <c r="J104" s="5" t="s">
        <v>24</v>
      </c>
      <c r="K104" s="5" t="s">
        <v>25</v>
      </c>
      <c r="L104" s="11" t="s">
        <v>26</v>
      </c>
      <c r="M104" s="5" t="s">
        <v>27</v>
      </c>
      <c r="N104" t="str">
        <f t="shared" si="1"/>
        <v>URBS 2</v>
      </c>
      <c r="O104" s="12" t="str">
        <f t="shared" si="2"/>
        <v>https://monitoramento.pm.pr.gov.br/proxy_image_2/Interface/Cameras/GetJPEGStream?Camera=Camera82&amp;AuthUser=copom_DDTQ&amp;AuthPass=DDTQcopom&amp;Width=1024&amp;Height=768&amp;Quality=70&amp;FPS=10&amp;ResponseFormat=Text</v>
      </c>
      <c r="P104" s="6">
        <v>1.0</v>
      </c>
    </row>
    <row r="105">
      <c r="A105" s="7" t="s">
        <v>140</v>
      </c>
      <c r="B105" s="2" t="s">
        <v>17</v>
      </c>
      <c r="C105" s="13" t="s">
        <v>141</v>
      </c>
      <c r="D105" s="9">
        <v>28601.0</v>
      </c>
      <c r="E105" s="9" t="s">
        <v>427</v>
      </c>
      <c r="F105" s="14" t="s">
        <v>421</v>
      </c>
      <c r="G105" s="4" t="s">
        <v>428</v>
      </c>
      <c r="H105" s="4" t="s">
        <v>429</v>
      </c>
      <c r="I105" s="5" t="s">
        <v>23</v>
      </c>
      <c r="J105" s="5" t="s">
        <v>24</v>
      </c>
      <c r="K105" s="5" t="s">
        <v>25</v>
      </c>
      <c r="L105" s="11" t="s">
        <v>26</v>
      </c>
      <c r="M105" s="5" t="s">
        <v>27</v>
      </c>
      <c r="N105" t="str">
        <f t="shared" si="1"/>
        <v>URBS 2</v>
      </c>
      <c r="O105" s="12" t="str">
        <f t="shared" si="2"/>
        <v>https://monitoramento.pm.pr.gov.br/proxy_image_2/Interface/Cameras/GetJPEGStream?Camera=Camera83&amp;AuthUser=copom_DDTQ&amp;AuthPass=DDTQcopom&amp;Width=1024&amp;Height=768&amp;Quality=70&amp;FPS=10&amp;ResponseFormat=Text</v>
      </c>
      <c r="P105" s="6">
        <v>1.0</v>
      </c>
    </row>
    <row r="106">
      <c r="A106" s="7" t="s">
        <v>140</v>
      </c>
      <c r="B106" s="2" t="s">
        <v>17</v>
      </c>
      <c r="C106" s="13" t="s">
        <v>141</v>
      </c>
      <c r="D106" s="9">
        <v>28601.0</v>
      </c>
      <c r="E106" s="9" t="s">
        <v>430</v>
      </c>
      <c r="F106" s="14" t="s">
        <v>431</v>
      </c>
      <c r="G106" s="4" t="s">
        <v>432</v>
      </c>
      <c r="H106" s="4" t="s">
        <v>433</v>
      </c>
      <c r="I106" s="5" t="s">
        <v>23</v>
      </c>
      <c r="J106" s="5" t="s">
        <v>24</v>
      </c>
      <c r="K106" s="5" t="s">
        <v>25</v>
      </c>
      <c r="L106" s="11" t="s">
        <v>26</v>
      </c>
      <c r="M106" s="5" t="s">
        <v>27</v>
      </c>
      <c r="N106" t="str">
        <f t="shared" si="1"/>
        <v>URBS 2</v>
      </c>
      <c r="O106" s="12" t="str">
        <f t="shared" si="2"/>
        <v>https://monitoramento.pm.pr.gov.br/proxy_image_2/Interface/Cameras/GetJPEGStream?Camera=Camera84&amp;AuthUser=copom_DDTQ&amp;AuthPass=DDTQcopom&amp;Width=1024&amp;Height=768&amp;Quality=70&amp;FPS=10&amp;ResponseFormat=Text</v>
      </c>
      <c r="P106" s="6">
        <v>1.0</v>
      </c>
    </row>
    <row r="107">
      <c r="A107" s="7" t="s">
        <v>140</v>
      </c>
      <c r="B107" s="2" t="s">
        <v>17</v>
      </c>
      <c r="C107" s="13" t="s">
        <v>141</v>
      </c>
      <c r="D107" s="9">
        <v>28601.0</v>
      </c>
      <c r="E107" s="9" t="s">
        <v>434</v>
      </c>
      <c r="F107" s="14" t="s">
        <v>431</v>
      </c>
      <c r="G107" s="4" t="s">
        <v>435</v>
      </c>
      <c r="H107" s="4" t="s">
        <v>436</v>
      </c>
      <c r="I107" s="5" t="s">
        <v>23</v>
      </c>
      <c r="J107" s="5" t="s">
        <v>24</v>
      </c>
      <c r="K107" s="5" t="s">
        <v>25</v>
      </c>
      <c r="L107" s="11" t="s">
        <v>26</v>
      </c>
      <c r="M107" s="5" t="s">
        <v>27</v>
      </c>
      <c r="N107" t="str">
        <f t="shared" si="1"/>
        <v>URBS 2</v>
      </c>
      <c r="O107" s="12" t="str">
        <f t="shared" si="2"/>
        <v>https://monitoramento.pm.pr.gov.br/proxy_image_2/Interface/Cameras/GetJPEGStream?Camera=Camera85&amp;AuthUser=copom_DDTQ&amp;AuthPass=DDTQcopom&amp;Width=1024&amp;Height=768&amp;Quality=70&amp;FPS=10&amp;ResponseFormat=Text</v>
      </c>
      <c r="P107" s="6">
        <v>1.0</v>
      </c>
    </row>
    <row r="108">
      <c r="A108" s="17" t="s">
        <v>140</v>
      </c>
      <c r="B108" s="2" t="s">
        <v>17</v>
      </c>
      <c r="C108" s="13" t="s">
        <v>141</v>
      </c>
      <c r="D108" s="18">
        <v>28601.0</v>
      </c>
      <c r="E108" s="18" t="s">
        <v>437</v>
      </c>
      <c r="F108" s="19" t="s">
        <v>431</v>
      </c>
      <c r="G108" s="4" t="s">
        <v>438</v>
      </c>
      <c r="H108" s="4" t="s">
        <v>439</v>
      </c>
      <c r="I108" s="20" t="s">
        <v>23</v>
      </c>
      <c r="J108" s="20" t="s">
        <v>24</v>
      </c>
      <c r="K108" s="5" t="s">
        <v>25</v>
      </c>
      <c r="L108" s="20" t="s">
        <v>26</v>
      </c>
      <c r="M108" s="20" t="s">
        <v>27</v>
      </c>
      <c r="N108" s="21" t="str">
        <f t="shared" si="1"/>
        <v>URBS 2</v>
      </c>
      <c r="O108" s="12" t="str">
        <f t="shared" si="2"/>
        <v>https://monitoramento.pm.pr.gov.br/proxy_image_2/Interface/Cameras/GetJPEGStream?Camera=Camera86&amp;AuthUser=copom_DDTQ&amp;AuthPass=DDTQcopom&amp;Width=1024&amp;Height=768&amp;Quality=70&amp;FPS=10&amp;ResponseFormat=Text</v>
      </c>
      <c r="P108" s="22">
        <v>1.0</v>
      </c>
    </row>
    <row r="109">
      <c r="A109" s="7" t="s">
        <v>140</v>
      </c>
      <c r="B109" s="2" t="s">
        <v>17</v>
      </c>
      <c r="C109" s="13" t="s">
        <v>141</v>
      </c>
      <c r="D109" s="9">
        <v>28601.0</v>
      </c>
      <c r="E109" s="9" t="s">
        <v>440</v>
      </c>
      <c r="F109" s="14" t="s">
        <v>441</v>
      </c>
      <c r="G109" s="4" t="s">
        <v>442</v>
      </c>
      <c r="H109" s="4" t="s">
        <v>443</v>
      </c>
      <c r="I109" s="5" t="s">
        <v>23</v>
      </c>
      <c r="J109" s="5" t="s">
        <v>24</v>
      </c>
      <c r="K109" s="5" t="s">
        <v>25</v>
      </c>
      <c r="L109" s="11" t="s">
        <v>26</v>
      </c>
      <c r="M109" s="5" t="s">
        <v>27</v>
      </c>
      <c r="N109" t="str">
        <f t="shared" si="1"/>
        <v>URBS 2</v>
      </c>
      <c r="O109" s="12" t="str">
        <f t="shared" si="2"/>
        <v>https://monitoramento.pm.pr.gov.br/proxy_image_2/Interface/Cameras/GetJPEGStream?Camera=Camera87&amp;AuthUser=copom_DDTQ&amp;AuthPass=DDTQcopom&amp;Width=1024&amp;Height=768&amp;Quality=70&amp;FPS=10&amp;ResponseFormat=Text</v>
      </c>
      <c r="P109" s="6">
        <v>1.0</v>
      </c>
    </row>
    <row r="110">
      <c r="A110" s="17" t="s">
        <v>140</v>
      </c>
      <c r="B110" s="2" t="s">
        <v>17</v>
      </c>
      <c r="C110" s="13" t="s">
        <v>141</v>
      </c>
      <c r="D110" s="18">
        <v>28601.0</v>
      </c>
      <c r="E110" s="18" t="s">
        <v>444</v>
      </c>
      <c r="F110" s="19" t="s">
        <v>445</v>
      </c>
      <c r="G110" s="4" t="s">
        <v>446</v>
      </c>
      <c r="H110" s="4" t="s">
        <v>447</v>
      </c>
      <c r="I110" s="20" t="s">
        <v>23</v>
      </c>
      <c r="J110" s="20" t="s">
        <v>24</v>
      </c>
      <c r="K110" s="5" t="s">
        <v>25</v>
      </c>
      <c r="L110" s="20" t="s">
        <v>26</v>
      </c>
      <c r="M110" s="20" t="s">
        <v>27</v>
      </c>
      <c r="N110" s="21" t="str">
        <f t="shared" si="1"/>
        <v>URBS 2</v>
      </c>
      <c r="O110" s="12" t="str">
        <f t="shared" si="2"/>
        <v>https://monitoramento.pm.pr.gov.br/proxy_image_2/Interface/Cameras/GetJPEGStream?Camera=Camera88&amp;AuthUser=copom_DDTQ&amp;AuthPass=DDTQcopom&amp;Width=1024&amp;Height=768&amp;Quality=70&amp;FPS=10&amp;ResponseFormat=Text</v>
      </c>
      <c r="P110" s="22">
        <v>1.0</v>
      </c>
    </row>
    <row r="111">
      <c r="A111" s="7" t="s">
        <v>140</v>
      </c>
      <c r="B111" s="2" t="s">
        <v>17</v>
      </c>
      <c r="C111" s="13" t="s">
        <v>141</v>
      </c>
      <c r="D111" s="9">
        <v>28601.0</v>
      </c>
      <c r="E111" s="9" t="s">
        <v>448</v>
      </c>
      <c r="F111" s="14" t="s">
        <v>445</v>
      </c>
      <c r="G111" s="4" t="s">
        <v>449</v>
      </c>
      <c r="H111" s="4" t="s">
        <v>450</v>
      </c>
      <c r="I111" s="5" t="s">
        <v>23</v>
      </c>
      <c r="J111" s="5" t="s">
        <v>24</v>
      </c>
      <c r="K111" s="5" t="s">
        <v>25</v>
      </c>
      <c r="L111" s="11" t="s">
        <v>26</v>
      </c>
      <c r="M111" s="5" t="s">
        <v>27</v>
      </c>
      <c r="N111" t="str">
        <f t="shared" si="1"/>
        <v>URBS 2</v>
      </c>
      <c r="O111" s="12" t="str">
        <f t="shared" si="2"/>
        <v>https://monitoramento.pm.pr.gov.br/proxy_image_2/Interface/Cameras/GetJPEGStream?Camera=Camera90&amp;AuthUser=copom_DDTQ&amp;AuthPass=DDTQcopom&amp;Width=1024&amp;Height=768&amp;Quality=70&amp;FPS=10&amp;ResponseFormat=Text</v>
      </c>
      <c r="P111" s="6">
        <v>1.0</v>
      </c>
    </row>
    <row r="112">
      <c r="A112" s="7" t="s">
        <v>140</v>
      </c>
      <c r="B112" s="2" t="s">
        <v>17</v>
      </c>
      <c r="C112" s="13" t="s">
        <v>141</v>
      </c>
      <c r="D112" s="9">
        <v>28601.0</v>
      </c>
      <c r="E112" s="9" t="s">
        <v>451</v>
      </c>
      <c r="F112" s="14" t="s">
        <v>431</v>
      </c>
      <c r="G112" s="4" t="s">
        <v>452</v>
      </c>
      <c r="H112" s="4" t="s">
        <v>453</v>
      </c>
      <c r="I112" s="5" t="s">
        <v>23</v>
      </c>
      <c r="J112" s="5" t="s">
        <v>24</v>
      </c>
      <c r="K112" s="5" t="s">
        <v>25</v>
      </c>
      <c r="L112" s="11" t="s">
        <v>26</v>
      </c>
      <c r="M112" s="5" t="s">
        <v>27</v>
      </c>
      <c r="N112" t="str">
        <f t="shared" si="1"/>
        <v>URBS 2</v>
      </c>
      <c r="O112" s="12" t="str">
        <f t="shared" si="2"/>
        <v>https://monitoramento.pm.pr.gov.br/proxy_image_2/Interface/Cameras/GetJPEGStream?Camera=Camera91&amp;AuthUser=copom_DDTQ&amp;AuthPass=DDTQcopom&amp;Width=1024&amp;Height=768&amp;Quality=70&amp;FPS=10&amp;ResponseFormat=Text</v>
      </c>
      <c r="P112" s="6">
        <v>1.0</v>
      </c>
    </row>
    <row r="113">
      <c r="A113" s="7" t="s">
        <v>140</v>
      </c>
      <c r="B113" s="2" t="s">
        <v>17</v>
      </c>
      <c r="C113" s="13" t="s">
        <v>141</v>
      </c>
      <c r="D113" s="9">
        <v>28601.0</v>
      </c>
      <c r="E113" s="9" t="s">
        <v>454</v>
      </c>
      <c r="F113" s="14" t="s">
        <v>455</v>
      </c>
      <c r="G113" s="4" t="s">
        <v>456</v>
      </c>
      <c r="H113" s="4" t="s">
        <v>457</v>
      </c>
      <c r="I113" s="5" t="s">
        <v>23</v>
      </c>
      <c r="J113" s="5" t="s">
        <v>24</v>
      </c>
      <c r="K113" s="5" t="s">
        <v>25</v>
      </c>
      <c r="L113" s="11" t="s">
        <v>26</v>
      </c>
      <c r="M113" s="5" t="s">
        <v>27</v>
      </c>
      <c r="N113" t="str">
        <f t="shared" si="1"/>
        <v>URBS 2</v>
      </c>
      <c r="O113" s="12" t="str">
        <f t="shared" si="2"/>
        <v>https://monitoramento.pm.pr.gov.br/proxy_image_2/Interface/Cameras/GetJPEGStream?Camera=Camera92&amp;AuthUser=copom_DDTQ&amp;AuthPass=DDTQcopom&amp;Width=1024&amp;Height=768&amp;Quality=70&amp;FPS=10&amp;ResponseFormat=Text</v>
      </c>
      <c r="P113" s="6">
        <v>1.0</v>
      </c>
    </row>
    <row r="114">
      <c r="A114" s="7" t="s">
        <v>140</v>
      </c>
      <c r="B114" s="2" t="s">
        <v>17</v>
      </c>
      <c r="C114" s="13" t="s">
        <v>141</v>
      </c>
      <c r="D114" s="9">
        <v>28601.0</v>
      </c>
      <c r="E114" s="9" t="s">
        <v>458</v>
      </c>
      <c r="F114" s="14" t="s">
        <v>459</v>
      </c>
      <c r="G114" s="4" t="s">
        <v>456</v>
      </c>
      <c r="H114" s="4" t="s">
        <v>457</v>
      </c>
      <c r="I114" s="5" t="s">
        <v>23</v>
      </c>
      <c r="J114" s="5" t="s">
        <v>24</v>
      </c>
      <c r="K114" s="5" t="s">
        <v>25</v>
      </c>
      <c r="L114" s="11" t="s">
        <v>26</v>
      </c>
      <c r="M114" s="5" t="s">
        <v>27</v>
      </c>
      <c r="N114" t="str">
        <f t="shared" si="1"/>
        <v>URBS 2</v>
      </c>
      <c r="O114" s="12" t="str">
        <f t="shared" si="2"/>
        <v>https://monitoramento.pm.pr.gov.br/proxy_image_2/Interface/Cameras/GetJPEGStream?Camera=Camera93&amp;AuthUser=copom_DDTQ&amp;AuthPass=DDTQcopom&amp;Width=1024&amp;Height=768&amp;Quality=70&amp;FPS=10&amp;ResponseFormat=Text</v>
      </c>
      <c r="P114" s="6">
        <v>1.0</v>
      </c>
    </row>
    <row r="115">
      <c r="A115" s="7" t="s">
        <v>140</v>
      </c>
      <c r="B115" s="2" t="s">
        <v>17</v>
      </c>
      <c r="C115" s="13" t="s">
        <v>141</v>
      </c>
      <c r="D115" s="9">
        <v>28601.0</v>
      </c>
      <c r="E115" s="9" t="s">
        <v>460</v>
      </c>
      <c r="F115" s="14" t="s">
        <v>459</v>
      </c>
      <c r="G115" s="4" t="s">
        <v>461</v>
      </c>
      <c r="H115" s="4" t="s">
        <v>462</v>
      </c>
      <c r="I115" s="5" t="s">
        <v>23</v>
      </c>
      <c r="J115" s="5" t="s">
        <v>24</v>
      </c>
      <c r="K115" s="5" t="s">
        <v>25</v>
      </c>
      <c r="L115" s="11" t="s">
        <v>26</v>
      </c>
      <c r="M115" s="5" t="s">
        <v>27</v>
      </c>
      <c r="N115" t="str">
        <f t="shared" si="1"/>
        <v>URBS 2</v>
      </c>
      <c r="O115" s="12" t="str">
        <f t="shared" si="2"/>
        <v>https://monitoramento.pm.pr.gov.br/proxy_image_2/Interface/Cameras/GetJPEGStream?Camera=Camera94&amp;AuthUser=copom_DDTQ&amp;AuthPass=DDTQcopom&amp;Width=1024&amp;Height=768&amp;Quality=70&amp;FPS=10&amp;ResponseFormat=Text</v>
      </c>
      <c r="P115" s="6">
        <v>1.0</v>
      </c>
    </row>
    <row r="116">
      <c r="A116" s="7" t="s">
        <v>140</v>
      </c>
      <c r="B116" s="2" t="s">
        <v>17</v>
      </c>
      <c r="C116" s="13" t="s">
        <v>141</v>
      </c>
      <c r="D116" s="9">
        <v>28601.0</v>
      </c>
      <c r="E116" s="9" t="s">
        <v>463</v>
      </c>
      <c r="F116" s="14" t="s">
        <v>441</v>
      </c>
      <c r="G116" s="4" t="s">
        <v>464</v>
      </c>
      <c r="H116" s="4" t="s">
        <v>465</v>
      </c>
      <c r="I116" s="5" t="s">
        <v>23</v>
      </c>
      <c r="J116" s="5" t="s">
        <v>24</v>
      </c>
      <c r="K116" s="5" t="s">
        <v>25</v>
      </c>
      <c r="L116" s="11" t="s">
        <v>26</v>
      </c>
      <c r="M116" s="5" t="s">
        <v>27</v>
      </c>
      <c r="N116" t="str">
        <f t="shared" si="1"/>
        <v>URBS 2</v>
      </c>
      <c r="O116" s="12" t="str">
        <f t="shared" si="2"/>
        <v>https://monitoramento.pm.pr.gov.br/proxy_image_2/Interface/Cameras/GetJPEGStream?Camera=Camera95&amp;AuthUser=copom_DDTQ&amp;AuthPass=DDTQcopom&amp;Width=1024&amp;Height=768&amp;Quality=70&amp;FPS=10&amp;ResponseFormat=Text</v>
      </c>
      <c r="P116" s="6">
        <v>1.0</v>
      </c>
    </row>
    <row r="117">
      <c r="A117" s="7" t="s">
        <v>140</v>
      </c>
      <c r="B117" s="2" t="s">
        <v>17</v>
      </c>
      <c r="C117" s="13" t="s">
        <v>141</v>
      </c>
      <c r="D117" s="9">
        <v>28601.0</v>
      </c>
      <c r="E117" s="9" t="s">
        <v>466</v>
      </c>
      <c r="F117" s="14" t="s">
        <v>445</v>
      </c>
      <c r="G117" s="4" t="s">
        <v>467</v>
      </c>
      <c r="H117" s="4" t="s">
        <v>468</v>
      </c>
      <c r="I117" s="5" t="s">
        <v>23</v>
      </c>
      <c r="J117" s="5" t="s">
        <v>24</v>
      </c>
      <c r="K117" s="5" t="s">
        <v>25</v>
      </c>
      <c r="L117" s="11" t="s">
        <v>26</v>
      </c>
      <c r="M117" s="5" t="s">
        <v>27</v>
      </c>
      <c r="N117" t="str">
        <f t="shared" si="1"/>
        <v>URBS 2</v>
      </c>
      <c r="O117" s="12" t="str">
        <f t="shared" si="2"/>
        <v>https://monitoramento.pm.pr.gov.br/proxy_image_2/Interface/Cameras/GetJPEGStream?Camera=Camera97&amp;AuthUser=copom_DDTQ&amp;AuthPass=DDTQcopom&amp;Width=1024&amp;Height=768&amp;Quality=70&amp;FPS=10&amp;ResponseFormat=Text</v>
      </c>
      <c r="P117" s="6">
        <v>1.0</v>
      </c>
    </row>
    <row r="118">
      <c r="A118" s="7" t="s">
        <v>140</v>
      </c>
      <c r="B118" s="2" t="s">
        <v>17</v>
      </c>
      <c r="C118" s="13" t="s">
        <v>141</v>
      </c>
      <c r="D118" s="9">
        <v>28601.0</v>
      </c>
      <c r="E118" s="9" t="s">
        <v>469</v>
      </c>
      <c r="F118" s="14" t="s">
        <v>470</v>
      </c>
      <c r="G118" s="4" t="s">
        <v>471</v>
      </c>
      <c r="H118" s="4" t="s">
        <v>472</v>
      </c>
      <c r="I118" s="5" t="s">
        <v>23</v>
      </c>
      <c r="J118" s="5" t="s">
        <v>24</v>
      </c>
      <c r="K118" s="5" t="s">
        <v>25</v>
      </c>
      <c r="L118" s="11" t="s">
        <v>26</v>
      </c>
      <c r="M118" s="5" t="s">
        <v>27</v>
      </c>
      <c r="N118" t="str">
        <f t="shared" si="1"/>
        <v>URBS 2</v>
      </c>
      <c r="O118" s="12" t="str">
        <f t="shared" si="2"/>
        <v>https://monitoramento.pm.pr.gov.br/proxy_image_2/Interface/Cameras/GetJPEGStream?Camera=Camera98&amp;AuthUser=copom_DDTQ&amp;AuthPass=DDTQcopom&amp;Width=1024&amp;Height=768&amp;Quality=70&amp;FPS=10&amp;ResponseFormat=Text</v>
      </c>
      <c r="P118" s="6">
        <v>1.0</v>
      </c>
    </row>
    <row r="119">
      <c r="A119" s="23" t="s">
        <v>140</v>
      </c>
      <c r="B119" s="2" t="s">
        <v>17</v>
      </c>
      <c r="C119" s="13" t="s">
        <v>141</v>
      </c>
      <c r="D119" s="24">
        <v>28601.0</v>
      </c>
      <c r="E119" s="24" t="s">
        <v>473</v>
      </c>
      <c r="F119" s="25" t="s">
        <v>474</v>
      </c>
      <c r="G119" s="4" t="s">
        <v>475</v>
      </c>
      <c r="H119" s="4" t="s">
        <v>476</v>
      </c>
      <c r="I119" s="26" t="s">
        <v>23</v>
      </c>
      <c r="J119" s="26" t="s">
        <v>24</v>
      </c>
      <c r="K119" s="5" t="s">
        <v>25</v>
      </c>
      <c r="L119" s="26" t="s">
        <v>26</v>
      </c>
      <c r="M119" s="26" t="s">
        <v>27</v>
      </c>
      <c r="N119" s="27" t="str">
        <f t="shared" si="1"/>
        <v>URBS 2</v>
      </c>
      <c r="O119" s="12" t="str">
        <f t="shared" si="2"/>
        <v>https://monitoramento.pm.pr.gov.br/proxy_image_2/Interface/Cameras/GetJPEGStream?Camera=EX011CFTV01&amp;AuthUser=copom_DDTQ&amp;AuthPass=DDTQcopom&amp;Width=1024&amp;Height=768&amp;Quality=70&amp;FPS=10&amp;ResponseFormat=Text</v>
      </c>
      <c r="P119" s="28">
        <v>1.0</v>
      </c>
    </row>
    <row r="120">
      <c r="A120" s="7" t="s">
        <v>140</v>
      </c>
      <c r="B120" s="2" t="s">
        <v>17</v>
      </c>
      <c r="C120" s="13" t="s">
        <v>141</v>
      </c>
      <c r="D120" s="9">
        <v>28601.0</v>
      </c>
      <c r="E120" s="9" t="s">
        <v>477</v>
      </c>
      <c r="F120" s="14" t="s">
        <v>478</v>
      </c>
      <c r="G120" s="4" t="s">
        <v>479</v>
      </c>
      <c r="H120" s="4" t="s">
        <v>480</v>
      </c>
      <c r="I120" s="5" t="s">
        <v>23</v>
      </c>
      <c r="J120" s="5" t="s">
        <v>24</v>
      </c>
      <c r="K120" s="5" t="s">
        <v>25</v>
      </c>
      <c r="L120" s="11" t="s">
        <v>26</v>
      </c>
      <c r="M120" s="5" t="s">
        <v>27</v>
      </c>
      <c r="N120" t="str">
        <f t="shared" si="1"/>
        <v>URBS 2</v>
      </c>
      <c r="O120" s="12" t="str">
        <f t="shared" si="2"/>
        <v>https://monitoramento.pm.pr.gov.br/proxy_image_2/Interface/Cameras/GetJPEGStream?Camera=EX012CFTV01&amp;AuthUser=copom_DDTQ&amp;AuthPass=DDTQcopom&amp;Width=1024&amp;Height=768&amp;Quality=70&amp;FPS=10&amp;ResponseFormat=Text</v>
      </c>
      <c r="P120" s="6">
        <v>1.0</v>
      </c>
    </row>
    <row r="121">
      <c r="A121" s="7" t="s">
        <v>140</v>
      </c>
      <c r="B121" s="2" t="s">
        <v>17</v>
      </c>
      <c r="C121" s="13" t="s">
        <v>141</v>
      </c>
      <c r="D121" s="9">
        <v>28601.0</v>
      </c>
      <c r="E121" s="9" t="s">
        <v>481</v>
      </c>
      <c r="F121" s="14" t="s">
        <v>482</v>
      </c>
      <c r="G121" s="4" t="s">
        <v>483</v>
      </c>
      <c r="H121" s="4" t="s">
        <v>484</v>
      </c>
      <c r="I121" s="5" t="s">
        <v>23</v>
      </c>
      <c r="J121" s="5" t="s">
        <v>24</v>
      </c>
      <c r="K121" s="5" t="s">
        <v>25</v>
      </c>
      <c r="L121" s="11" t="s">
        <v>26</v>
      </c>
      <c r="M121" s="5" t="s">
        <v>27</v>
      </c>
      <c r="N121" t="str">
        <f t="shared" si="1"/>
        <v>URBS 2</v>
      </c>
      <c r="O121" s="12" t="str">
        <f t="shared" si="2"/>
        <v>https://monitoramento.pm.pr.gov.br/proxy_image_2/Interface/Cameras/GetJPEGStream?Camera=EX013CFTV01&amp;AuthUser=copom_DDTQ&amp;AuthPass=DDTQcopom&amp;Width=1024&amp;Height=768&amp;Quality=70&amp;FPS=10&amp;ResponseFormat=Text</v>
      </c>
      <c r="P121" s="6">
        <v>1.0</v>
      </c>
    </row>
    <row r="122">
      <c r="A122" s="7" t="s">
        <v>140</v>
      </c>
      <c r="B122" s="2" t="s">
        <v>17</v>
      </c>
      <c r="C122" s="13" t="s">
        <v>141</v>
      </c>
      <c r="D122" s="9">
        <v>28601.0</v>
      </c>
      <c r="E122" s="9" t="s">
        <v>485</v>
      </c>
      <c r="F122" s="14" t="s">
        <v>486</v>
      </c>
      <c r="G122" s="4" t="s">
        <v>487</v>
      </c>
      <c r="H122" s="4" t="s">
        <v>488</v>
      </c>
      <c r="I122" s="5" t="s">
        <v>23</v>
      </c>
      <c r="J122" s="5" t="s">
        <v>24</v>
      </c>
      <c r="K122" s="5" t="s">
        <v>25</v>
      </c>
      <c r="L122" s="11" t="s">
        <v>26</v>
      </c>
      <c r="M122" s="5" t="s">
        <v>27</v>
      </c>
      <c r="N122" t="str">
        <f t="shared" si="1"/>
        <v>URBS 2</v>
      </c>
      <c r="O122" s="12" t="str">
        <f t="shared" si="2"/>
        <v>https://monitoramento.pm.pr.gov.br/proxy_image_2/Interface/Cameras/GetJPEGStream?Camera=EX014CFTV01&amp;AuthUser=copom_DDTQ&amp;AuthPass=DDTQcopom&amp;Width=1024&amp;Height=768&amp;Quality=70&amp;FPS=10&amp;ResponseFormat=Text</v>
      </c>
      <c r="P122" s="6">
        <v>1.0</v>
      </c>
    </row>
    <row r="123">
      <c r="A123" s="7" t="s">
        <v>140</v>
      </c>
      <c r="B123" s="2" t="s">
        <v>17</v>
      </c>
      <c r="C123" s="13" t="s">
        <v>141</v>
      </c>
      <c r="D123" s="9">
        <v>28601.0</v>
      </c>
      <c r="E123" s="9" t="s">
        <v>489</v>
      </c>
      <c r="F123" s="14" t="s">
        <v>490</v>
      </c>
      <c r="G123" s="4" t="s">
        <v>491</v>
      </c>
      <c r="H123" s="4" t="s">
        <v>492</v>
      </c>
      <c r="I123" s="5" t="s">
        <v>23</v>
      </c>
      <c r="J123" s="5" t="s">
        <v>24</v>
      </c>
      <c r="K123" s="5" t="s">
        <v>25</v>
      </c>
      <c r="L123" s="11" t="s">
        <v>26</v>
      </c>
      <c r="M123" s="5" t="s">
        <v>27</v>
      </c>
      <c r="N123" t="str">
        <f t="shared" si="1"/>
        <v>URBS 2</v>
      </c>
      <c r="O123" s="12" t="str">
        <f t="shared" si="2"/>
        <v>https://monitoramento.pm.pr.gov.br/proxy_image_2/Interface/Cameras/GetJPEGStream?Camera=EX021CFTV01&amp;AuthUser=copom_DDTQ&amp;AuthPass=DDTQcopom&amp;Width=1024&amp;Height=768&amp;Quality=70&amp;FPS=10&amp;ResponseFormat=Text</v>
      </c>
      <c r="P123" s="6">
        <v>1.0</v>
      </c>
    </row>
    <row r="124">
      <c r="A124" s="7" t="s">
        <v>140</v>
      </c>
      <c r="B124" s="2" t="s">
        <v>17</v>
      </c>
      <c r="C124" s="13" t="s">
        <v>141</v>
      </c>
      <c r="D124" s="9">
        <v>28601.0</v>
      </c>
      <c r="E124" s="9" t="s">
        <v>493</v>
      </c>
      <c r="F124" s="16" t="s">
        <v>494</v>
      </c>
      <c r="G124" s="4" t="s">
        <v>495</v>
      </c>
      <c r="H124" s="4" t="s">
        <v>496</v>
      </c>
      <c r="I124" s="5" t="s">
        <v>23</v>
      </c>
      <c r="J124" s="5" t="s">
        <v>24</v>
      </c>
      <c r="K124" s="5" t="s">
        <v>25</v>
      </c>
      <c r="L124" s="11" t="s">
        <v>26</v>
      </c>
      <c r="M124" s="5" t="s">
        <v>27</v>
      </c>
      <c r="N124" t="str">
        <f t="shared" si="1"/>
        <v>URBS 2</v>
      </c>
      <c r="O124" s="12" t="str">
        <f t="shared" si="2"/>
        <v>https://monitoramento.pm.pr.gov.br/proxy_image_2/Interface/Cameras/GetJPEGStream?Camera=EX022CFTV01&amp;AuthUser=copom_DDTQ&amp;AuthPass=DDTQcopom&amp;Width=1024&amp;Height=768&amp;Quality=70&amp;FPS=10&amp;ResponseFormat=Text</v>
      </c>
      <c r="P124" s="6">
        <v>1.0</v>
      </c>
    </row>
    <row r="125">
      <c r="A125" s="7" t="s">
        <v>140</v>
      </c>
      <c r="B125" s="2" t="s">
        <v>17</v>
      </c>
      <c r="C125" s="13" t="s">
        <v>141</v>
      </c>
      <c r="D125" s="9">
        <v>28601.0</v>
      </c>
      <c r="E125" s="9" t="s">
        <v>497</v>
      </c>
      <c r="F125" s="14" t="s">
        <v>498</v>
      </c>
      <c r="G125" s="4" t="s">
        <v>499</v>
      </c>
      <c r="H125" s="4" t="s">
        <v>500</v>
      </c>
      <c r="I125" s="5" t="s">
        <v>23</v>
      </c>
      <c r="J125" s="5" t="s">
        <v>24</v>
      </c>
      <c r="K125" s="5" t="s">
        <v>25</v>
      </c>
      <c r="L125" s="11" t="s">
        <v>26</v>
      </c>
      <c r="M125" s="5" t="s">
        <v>27</v>
      </c>
      <c r="N125" t="str">
        <f t="shared" si="1"/>
        <v>URBS 2</v>
      </c>
      <c r="O125" s="12" t="str">
        <f t="shared" si="2"/>
        <v>https://monitoramento.pm.pr.gov.br/proxy_image_2/Interface/Cameras/GetJPEGStream?Camera=EX029CFTV01&amp;AuthUser=copom_DDTQ&amp;AuthPass=DDTQcopom&amp;Width=1024&amp;Height=768&amp;Quality=70&amp;FPS=10&amp;ResponseFormat=Text</v>
      </c>
      <c r="P125" s="6">
        <v>1.0</v>
      </c>
    </row>
    <row r="126">
      <c r="A126" s="7" t="s">
        <v>140</v>
      </c>
      <c r="B126" s="2" t="s">
        <v>17</v>
      </c>
      <c r="C126" s="13" t="s">
        <v>141</v>
      </c>
      <c r="D126" s="9">
        <v>28601.0</v>
      </c>
      <c r="E126" s="9" t="s">
        <v>501</v>
      </c>
      <c r="F126" s="14" t="s">
        <v>502</v>
      </c>
      <c r="G126" s="4" t="s">
        <v>503</v>
      </c>
      <c r="H126" s="4" t="s">
        <v>504</v>
      </c>
      <c r="I126" s="5" t="s">
        <v>23</v>
      </c>
      <c r="J126" s="5" t="s">
        <v>24</v>
      </c>
      <c r="K126" s="5" t="s">
        <v>25</v>
      </c>
      <c r="L126" s="11" t="s">
        <v>26</v>
      </c>
      <c r="M126" s="5" t="s">
        <v>27</v>
      </c>
      <c r="N126" t="str">
        <f t="shared" si="1"/>
        <v>URBS 2</v>
      </c>
      <c r="O126" s="12" t="str">
        <f t="shared" si="2"/>
        <v>https://monitoramento.pm.pr.gov.br/proxy_image_2/Interface/Cameras/GetJPEGStream?Camera=EX030CFTV01&amp;AuthUser=copom_DDTQ&amp;AuthPass=DDTQcopom&amp;Width=1024&amp;Height=768&amp;Quality=70&amp;FPS=10&amp;ResponseFormat=Text</v>
      </c>
      <c r="P126" s="6">
        <v>1.0</v>
      </c>
    </row>
    <row r="127">
      <c r="A127" s="7" t="s">
        <v>140</v>
      </c>
      <c r="B127" s="2" t="s">
        <v>17</v>
      </c>
      <c r="C127" s="13" t="s">
        <v>141</v>
      </c>
      <c r="D127" s="9">
        <v>28601.0</v>
      </c>
      <c r="E127" s="9" t="s">
        <v>505</v>
      </c>
      <c r="F127" s="14" t="s">
        <v>506</v>
      </c>
      <c r="G127" s="4" t="s">
        <v>507</v>
      </c>
      <c r="H127" s="4" t="s">
        <v>508</v>
      </c>
      <c r="I127" s="5" t="s">
        <v>23</v>
      </c>
      <c r="J127" s="5" t="s">
        <v>24</v>
      </c>
      <c r="K127" s="5" t="s">
        <v>25</v>
      </c>
      <c r="L127" s="11" t="s">
        <v>26</v>
      </c>
      <c r="M127" s="5" t="s">
        <v>27</v>
      </c>
      <c r="N127" t="str">
        <f t="shared" si="1"/>
        <v>URBS 2</v>
      </c>
      <c r="O127" s="12" t="str">
        <f t="shared" si="2"/>
        <v>https://monitoramento.pm.pr.gov.br/proxy_image_2/Interface/Cameras/GetJPEGStream?Camera=EX042CFTV01&amp;AuthUser=copom_DDTQ&amp;AuthPass=DDTQcopom&amp;Width=1024&amp;Height=768&amp;Quality=70&amp;FPS=10&amp;ResponseFormat=Text</v>
      </c>
      <c r="P127" s="6">
        <v>1.0</v>
      </c>
    </row>
    <row r="128">
      <c r="A128" s="7" t="s">
        <v>140</v>
      </c>
      <c r="B128" s="2" t="s">
        <v>17</v>
      </c>
      <c r="C128" s="13" t="s">
        <v>141</v>
      </c>
      <c r="D128" s="9">
        <v>28601.0</v>
      </c>
      <c r="E128" s="9" t="s">
        <v>509</v>
      </c>
      <c r="F128" s="14" t="s">
        <v>510</v>
      </c>
      <c r="G128" s="4" t="s">
        <v>511</v>
      </c>
      <c r="H128" s="4" t="s">
        <v>512</v>
      </c>
      <c r="I128" s="5" t="s">
        <v>23</v>
      </c>
      <c r="J128" s="5" t="s">
        <v>24</v>
      </c>
      <c r="K128" s="5" t="s">
        <v>25</v>
      </c>
      <c r="L128" s="11" t="s">
        <v>26</v>
      </c>
      <c r="M128" s="5" t="s">
        <v>27</v>
      </c>
      <c r="N128" t="str">
        <f t="shared" si="1"/>
        <v>URBS 2</v>
      </c>
      <c r="O128" s="12" t="str">
        <f t="shared" si="2"/>
        <v>https://monitoramento.pm.pr.gov.br/proxy_image_2/Interface/Cameras/GetJPEGStream?Camera=EX043CFTV01&amp;AuthUser=copom_DDTQ&amp;AuthPass=DDTQcopom&amp;Width=1024&amp;Height=768&amp;Quality=70&amp;FPS=10&amp;ResponseFormat=Text</v>
      </c>
      <c r="P128" s="6">
        <v>1.0</v>
      </c>
    </row>
    <row r="129">
      <c r="A129" s="7" t="s">
        <v>140</v>
      </c>
      <c r="B129" s="2" t="s">
        <v>17</v>
      </c>
      <c r="C129" s="13" t="s">
        <v>141</v>
      </c>
      <c r="D129" s="9">
        <v>28601.0</v>
      </c>
      <c r="E129" s="9" t="s">
        <v>513</v>
      </c>
      <c r="F129" s="14" t="s">
        <v>514</v>
      </c>
      <c r="G129" s="4" t="s">
        <v>515</v>
      </c>
      <c r="H129" s="4" t="s">
        <v>516</v>
      </c>
      <c r="I129" s="5" t="s">
        <v>23</v>
      </c>
      <c r="J129" s="5" t="s">
        <v>24</v>
      </c>
      <c r="K129" s="5" t="s">
        <v>25</v>
      </c>
      <c r="L129" s="11" t="s">
        <v>26</v>
      </c>
      <c r="M129" s="5" t="s">
        <v>27</v>
      </c>
      <c r="N129" t="str">
        <f t="shared" si="1"/>
        <v>URBS 2</v>
      </c>
      <c r="O129" s="12" t="str">
        <f t="shared" si="2"/>
        <v>https://monitoramento.pm.pr.gov.br/proxy_image_2/Interface/Cameras/GetJPEGStream?Camera=EX046CFTV01&amp;AuthUser=copom_DDTQ&amp;AuthPass=DDTQcopom&amp;Width=1024&amp;Height=768&amp;Quality=70&amp;FPS=10&amp;ResponseFormat=Text</v>
      </c>
      <c r="P129" s="6">
        <v>1.0</v>
      </c>
    </row>
    <row r="130">
      <c r="A130" s="7" t="s">
        <v>140</v>
      </c>
      <c r="B130" s="2" t="s">
        <v>17</v>
      </c>
      <c r="C130" s="13" t="s">
        <v>141</v>
      </c>
      <c r="D130" s="9">
        <v>28601.0</v>
      </c>
      <c r="E130" s="9" t="s">
        <v>517</v>
      </c>
      <c r="F130" s="14" t="s">
        <v>518</v>
      </c>
      <c r="G130" s="4" t="s">
        <v>519</v>
      </c>
      <c r="H130" s="4" t="s">
        <v>520</v>
      </c>
      <c r="I130" s="5" t="s">
        <v>23</v>
      </c>
      <c r="J130" s="5" t="s">
        <v>24</v>
      </c>
      <c r="K130" s="5" t="s">
        <v>25</v>
      </c>
      <c r="L130" s="11" t="s">
        <v>26</v>
      </c>
      <c r="M130" s="5" t="s">
        <v>27</v>
      </c>
      <c r="N130" t="str">
        <f t="shared" si="1"/>
        <v>URBS 2</v>
      </c>
      <c r="O130" s="12" t="str">
        <f t="shared" si="2"/>
        <v>https://monitoramento.pm.pr.gov.br/proxy_image_2/Interface/Cameras/GetJPEGStream?Camera=EX047CFTV01&amp;AuthUser=copom_DDTQ&amp;AuthPass=DDTQcopom&amp;Width=1024&amp;Height=768&amp;Quality=70&amp;FPS=10&amp;ResponseFormat=Text</v>
      </c>
      <c r="P130" s="6">
        <v>1.0</v>
      </c>
    </row>
    <row r="131">
      <c r="A131" s="7" t="s">
        <v>140</v>
      </c>
      <c r="B131" s="2" t="s">
        <v>17</v>
      </c>
      <c r="C131" s="13" t="s">
        <v>141</v>
      </c>
      <c r="D131" s="9">
        <v>28601.0</v>
      </c>
      <c r="E131" s="9" t="s">
        <v>521</v>
      </c>
      <c r="F131" s="14" t="s">
        <v>522</v>
      </c>
      <c r="G131" s="4" t="s">
        <v>523</v>
      </c>
      <c r="H131" s="4" t="s">
        <v>524</v>
      </c>
      <c r="I131" s="5" t="s">
        <v>23</v>
      </c>
      <c r="J131" s="5" t="s">
        <v>24</v>
      </c>
      <c r="K131" s="5" t="s">
        <v>25</v>
      </c>
      <c r="L131" s="11" t="s">
        <v>26</v>
      </c>
      <c r="M131" s="5" t="s">
        <v>27</v>
      </c>
      <c r="N131" t="str">
        <f t="shared" si="1"/>
        <v>URBS 2</v>
      </c>
      <c r="O131" s="12" t="str">
        <f t="shared" si="2"/>
        <v>https://monitoramento.pm.pr.gov.br/proxy_image_2/Interface/Cameras/GetJPEGStream?Camera=EX059CFTV01&amp;AuthUser=copom_DDTQ&amp;AuthPass=DDTQcopom&amp;Width=1024&amp;Height=768&amp;Quality=70&amp;FPS=10&amp;ResponseFormat=Text</v>
      </c>
      <c r="P131" s="6">
        <v>1.0</v>
      </c>
    </row>
    <row r="132">
      <c r="A132" s="7" t="s">
        <v>140</v>
      </c>
      <c r="B132" s="2" t="s">
        <v>17</v>
      </c>
      <c r="C132" s="13" t="s">
        <v>141</v>
      </c>
      <c r="D132" s="9">
        <v>28601.0</v>
      </c>
      <c r="E132" s="9" t="s">
        <v>525</v>
      </c>
      <c r="F132" s="14" t="s">
        <v>526</v>
      </c>
      <c r="G132" s="4" t="s">
        <v>527</v>
      </c>
      <c r="H132" s="4" t="s">
        <v>528</v>
      </c>
      <c r="I132" s="5" t="s">
        <v>23</v>
      </c>
      <c r="J132" s="5" t="s">
        <v>24</v>
      </c>
      <c r="K132" s="5" t="s">
        <v>25</v>
      </c>
      <c r="L132" s="11" t="s">
        <v>26</v>
      </c>
      <c r="M132" s="5" t="s">
        <v>27</v>
      </c>
      <c r="N132" t="str">
        <f t="shared" si="1"/>
        <v>URBS 2</v>
      </c>
      <c r="O132" s="12" t="str">
        <f t="shared" si="2"/>
        <v>https://monitoramento.pm.pr.gov.br/proxy_image_2/Interface/Cameras/GetJPEGStream?Camera=EX060CFTV01&amp;AuthUser=copom_DDTQ&amp;AuthPass=DDTQcopom&amp;Width=1024&amp;Height=768&amp;Quality=70&amp;FPS=10&amp;ResponseFormat=Text</v>
      </c>
      <c r="P132" s="6">
        <v>1.0</v>
      </c>
    </row>
    <row r="133">
      <c r="A133" s="7" t="s">
        <v>140</v>
      </c>
      <c r="B133" s="2" t="s">
        <v>17</v>
      </c>
      <c r="C133" s="13" t="s">
        <v>141</v>
      </c>
      <c r="D133" s="9">
        <v>28601.0</v>
      </c>
      <c r="E133" s="9" t="s">
        <v>529</v>
      </c>
      <c r="F133" s="16" t="s">
        <v>530</v>
      </c>
      <c r="G133" s="4" t="s">
        <v>531</v>
      </c>
      <c r="H133" s="4" t="s">
        <v>532</v>
      </c>
      <c r="I133" s="5" t="s">
        <v>23</v>
      </c>
      <c r="J133" s="5" t="s">
        <v>24</v>
      </c>
      <c r="K133" s="5" t="s">
        <v>25</v>
      </c>
      <c r="L133" s="11" t="s">
        <v>26</v>
      </c>
      <c r="M133" s="5" t="s">
        <v>27</v>
      </c>
      <c r="N133" t="str">
        <f t="shared" si="1"/>
        <v>URBS 2</v>
      </c>
      <c r="O133" s="12" t="str">
        <f t="shared" si="2"/>
        <v>https://monitoramento.pm.pr.gov.br/proxy_image_2/Interface/Cameras/GetJPEGStream?Camera=EX060CFTV02&amp;AuthUser=copom_DDTQ&amp;AuthPass=DDTQcopom&amp;Width=1024&amp;Height=768&amp;Quality=70&amp;FPS=10&amp;ResponseFormat=Text</v>
      </c>
      <c r="P133" s="6">
        <v>1.0</v>
      </c>
    </row>
    <row r="134">
      <c r="A134" s="7" t="s">
        <v>140</v>
      </c>
      <c r="B134" s="2" t="s">
        <v>17</v>
      </c>
      <c r="C134" s="13" t="s">
        <v>141</v>
      </c>
      <c r="D134" s="9">
        <v>28601.0</v>
      </c>
      <c r="E134" s="9" t="s">
        <v>533</v>
      </c>
      <c r="F134" s="14" t="s">
        <v>534</v>
      </c>
      <c r="G134" s="4" t="s">
        <v>535</v>
      </c>
      <c r="H134" s="4" t="s">
        <v>536</v>
      </c>
      <c r="I134" s="5" t="s">
        <v>23</v>
      </c>
      <c r="J134" s="5" t="s">
        <v>24</v>
      </c>
      <c r="K134" s="5" t="s">
        <v>25</v>
      </c>
      <c r="L134" s="11" t="s">
        <v>26</v>
      </c>
      <c r="M134" s="5" t="s">
        <v>27</v>
      </c>
      <c r="N134" t="str">
        <f t="shared" si="1"/>
        <v>URBS 2</v>
      </c>
      <c r="O134" s="12" t="str">
        <f t="shared" si="2"/>
        <v>https://monitoramento.pm.pr.gov.br/proxy_image_2/Interface/Cameras/GetJPEGStream?Camera=EX061CFTV01&amp;AuthUser=copom_DDTQ&amp;AuthPass=DDTQcopom&amp;Width=1024&amp;Height=768&amp;Quality=70&amp;FPS=10&amp;ResponseFormat=Text</v>
      </c>
      <c r="P134" s="6">
        <v>1.0</v>
      </c>
    </row>
    <row r="135">
      <c r="A135" s="7" t="s">
        <v>140</v>
      </c>
      <c r="B135" s="2" t="s">
        <v>17</v>
      </c>
      <c r="C135" s="13" t="s">
        <v>141</v>
      </c>
      <c r="D135" s="9">
        <v>28601.0</v>
      </c>
      <c r="E135" s="9" t="s">
        <v>537</v>
      </c>
      <c r="F135" s="14" t="s">
        <v>538</v>
      </c>
      <c r="G135" s="4" t="s">
        <v>539</v>
      </c>
      <c r="H135" s="4" t="s">
        <v>540</v>
      </c>
      <c r="I135" s="5" t="s">
        <v>23</v>
      </c>
      <c r="J135" s="5" t="s">
        <v>24</v>
      </c>
      <c r="K135" s="5" t="s">
        <v>25</v>
      </c>
      <c r="L135" s="11" t="s">
        <v>26</v>
      </c>
      <c r="M135" s="5" t="s">
        <v>27</v>
      </c>
      <c r="N135" t="str">
        <f t="shared" si="1"/>
        <v>URBS 2</v>
      </c>
      <c r="O135" s="12" t="str">
        <f t="shared" si="2"/>
        <v>https://monitoramento.pm.pr.gov.br/proxy_image_2/Interface/Cameras/GetJPEGStream?Camera=EX061CFTV02&amp;AuthUser=copom_DDTQ&amp;AuthPass=DDTQcopom&amp;Width=1024&amp;Height=768&amp;Quality=70&amp;FPS=10&amp;ResponseFormat=Text</v>
      </c>
      <c r="P135" s="6">
        <v>1.0</v>
      </c>
    </row>
    <row r="136">
      <c r="A136" s="7" t="s">
        <v>140</v>
      </c>
      <c r="B136" s="2" t="s">
        <v>17</v>
      </c>
      <c r="C136" s="13" t="s">
        <v>141</v>
      </c>
      <c r="D136" s="9">
        <v>28601.0</v>
      </c>
      <c r="E136" s="9" t="s">
        <v>541</v>
      </c>
      <c r="F136" s="14" t="s">
        <v>542</v>
      </c>
      <c r="G136" s="4" t="s">
        <v>543</v>
      </c>
      <c r="H136" s="4" t="s">
        <v>544</v>
      </c>
      <c r="I136" s="5" t="s">
        <v>23</v>
      </c>
      <c r="J136" s="5" t="s">
        <v>24</v>
      </c>
      <c r="K136" s="5" t="s">
        <v>25</v>
      </c>
      <c r="L136" s="11" t="s">
        <v>26</v>
      </c>
      <c r="M136" s="5" t="s">
        <v>27</v>
      </c>
      <c r="N136" t="str">
        <f t="shared" si="1"/>
        <v>URBS 2</v>
      </c>
      <c r="O136" s="12" t="str">
        <f t="shared" si="2"/>
        <v>https://monitoramento.pm.pr.gov.br/proxy_image_2/Interface/Cameras/GetJPEGStream?Camera=EX062CFTV01&amp;AuthUser=copom_DDTQ&amp;AuthPass=DDTQcopom&amp;Width=1024&amp;Height=768&amp;Quality=70&amp;FPS=10&amp;ResponseFormat=Text</v>
      </c>
      <c r="P136" s="6">
        <v>1.0</v>
      </c>
    </row>
    <row r="137">
      <c r="A137" s="7" t="s">
        <v>140</v>
      </c>
      <c r="B137" s="2" t="s">
        <v>17</v>
      </c>
      <c r="C137" s="13" t="s">
        <v>141</v>
      </c>
      <c r="D137" s="9">
        <v>28601.0</v>
      </c>
      <c r="E137" s="9" t="s">
        <v>545</v>
      </c>
      <c r="F137" s="14" t="s">
        <v>546</v>
      </c>
      <c r="G137" s="4" t="s">
        <v>547</v>
      </c>
      <c r="H137" s="4" t="s">
        <v>548</v>
      </c>
      <c r="I137" s="5" t="s">
        <v>23</v>
      </c>
      <c r="J137" s="5" t="s">
        <v>24</v>
      </c>
      <c r="K137" s="5" t="s">
        <v>25</v>
      </c>
      <c r="L137" s="11" t="s">
        <v>26</v>
      </c>
      <c r="M137" s="5" t="s">
        <v>27</v>
      </c>
      <c r="N137" t="str">
        <f t="shared" si="1"/>
        <v>URBS 2</v>
      </c>
      <c r="O137" s="12" t="str">
        <f t="shared" si="2"/>
        <v>https://monitoramento.pm.pr.gov.br/proxy_image_2/Interface/Cameras/GetJPEGStream?Camera=EX062CFTV02&amp;AuthUser=copom_DDTQ&amp;AuthPass=DDTQcopom&amp;Width=1024&amp;Height=768&amp;Quality=70&amp;FPS=10&amp;ResponseFormat=Text</v>
      </c>
      <c r="P137" s="6">
        <v>1.0</v>
      </c>
    </row>
    <row r="138">
      <c r="A138" s="7" t="s">
        <v>140</v>
      </c>
      <c r="B138" s="2" t="s">
        <v>17</v>
      </c>
      <c r="C138" s="13" t="s">
        <v>141</v>
      </c>
      <c r="D138" s="9">
        <v>28601.0</v>
      </c>
      <c r="E138" s="9" t="s">
        <v>549</v>
      </c>
      <c r="F138" s="16" t="s">
        <v>550</v>
      </c>
      <c r="G138" s="4" t="s">
        <v>551</v>
      </c>
      <c r="H138" s="4" t="s">
        <v>552</v>
      </c>
      <c r="I138" s="5" t="s">
        <v>23</v>
      </c>
      <c r="J138" s="5" t="s">
        <v>24</v>
      </c>
      <c r="K138" s="5" t="s">
        <v>25</v>
      </c>
      <c r="L138" s="11" t="s">
        <v>26</v>
      </c>
      <c r="M138" s="5" t="s">
        <v>27</v>
      </c>
      <c r="N138" t="str">
        <f t="shared" si="1"/>
        <v>URBS 2</v>
      </c>
      <c r="O138" s="12" t="str">
        <f t="shared" si="2"/>
        <v>https://monitoramento.pm.pr.gov.br/proxy_image_2/Interface/Cameras/GetJPEGStream?Camera=EX063CFTV01&amp;AuthUser=copom_DDTQ&amp;AuthPass=DDTQcopom&amp;Width=1024&amp;Height=768&amp;Quality=70&amp;FPS=10&amp;ResponseFormat=Text</v>
      </c>
      <c r="P138" s="6">
        <v>1.0</v>
      </c>
    </row>
    <row r="139">
      <c r="A139" s="7" t="s">
        <v>140</v>
      </c>
      <c r="B139" s="2" t="s">
        <v>17</v>
      </c>
      <c r="C139" s="13" t="s">
        <v>141</v>
      </c>
      <c r="D139" s="9">
        <v>28601.0</v>
      </c>
      <c r="E139" s="9" t="s">
        <v>553</v>
      </c>
      <c r="F139" s="14" t="s">
        <v>554</v>
      </c>
      <c r="G139" s="4" t="s">
        <v>555</v>
      </c>
      <c r="H139" s="4" t="s">
        <v>556</v>
      </c>
      <c r="I139" s="5" t="s">
        <v>23</v>
      </c>
      <c r="J139" s="5" t="s">
        <v>24</v>
      </c>
      <c r="K139" s="5" t="s">
        <v>25</v>
      </c>
      <c r="L139" s="11" t="s">
        <v>26</v>
      </c>
      <c r="M139" s="5" t="s">
        <v>27</v>
      </c>
      <c r="N139" t="str">
        <f t="shared" si="1"/>
        <v>URBS 2</v>
      </c>
      <c r="O139" s="12" t="str">
        <f t="shared" si="2"/>
        <v>https://monitoramento.pm.pr.gov.br/proxy_image_2/Interface/Cameras/GetJPEGStream?Camera=EX063CFTV02&amp;AuthUser=copom_DDTQ&amp;AuthPass=DDTQcopom&amp;Width=1024&amp;Height=768&amp;Quality=70&amp;FPS=10&amp;ResponseFormat=Text</v>
      </c>
      <c r="P139" s="6">
        <v>1.0</v>
      </c>
    </row>
    <row r="140">
      <c r="A140" s="7" t="s">
        <v>140</v>
      </c>
      <c r="B140" s="2" t="s">
        <v>17</v>
      </c>
      <c r="C140" s="13" t="s">
        <v>141</v>
      </c>
      <c r="D140" s="9">
        <v>28601.0</v>
      </c>
      <c r="E140" s="9" t="s">
        <v>557</v>
      </c>
      <c r="F140" s="14" t="s">
        <v>558</v>
      </c>
      <c r="G140" s="4" t="s">
        <v>559</v>
      </c>
      <c r="H140" s="4" t="s">
        <v>560</v>
      </c>
      <c r="I140" s="5" t="s">
        <v>23</v>
      </c>
      <c r="J140" s="5" t="s">
        <v>24</v>
      </c>
      <c r="K140" s="5" t="s">
        <v>25</v>
      </c>
      <c r="L140" s="11" t="s">
        <v>26</v>
      </c>
      <c r="M140" s="5" t="s">
        <v>27</v>
      </c>
      <c r="N140" t="str">
        <f t="shared" si="1"/>
        <v>URBS 2</v>
      </c>
      <c r="O140" s="12" t="str">
        <f t="shared" si="2"/>
        <v>https://monitoramento.pm.pr.gov.br/proxy_image_2/Interface/Cameras/GetJPEGStream?Camera=EX064CFTV01&amp;AuthUser=copom_DDTQ&amp;AuthPass=DDTQcopom&amp;Width=1024&amp;Height=768&amp;Quality=70&amp;FPS=10&amp;ResponseFormat=Text</v>
      </c>
      <c r="P140" s="6">
        <v>1.0</v>
      </c>
    </row>
    <row r="141">
      <c r="A141" s="7" t="s">
        <v>140</v>
      </c>
      <c r="B141" s="2" t="s">
        <v>17</v>
      </c>
      <c r="C141" s="13" t="s">
        <v>141</v>
      </c>
      <c r="D141" s="9">
        <v>28601.0</v>
      </c>
      <c r="E141" s="9" t="s">
        <v>561</v>
      </c>
      <c r="F141" s="14" t="s">
        <v>562</v>
      </c>
      <c r="G141" s="4" t="s">
        <v>563</v>
      </c>
      <c r="H141" s="4" t="s">
        <v>564</v>
      </c>
      <c r="I141" s="5" t="s">
        <v>23</v>
      </c>
      <c r="J141" s="5" t="s">
        <v>24</v>
      </c>
      <c r="K141" s="5" t="s">
        <v>25</v>
      </c>
      <c r="L141" s="11" t="s">
        <v>26</v>
      </c>
      <c r="M141" s="5" t="s">
        <v>27</v>
      </c>
      <c r="N141" t="str">
        <f t="shared" si="1"/>
        <v>URBS 2</v>
      </c>
      <c r="O141" s="12" t="str">
        <f t="shared" si="2"/>
        <v>https://monitoramento.pm.pr.gov.br/proxy_image_2/Interface/Cameras/GetJPEGStream?Camera=EX064CFTV02&amp;AuthUser=copom_DDTQ&amp;AuthPass=DDTQcopom&amp;Width=1024&amp;Height=768&amp;Quality=70&amp;FPS=10&amp;ResponseFormat=Text</v>
      </c>
      <c r="P141" s="6">
        <v>1.0</v>
      </c>
    </row>
    <row r="142">
      <c r="A142" s="7" t="s">
        <v>140</v>
      </c>
      <c r="B142" s="2" t="s">
        <v>17</v>
      </c>
      <c r="C142" s="13" t="s">
        <v>141</v>
      </c>
      <c r="D142" s="9">
        <v>28601.0</v>
      </c>
      <c r="E142" s="9" t="s">
        <v>565</v>
      </c>
      <c r="F142" s="14" t="s">
        <v>566</v>
      </c>
      <c r="G142" s="4" t="s">
        <v>567</v>
      </c>
      <c r="H142" s="4" t="s">
        <v>568</v>
      </c>
      <c r="I142" s="5" t="s">
        <v>23</v>
      </c>
      <c r="J142" s="5" t="s">
        <v>24</v>
      </c>
      <c r="K142" s="5" t="s">
        <v>25</v>
      </c>
      <c r="L142" s="11" t="s">
        <v>26</v>
      </c>
      <c r="M142" s="5" t="s">
        <v>27</v>
      </c>
      <c r="N142" t="str">
        <f t="shared" si="1"/>
        <v>URBS 2</v>
      </c>
      <c r="O142" s="12" t="str">
        <f t="shared" si="2"/>
        <v>https://monitoramento.pm.pr.gov.br/proxy_image_2/Interface/Cameras/GetJPEGStream?Camera=EX066CFTV01&amp;AuthUser=copom_DDTQ&amp;AuthPass=DDTQcopom&amp;Width=1024&amp;Height=768&amp;Quality=70&amp;FPS=10&amp;ResponseFormat=Text</v>
      </c>
      <c r="P142" s="6">
        <v>1.0</v>
      </c>
    </row>
    <row r="143">
      <c r="A143" s="7" t="s">
        <v>140</v>
      </c>
      <c r="B143" s="2" t="s">
        <v>17</v>
      </c>
      <c r="C143" s="13" t="s">
        <v>141</v>
      </c>
      <c r="D143" s="9">
        <v>28601.0</v>
      </c>
      <c r="E143" s="9" t="s">
        <v>569</v>
      </c>
      <c r="F143" s="14" t="s">
        <v>570</v>
      </c>
      <c r="G143" s="4" t="s">
        <v>571</v>
      </c>
      <c r="H143" s="4" t="s">
        <v>572</v>
      </c>
      <c r="I143" s="5" t="s">
        <v>23</v>
      </c>
      <c r="J143" s="5" t="s">
        <v>24</v>
      </c>
      <c r="K143" s="5" t="s">
        <v>25</v>
      </c>
      <c r="L143" s="11" t="s">
        <v>26</v>
      </c>
      <c r="M143" s="5" t="s">
        <v>27</v>
      </c>
      <c r="N143" t="str">
        <f t="shared" si="1"/>
        <v>URBS 2</v>
      </c>
      <c r="O143" s="12" t="str">
        <f t="shared" si="2"/>
        <v>https://monitoramento.pm.pr.gov.br/proxy_image_2/Interface/Cameras/GetJPEGStream?Camera=EX066CFTV02&amp;AuthUser=copom_DDTQ&amp;AuthPass=DDTQcopom&amp;Width=1024&amp;Height=768&amp;Quality=70&amp;FPS=10&amp;ResponseFormat=Text</v>
      </c>
      <c r="P143" s="6">
        <v>1.0</v>
      </c>
    </row>
    <row r="144">
      <c r="A144" s="7" t="s">
        <v>140</v>
      </c>
      <c r="B144" s="2" t="s">
        <v>17</v>
      </c>
      <c r="C144" s="13" t="s">
        <v>141</v>
      </c>
      <c r="D144" s="9">
        <v>28601.0</v>
      </c>
      <c r="E144" s="9" t="s">
        <v>573</v>
      </c>
      <c r="F144" s="14" t="s">
        <v>574</v>
      </c>
      <c r="G144" s="4" t="s">
        <v>575</v>
      </c>
      <c r="H144" s="4" t="s">
        <v>576</v>
      </c>
      <c r="I144" s="5" t="s">
        <v>23</v>
      </c>
      <c r="J144" s="5" t="s">
        <v>24</v>
      </c>
      <c r="K144" s="5" t="s">
        <v>25</v>
      </c>
      <c r="L144" s="11" t="s">
        <v>26</v>
      </c>
      <c r="M144" s="5" t="s">
        <v>27</v>
      </c>
      <c r="N144" t="str">
        <f t="shared" si="1"/>
        <v>URBS 2</v>
      </c>
      <c r="O144" s="12" t="str">
        <f t="shared" si="2"/>
        <v>https://monitoramento.pm.pr.gov.br/proxy_image_2/Interface/Cameras/GetJPEGStream?Camera=EX067CFTV01&amp;AuthUser=copom_DDTQ&amp;AuthPass=DDTQcopom&amp;Width=1024&amp;Height=768&amp;Quality=70&amp;FPS=10&amp;ResponseFormat=Text</v>
      </c>
      <c r="P144" s="6">
        <v>1.0</v>
      </c>
    </row>
    <row r="145">
      <c r="A145" s="7" t="s">
        <v>140</v>
      </c>
      <c r="B145" s="2" t="s">
        <v>17</v>
      </c>
      <c r="C145" s="13" t="s">
        <v>141</v>
      </c>
      <c r="D145" s="9">
        <v>28601.0</v>
      </c>
      <c r="E145" s="9" t="s">
        <v>577</v>
      </c>
      <c r="F145" s="14" t="s">
        <v>578</v>
      </c>
      <c r="G145" s="4" t="s">
        <v>579</v>
      </c>
      <c r="H145" s="4" t="s">
        <v>580</v>
      </c>
      <c r="I145" s="5" t="s">
        <v>23</v>
      </c>
      <c r="J145" s="5" t="s">
        <v>24</v>
      </c>
      <c r="K145" s="5" t="s">
        <v>25</v>
      </c>
      <c r="L145" s="11" t="s">
        <v>26</v>
      </c>
      <c r="M145" s="5" t="s">
        <v>27</v>
      </c>
      <c r="N145" t="str">
        <f t="shared" si="1"/>
        <v>URBS 2</v>
      </c>
      <c r="O145" s="12" t="str">
        <f t="shared" si="2"/>
        <v>https://monitoramento.pm.pr.gov.br/proxy_image_2/Interface/Cameras/GetJPEGStream?Camera=EX067CFTV02&amp;AuthUser=copom_DDTQ&amp;AuthPass=DDTQcopom&amp;Width=1024&amp;Height=768&amp;Quality=70&amp;FPS=10&amp;ResponseFormat=Text</v>
      </c>
      <c r="P145" s="6">
        <v>1.0</v>
      </c>
    </row>
    <row r="146">
      <c r="A146" s="7" t="s">
        <v>140</v>
      </c>
      <c r="B146" s="2" t="s">
        <v>17</v>
      </c>
      <c r="C146" s="13" t="s">
        <v>141</v>
      </c>
      <c r="D146" s="9">
        <v>28601.0</v>
      </c>
      <c r="E146" s="9" t="s">
        <v>581</v>
      </c>
      <c r="F146" s="14" t="s">
        <v>582</v>
      </c>
      <c r="G146" s="4" t="s">
        <v>583</v>
      </c>
      <c r="H146" s="4" t="s">
        <v>584</v>
      </c>
      <c r="I146" s="5" t="s">
        <v>23</v>
      </c>
      <c r="J146" s="5" t="s">
        <v>24</v>
      </c>
      <c r="K146" s="5" t="s">
        <v>25</v>
      </c>
      <c r="L146" s="11" t="s">
        <v>26</v>
      </c>
      <c r="M146" s="5" t="s">
        <v>27</v>
      </c>
      <c r="N146" t="str">
        <f t="shared" si="1"/>
        <v>URBS 2</v>
      </c>
      <c r="O146" s="12" t="str">
        <f t="shared" si="2"/>
        <v>https://monitoramento.pm.pr.gov.br/proxy_image_2/Interface/Cameras/GetJPEGStream?Camera=EX068CFTV01&amp;AuthUser=copom_DDTQ&amp;AuthPass=DDTQcopom&amp;Width=1024&amp;Height=768&amp;Quality=70&amp;FPS=10&amp;ResponseFormat=Text</v>
      </c>
      <c r="P146" s="6">
        <v>1.0</v>
      </c>
    </row>
    <row r="147">
      <c r="A147" s="7" t="s">
        <v>140</v>
      </c>
      <c r="B147" s="2" t="s">
        <v>17</v>
      </c>
      <c r="C147" s="13" t="s">
        <v>141</v>
      </c>
      <c r="D147" s="9">
        <v>28601.0</v>
      </c>
      <c r="E147" s="9" t="s">
        <v>585</v>
      </c>
      <c r="F147" s="14" t="s">
        <v>586</v>
      </c>
      <c r="G147" s="4" t="s">
        <v>587</v>
      </c>
      <c r="H147" s="4" t="s">
        <v>588</v>
      </c>
      <c r="I147" s="5" t="s">
        <v>23</v>
      </c>
      <c r="J147" s="5" t="s">
        <v>24</v>
      </c>
      <c r="K147" s="5" t="s">
        <v>25</v>
      </c>
      <c r="L147" s="11" t="s">
        <v>26</v>
      </c>
      <c r="M147" s="5" t="s">
        <v>27</v>
      </c>
      <c r="N147" t="str">
        <f t="shared" si="1"/>
        <v>URBS 2</v>
      </c>
      <c r="O147" s="12" t="str">
        <f t="shared" si="2"/>
        <v>https://monitoramento.pm.pr.gov.br/proxy_image_2/Interface/Cameras/GetJPEGStream?Camera=EX068CFTV02&amp;AuthUser=copom_DDTQ&amp;AuthPass=DDTQcopom&amp;Width=1024&amp;Height=768&amp;Quality=70&amp;FPS=10&amp;ResponseFormat=Text</v>
      </c>
      <c r="P147" s="6">
        <v>1.0</v>
      </c>
    </row>
    <row r="148">
      <c r="A148" s="7" t="s">
        <v>140</v>
      </c>
      <c r="B148" s="2" t="s">
        <v>17</v>
      </c>
      <c r="C148" s="13" t="s">
        <v>141</v>
      </c>
      <c r="D148" s="9">
        <v>28601.0</v>
      </c>
      <c r="E148" s="9" t="s">
        <v>589</v>
      </c>
      <c r="F148" s="14" t="s">
        <v>590</v>
      </c>
      <c r="G148" s="4" t="s">
        <v>591</v>
      </c>
      <c r="H148" s="4" t="s">
        <v>592</v>
      </c>
      <c r="I148" s="5" t="s">
        <v>23</v>
      </c>
      <c r="J148" s="5" t="s">
        <v>24</v>
      </c>
      <c r="K148" s="5" t="s">
        <v>25</v>
      </c>
      <c r="L148" s="11" t="s">
        <v>26</v>
      </c>
      <c r="M148" s="5" t="s">
        <v>27</v>
      </c>
      <c r="N148" t="str">
        <f t="shared" si="1"/>
        <v>URBS 2</v>
      </c>
      <c r="O148" s="12" t="str">
        <f t="shared" si="2"/>
        <v>https://monitoramento.pm.pr.gov.br/proxy_image_2/Interface/Cameras/GetJPEGStream?Camera=EX069CFTV01&amp;AuthUser=copom_DDTQ&amp;AuthPass=DDTQcopom&amp;Width=1024&amp;Height=768&amp;Quality=70&amp;FPS=10&amp;ResponseFormat=Text</v>
      </c>
      <c r="P148" s="6">
        <v>1.0</v>
      </c>
    </row>
    <row r="149">
      <c r="A149" s="7" t="s">
        <v>140</v>
      </c>
      <c r="B149" s="2" t="s">
        <v>17</v>
      </c>
      <c r="C149" s="13" t="s">
        <v>141</v>
      </c>
      <c r="D149" s="9">
        <v>28601.0</v>
      </c>
      <c r="E149" s="9" t="s">
        <v>593</v>
      </c>
      <c r="F149" s="14" t="s">
        <v>594</v>
      </c>
      <c r="G149" s="4" t="s">
        <v>595</v>
      </c>
      <c r="H149" s="4" t="s">
        <v>596</v>
      </c>
      <c r="I149" s="5" t="s">
        <v>23</v>
      </c>
      <c r="J149" s="5" t="s">
        <v>24</v>
      </c>
      <c r="K149" s="5" t="s">
        <v>25</v>
      </c>
      <c r="L149" s="11" t="s">
        <v>26</v>
      </c>
      <c r="M149" s="5" t="s">
        <v>27</v>
      </c>
      <c r="N149" t="str">
        <f t="shared" si="1"/>
        <v>URBS 2</v>
      </c>
      <c r="O149" s="12" t="str">
        <f t="shared" si="2"/>
        <v>https://monitoramento.pm.pr.gov.br/proxy_image_2/Interface/Cameras/GetJPEGStream?Camera=EX069CFTV02&amp;AuthUser=copom_DDTQ&amp;AuthPass=DDTQcopom&amp;Width=1024&amp;Height=768&amp;Quality=70&amp;FPS=10&amp;ResponseFormat=Text</v>
      </c>
      <c r="P149" s="6">
        <v>1.0</v>
      </c>
    </row>
    <row r="150">
      <c r="A150" s="7" t="s">
        <v>140</v>
      </c>
      <c r="B150" s="2" t="s">
        <v>17</v>
      </c>
      <c r="C150" s="13" t="s">
        <v>141</v>
      </c>
      <c r="D150" s="9">
        <v>28601.0</v>
      </c>
      <c r="E150" s="9" t="s">
        <v>597</v>
      </c>
      <c r="F150" s="16" t="s">
        <v>598</v>
      </c>
      <c r="G150" s="4" t="s">
        <v>599</v>
      </c>
      <c r="H150" s="4" t="s">
        <v>600</v>
      </c>
      <c r="I150" s="5" t="s">
        <v>23</v>
      </c>
      <c r="J150" s="5" t="s">
        <v>24</v>
      </c>
      <c r="K150" s="5" t="s">
        <v>25</v>
      </c>
      <c r="L150" s="11" t="s">
        <v>26</v>
      </c>
      <c r="M150" s="5" t="s">
        <v>27</v>
      </c>
      <c r="N150" t="str">
        <f t="shared" si="1"/>
        <v>URBS 2</v>
      </c>
      <c r="O150" s="12" t="str">
        <f t="shared" si="2"/>
        <v>https://monitoramento.pm.pr.gov.br/proxy_image_2/Interface/Cameras/GetJPEGStream?Camera=EX070CFTV01&amp;AuthUser=copom_DDTQ&amp;AuthPass=DDTQcopom&amp;Width=1024&amp;Height=768&amp;Quality=70&amp;FPS=10&amp;ResponseFormat=Text</v>
      </c>
      <c r="P150" s="6">
        <v>1.0</v>
      </c>
    </row>
    <row r="151">
      <c r="A151" s="7" t="s">
        <v>140</v>
      </c>
      <c r="B151" s="2" t="s">
        <v>17</v>
      </c>
      <c r="C151" s="13" t="s">
        <v>141</v>
      </c>
      <c r="D151" s="9">
        <v>28601.0</v>
      </c>
      <c r="E151" s="9" t="s">
        <v>601</v>
      </c>
      <c r="F151" s="16" t="s">
        <v>602</v>
      </c>
      <c r="G151" s="4" t="s">
        <v>603</v>
      </c>
      <c r="H151" s="4" t="s">
        <v>604</v>
      </c>
      <c r="I151" s="5" t="s">
        <v>23</v>
      </c>
      <c r="J151" s="5" t="s">
        <v>24</v>
      </c>
      <c r="K151" s="5" t="s">
        <v>25</v>
      </c>
      <c r="L151" s="11" t="s">
        <v>26</v>
      </c>
      <c r="M151" s="5" t="s">
        <v>27</v>
      </c>
      <c r="N151" t="str">
        <f t="shared" si="1"/>
        <v>URBS 2</v>
      </c>
      <c r="O151" s="12" t="str">
        <f t="shared" si="2"/>
        <v>https://monitoramento.pm.pr.gov.br/proxy_image_2/Interface/Cameras/GetJPEGStream?Camera=EX070CFTV02&amp;AuthUser=copom_DDTQ&amp;AuthPass=DDTQcopom&amp;Width=1024&amp;Height=768&amp;Quality=70&amp;FPS=10&amp;ResponseFormat=Text</v>
      </c>
      <c r="P151" s="6">
        <v>1.0</v>
      </c>
    </row>
    <row r="152">
      <c r="A152" s="7" t="s">
        <v>140</v>
      </c>
      <c r="B152" s="2" t="s">
        <v>17</v>
      </c>
      <c r="C152" s="13" t="s">
        <v>141</v>
      </c>
      <c r="D152" s="9">
        <v>28601.0</v>
      </c>
      <c r="E152" s="9" t="s">
        <v>605</v>
      </c>
      <c r="F152" s="14" t="s">
        <v>606</v>
      </c>
      <c r="G152" s="4" t="s">
        <v>607</v>
      </c>
      <c r="H152" s="4" t="s">
        <v>608</v>
      </c>
      <c r="I152" s="5" t="s">
        <v>23</v>
      </c>
      <c r="J152" s="5" t="s">
        <v>24</v>
      </c>
      <c r="K152" s="5" t="s">
        <v>25</v>
      </c>
      <c r="L152" s="11" t="s">
        <v>26</v>
      </c>
      <c r="M152" s="5" t="s">
        <v>27</v>
      </c>
      <c r="N152" t="str">
        <f t="shared" si="1"/>
        <v>URBS 2</v>
      </c>
      <c r="O152" s="12" t="str">
        <f t="shared" si="2"/>
        <v>https://monitoramento.pm.pr.gov.br/proxy_image_2/Interface/Cameras/GetJPEGStream?Camera=EX071CFTV01&amp;AuthUser=copom_DDTQ&amp;AuthPass=DDTQcopom&amp;Width=1024&amp;Height=768&amp;Quality=70&amp;FPS=10&amp;ResponseFormat=Text</v>
      </c>
      <c r="P152" s="6">
        <v>1.0</v>
      </c>
    </row>
    <row r="153">
      <c r="A153" s="7" t="s">
        <v>140</v>
      </c>
      <c r="B153" s="2" t="s">
        <v>17</v>
      </c>
      <c r="C153" s="13" t="s">
        <v>141</v>
      </c>
      <c r="D153" s="9">
        <v>28601.0</v>
      </c>
      <c r="E153" s="9" t="s">
        <v>609</v>
      </c>
      <c r="F153" s="14" t="s">
        <v>610</v>
      </c>
      <c r="G153" s="4" t="s">
        <v>611</v>
      </c>
      <c r="H153" s="4" t="s">
        <v>612</v>
      </c>
      <c r="I153" s="5" t="s">
        <v>23</v>
      </c>
      <c r="J153" s="5" t="s">
        <v>24</v>
      </c>
      <c r="K153" s="5" t="s">
        <v>25</v>
      </c>
      <c r="L153" s="11" t="s">
        <v>26</v>
      </c>
      <c r="M153" s="5" t="s">
        <v>27</v>
      </c>
      <c r="N153" t="str">
        <f t="shared" si="1"/>
        <v>URBS 2</v>
      </c>
      <c r="O153" s="12" t="str">
        <f t="shared" si="2"/>
        <v>https://monitoramento.pm.pr.gov.br/proxy_image_2/Interface/Cameras/GetJPEGStream?Camera=EX071CFTV02&amp;AuthUser=copom_DDTQ&amp;AuthPass=DDTQcopom&amp;Width=1024&amp;Height=768&amp;Quality=70&amp;FPS=10&amp;ResponseFormat=Text</v>
      </c>
      <c r="P153" s="6">
        <v>1.0</v>
      </c>
    </row>
    <row r="154">
      <c r="A154" s="7" t="s">
        <v>140</v>
      </c>
      <c r="B154" s="2" t="s">
        <v>17</v>
      </c>
      <c r="C154" s="13" t="s">
        <v>141</v>
      </c>
      <c r="D154" s="9">
        <v>28601.0</v>
      </c>
      <c r="E154" s="9" t="s">
        <v>613</v>
      </c>
      <c r="F154" s="14" t="s">
        <v>614</v>
      </c>
      <c r="G154" s="4" t="s">
        <v>615</v>
      </c>
      <c r="H154" s="4" t="s">
        <v>616</v>
      </c>
      <c r="I154" s="5" t="s">
        <v>23</v>
      </c>
      <c r="J154" s="5" t="s">
        <v>24</v>
      </c>
      <c r="K154" s="5" t="s">
        <v>25</v>
      </c>
      <c r="L154" s="11" t="s">
        <v>26</v>
      </c>
      <c r="M154" s="5" t="s">
        <v>27</v>
      </c>
      <c r="N154" t="str">
        <f t="shared" si="1"/>
        <v>URBS 2</v>
      </c>
      <c r="O154" s="12" t="str">
        <f t="shared" si="2"/>
        <v>https://monitoramento.pm.pr.gov.br/proxy_image_2/Interface/Cameras/GetJPEGStream?Camera=EX072CFTV01&amp;AuthUser=copom_DDTQ&amp;AuthPass=DDTQcopom&amp;Width=1024&amp;Height=768&amp;Quality=70&amp;FPS=10&amp;ResponseFormat=Text</v>
      </c>
      <c r="P154" s="6">
        <v>1.0</v>
      </c>
    </row>
    <row r="155">
      <c r="A155" s="7" t="s">
        <v>140</v>
      </c>
      <c r="B155" s="2" t="s">
        <v>17</v>
      </c>
      <c r="C155" s="13" t="s">
        <v>141</v>
      </c>
      <c r="D155" s="9">
        <v>28601.0</v>
      </c>
      <c r="E155" s="9" t="s">
        <v>617</v>
      </c>
      <c r="F155" s="14" t="s">
        <v>618</v>
      </c>
      <c r="G155" s="4" t="s">
        <v>619</v>
      </c>
      <c r="H155" s="4" t="s">
        <v>620</v>
      </c>
      <c r="I155" s="5" t="s">
        <v>23</v>
      </c>
      <c r="J155" s="5" t="s">
        <v>24</v>
      </c>
      <c r="K155" s="5" t="s">
        <v>25</v>
      </c>
      <c r="L155" s="11" t="s">
        <v>26</v>
      </c>
      <c r="M155" s="5" t="s">
        <v>27</v>
      </c>
      <c r="N155" t="str">
        <f t="shared" si="1"/>
        <v>URBS 2</v>
      </c>
      <c r="O155" s="12" t="str">
        <f t="shared" si="2"/>
        <v>https://monitoramento.pm.pr.gov.br/proxy_image_2/Interface/Cameras/GetJPEGStream?Camera=EX072CFTV02&amp;AuthUser=copom_DDTQ&amp;AuthPass=DDTQcopom&amp;Width=1024&amp;Height=768&amp;Quality=70&amp;FPS=10&amp;ResponseFormat=Text</v>
      </c>
      <c r="P155" s="6">
        <v>1.0</v>
      </c>
    </row>
    <row r="156">
      <c r="A156" s="7" t="s">
        <v>140</v>
      </c>
      <c r="B156" s="2" t="s">
        <v>17</v>
      </c>
      <c r="C156" s="13" t="s">
        <v>141</v>
      </c>
      <c r="D156" s="9">
        <v>28601.0</v>
      </c>
      <c r="E156" s="9" t="s">
        <v>621</v>
      </c>
      <c r="F156" s="16" t="s">
        <v>622</v>
      </c>
      <c r="G156" s="4" t="s">
        <v>623</v>
      </c>
      <c r="H156" s="4" t="s">
        <v>624</v>
      </c>
      <c r="I156" s="5" t="s">
        <v>23</v>
      </c>
      <c r="J156" s="5" t="s">
        <v>24</v>
      </c>
      <c r="K156" s="5" t="s">
        <v>25</v>
      </c>
      <c r="L156" s="11" t="s">
        <v>26</v>
      </c>
      <c r="M156" s="5" t="s">
        <v>27</v>
      </c>
      <c r="N156" t="str">
        <f t="shared" si="1"/>
        <v>URBS 2</v>
      </c>
      <c r="O156" s="12" t="str">
        <f t="shared" si="2"/>
        <v>https://monitoramento.pm.pr.gov.br/proxy_image_2/Interface/Cameras/GetJPEGStream?Camera=EX084ACFTV01&amp;AuthUser=copom_DDTQ&amp;AuthPass=DDTQcopom&amp;Width=1024&amp;Height=768&amp;Quality=70&amp;FPS=10&amp;ResponseFormat=Text</v>
      </c>
      <c r="P156" s="6">
        <v>1.0</v>
      </c>
    </row>
    <row r="157">
      <c r="A157" s="7" t="s">
        <v>140</v>
      </c>
      <c r="B157" s="2" t="s">
        <v>17</v>
      </c>
      <c r="C157" s="13" t="s">
        <v>141</v>
      </c>
      <c r="D157" s="9">
        <v>28601.0</v>
      </c>
      <c r="E157" s="9" t="s">
        <v>625</v>
      </c>
      <c r="F157" s="14" t="s">
        <v>626</v>
      </c>
      <c r="G157" s="4" t="s">
        <v>627</v>
      </c>
      <c r="H157" s="4" t="s">
        <v>628</v>
      </c>
      <c r="I157" s="5" t="s">
        <v>23</v>
      </c>
      <c r="J157" s="5" t="s">
        <v>24</v>
      </c>
      <c r="K157" s="5" t="s">
        <v>25</v>
      </c>
      <c r="L157" s="11" t="s">
        <v>26</v>
      </c>
      <c r="M157" s="5" t="s">
        <v>27</v>
      </c>
      <c r="N157" t="str">
        <f t="shared" si="1"/>
        <v>URBS 2</v>
      </c>
      <c r="O157" s="12" t="str">
        <f t="shared" si="2"/>
        <v>https://monitoramento.pm.pr.gov.br/proxy_image_2/Interface/Cameras/GetJPEGStream?Camera=EX084CFTV01&amp;AuthUser=copom_DDTQ&amp;AuthPass=DDTQcopom&amp;Width=1024&amp;Height=768&amp;Quality=70&amp;FPS=10&amp;ResponseFormat=Text</v>
      </c>
      <c r="P157" s="6">
        <v>1.0</v>
      </c>
    </row>
    <row r="158">
      <c r="A158" s="7" t="s">
        <v>140</v>
      </c>
      <c r="B158" s="2" t="s">
        <v>17</v>
      </c>
      <c r="C158" s="13" t="s">
        <v>141</v>
      </c>
      <c r="D158" s="9">
        <v>28601.0</v>
      </c>
      <c r="E158" s="9" t="s">
        <v>629</v>
      </c>
      <c r="F158" s="14" t="s">
        <v>630</v>
      </c>
      <c r="G158" s="4" t="s">
        <v>631</v>
      </c>
      <c r="H158" s="4" t="s">
        <v>632</v>
      </c>
      <c r="I158" s="5" t="s">
        <v>23</v>
      </c>
      <c r="J158" s="5" t="s">
        <v>24</v>
      </c>
      <c r="K158" s="5" t="s">
        <v>25</v>
      </c>
      <c r="L158" s="11" t="s">
        <v>26</v>
      </c>
      <c r="M158" s="5" t="s">
        <v>27</v>
      </c>
      <c r="N158" t="str">
        <f t="shared" si="1"/>
        <v>URBS 2</v>
      </c>
      <c r="O158" s="12" t="str">
        <f t="shared" si="2"/>
        <v>https://monitoramento.pm.pr.gov.br/proxy_image_2/Interface/Cameras/GetJPEGStream?Camera=EX090CFTV01&amp;AuthUser=copom_DDTQ&amp;AuthPass=DDTQcopom&amp;Width=1024&amp;Height=768&amp;Quality=70&amp;FPS=10&amp;ResponseFormat=Text</v>
      </c>
      <c r="P158" s="6">
        <v>1.0</v>
      </c>
    </row>
    <row r="159">
      <c r="A159" s="7" t="s">
        <v>140</v>
      </c>
      <c r="B159" s="2" t="s">
        <v>17</v>
      </c>
      <c r="C159" s="13" t="s">
        <v>141</v>
      </c>
      <c r="D159" s="9">
        <v>28601.0</v>
      </c>
      <c r="E159" s="9" t="s">
        <v>633</v>
      </c>
      <c r="F159" s="14" t="s">
        <v>634</v>
      </c>
      <c r="G159" s="4" t="s">
        <v>635</v>
      </c>
      <c r="H159" s="4" t="s">
        <v>636</v>
      </c>
      <c r="I159" s="5" t="s">
        <v>23</v>
      </c>
      <c r="J159" s="5" t="s">
        <v>24</v>
      </c>
      <c r="K159" s="5" t="s">
        <v>25</v>
      </c>
      <c r="L159" s="11" t="s">
        <v>26</v>
      </c>
      <c r="M159" s="5" t="s">
        <v>27</v>
      </c>
      <c r="N159" t="str">
        <f t="shared" si="1"/>
        <v>URBS 2</v>
      </c>
      <c r="O159" s="12" t="str">
        <f t="shared" si="2"/>
        <v>https://monitoramento.pm.pr.gov.br/proxy_image_2/Interface/Cameras/GetJPEGStream?Camera=EX090CFTV02&amp;AuthUser=copom_DDTQ&amp;AuthPass=DDTQcopom&amp;Width=1024&amp;Height=768&amp;Quality=70&amp;FPS=10&amp;ResponseFormat=Text</v>
      </c>
      <c r="P159" s="6">
        <v>1.0</v>
      </c>
    </row>
    <row r="160">
      <c r="A160" s="7" t="s">
        <v>140</v>
      </c>
      <c r="B160" s="2" t="s">
        <v>17</v>
      </c>
      <c r="C160" s="13" t="s">
        <v>141</v>
      </c>
      <c r="D160" s="9">
        <v>28601.0</v>
      </c>
      <c r="E160" s="9" t="s">
        <v>637</v>
      </c>
      <c r="F160" s="16" t="s">
        <v>638</v>
      </c>
      <c r="G160" s="4" t="s">
        <v>639</v>
      </c>
      <c r="H160" s="4" t="s">
        <v>640</v>
      </c>
      <c r="I160" s="5" t="s">
        <v>23</v>
      </c>
      <c r="J160" s="5" t="s">
        <v>24</v>
      </c>
      <c r="K160" s="5" t="s">
        <v>25</v>
      </c>
      <c r="L160" s="11" t="s">
        <v>26</v>
      </c>
      <c r="M160" s="5" t="s">
        <v>27</v>
      </c>
      <c r="N160" t="str">
        <f t="shared" si="1"/>
        <v>URBS 2</v>
      </c>
      <c r="O160" s="12" t="str">
        <f t="shared" si="2"/>
        <v>https://monitoramento.pm.pr.gov.br/proxy_image_2/Interface/Cameras/GetJPEGStream?Camera=EX096CFTV01&amp;AuthUser=copom_DDTQ&amp;AuthPass=DDTQcopom&amp;Width=1024&amp;Height=768&amp;Quality=70&amp;FPS=10&amp;ResponseFormat=Text</v>
      </c>
      <c r="P160" s="6">
        <v>1.0</v>
      </c>
    </row>
    <row r="161">
      <c r="A161" s="7" t="s">
        <v>140</v>
      </c>
      <c r="B161" s="2" t="s">
        <v>17</v>
      </c>
      <c r="C161" s="13" t="s">
        <v>141</v>
      </c>
      <c r="D161" s="9">
        <v>28601.0</v>
      </c>
      <c r="E161" s="9" t="s">
        <v>641</v>
      </c>
      <c r="F161" s="16" t="s">
        <v>642</v>
      </c>
      <c r="G161" s="4" t="s">
        <v>643</v>
      </c>
      <c r="H161" s="4" t="s">
        <v>644</v>
      </c>
      <c r="I161" s="5" t="s">
        <v>23</v>
      </c>
      <c r="J161" s="5" t="s">
        <v>24</v>
      </c>
      <c r="K161" s="5" t="s">
        <v>25</v>
      </c>
      <c r="L161" s="11" t="s">
        <v>26</v>
      </c>
      <c r="M161" s="5" t="s">
        <v>27</v>
      </c>
      <c r="N161" t="str">
        <f t="shared" si="1"/>
        <v>URBS 2</v>
      </c>
      <c r="O161" s="12" t="str">
        <f t="shared" si="2"/>
        <v>https://monitoramento.pm.pr.gov.br/proxy_image_2/Interface/Cameras/GetJPEGStream?Camera=EX096CFTV02&amp;AuthUser=copom_DDTQ&amp;AuthPass=DDTQcopom&amp;Width=1024&amp;Height=768&amp;Quality=70&amp;FPS=10&amp;ResponseFormat=Text</v>
      </c>
      <c r="P161" s="6">
        <v>1.0</v>
      </c>
    </row>
    <row r="162">
      <c r="A162" s="7" t="s">
        <v>140</v>
      </c>
      <c r="B162" s="2" t="s">
        <v>17</v>
      </c>
      <c r="C162" s="13" t="s">
        <v>141</v>
      </c>
      <c r="D162" s="9">
        <v>28601.0</v>
      </c>
      <c r="E162" s="9" t="s">
        <v>645</v>
      </c>
      <c r="F162" s="16" t="s">
        <v>646</v>
      </c>
      <c r="G162" s="4" t="s">
        <v>647</v>
      </c>
      <c r="H162" s="4" t="s">
        <v>648</v>
      </c>
      <c r="I162" s="5" t="s">
        <v>23</v>
      </c>
      <c r="J162" s="5" t="s">
        <v>24</v>
      </c>
      <c r="K162" s="5" t="s">
        <v>25</v>
      </c>
      <c r="L162" s="11" t="s">
        <v>26</v>
      </c>
      <c r="M162" s="5" t="s">
        <v>27</v>
      </c>
      <c r="N162" t="str">
        <f t="shared" si="1"/>
        <v>URBS 2</v>
      </c>
      <c r="O162" s="12" t="str">
        <f t="shared" si="2"/>
        <v>https://monitoramento.pm.pr.gov.br/proxy_image_2/Interface/Cameras/GetJPEGStream?Camera=EX097CFTV01&amp;AuthUser=copom_DDTQ&amp;AuthPass=DDTQcopom&amp;Width=1024&amp;Height=768&amp;Quality=70&amp;FPS=10&amp;ResponseFormat=Text</v>
      </c>
      <c r="P162" s="6">
        <v>1.0</v>
      </c>
    </row>
    <row r="163">
      <c r="A163" s="7" t="s">
        <v>140</v>
      </c>
      <c r="B163" s="2" t="s">
        <v>17</v>
      </c>
      <c r="C163" s="13" t="s">
        <v>141</v>
      </c>
      <c r="D163" s="9">
        <v>28601.0</v>
      </c>
      <c r="E163" s="9" t="s">
        <v>649</v>
      </c>
      <c r="F163" s="14" t="s">
        <v>650</v>
      </c>
      <c r="G163" s="4" t="s">
        <v>651</v>
      </c>
      <c r="H163" s="4" t="s">
        <v>652</v>
      </c>
      <c r="I163" s="5" t="s">
        <v>23</v>
      </c>
      <c r="J163" s="5" t="s">
        <v>24</v>
      </c>
      <c r="K163" s="5" t="s">
        <v>25</v>
      </c>
      <c r="L163" s="11" t="s">
        <v>26</v>
      </c>
      <c r="M163" s="5" t="s">
        <v>27</v>
      </c>
      <c r="N163" t="str">
        <f t="shared" si="1"/>
        <v>URBS 2</v>
      </c>
      <c r="O163" s="12" t="str">
        <f t="shared" si="2"/>
        <v>https://monitoramento.pm.pr.gov.br/proxy_image_2/Interface/Cameras/GetJPEGStream?Camera=EX097CFTV02&amp;AuthUser=copom_DDTQ&amp;AuthPass=DDTQcopom&amp;Width=1024&amp;Height=768&amp;Quality=70&amp;FPS=10&amp;ResponseFormat=Text</v>
      </c>
      <c r="P163" s="6">
        <v>1.0</v>
      </c>
    </row>
    <row r="164">
      <c r="A164" s="7" t="s">
        <v>140</v>
      </c>
      <c r="B164" s="2" t="s">
        <v>17</v>
      </c>
      <c r="C164" s="13" t="s">
        <v>141</v>
      </c>
      <c r="D164" s="9">
        <v>28601.0</v>
      </c>
      <c r="E164" s="9" t="s">
        <v>653</v>
      </c>
      <c r="F164" s="16" t="s">
        <v>654</v>
      </c>
      <c r="G164" s="4" t="s">
        <v>655</v>
      </c>
      <c r="H164" s="4" t="s">
        <v>656</v>
      </c>
      <c r="I164" s="5" t="s">
        <v>23</v>
      </c>
      <c r="J164" s="5" t="s">
        <v>24</v>
      </c>
      <c r="K164" s="5" t="s">
        <v>25</v>
      </c>
      <c r="L164" s="11" t="s">
        <v>26</v>
      </c>
      <c r="M164" s="5" t="s">
        <v>27</v>
      </c>
      <c r="N164" t="str">
        <f t="shared" si="1"/>
        <v>URBS 2</v>
      </c>
      <c r="O164" s="12" t="str">
        <f t="shared" si="2"/>
        <v>https://monitoramento.pm.pr.gov.br/proxy_image_2/Interface/Cameras/GetJPEGStream?Camera=EX101CFTV01&amp;AuthUser=copom_DDTQ&amp;AuthPass=DDTQcopom&amp;Width=1024&amp;Height=768&amp;Quality=70&amp;FPS=10&amp;ResponseFormat=Text</v>
      </c>
      <c r="P164" s="6">
        <v>1.0</v>
      </c>
    </row>
    <row r="165">
      <c r="A165" s="7" t="s">
        <v>140</v>
      </c>
      <c r="B165" s="2" t="s">
        <v>17</v>
      </c>
      <c r="C165" s="13" t="s">
        <v>141</v>
      </c>
      <c r="D165" s="9">
        <v>28601.0</v>
      </c>
      <c r="E165" s="9" t="s">
        <v>657</v>
      </c>
      <c r="F165" s="16" t="s">
        <v>658</v>
      </c>
      <c r="G165" s="4" t="s">
        <v>659</v>
      </c>
      <c r="H165" s="4" t="s">
        <v>660</v>
      </c>
      <c r="I165" s="5" t="s">
        <v>23</v>
      </c>
      <c r="J165" s="5" t="s">
        <v>24</v>
      </c>
      <c r="K165" s="5" t="s">
        <v>25</v>
      </c>
      <c r="L165" s="11" t="s">
        <v>26</v>
      </c>
      <c r="M165" s="5" t="s">
        <v>27</v>
      </c>
      <c r="N165" t="str">
        <f t="shared" si="1"/>
        <v>URBS 2</v>
      </c>
      <c r="O165" s="12" t="str">
        <f t="shared" si="2"/>
        <v>https://monitoramento.pm.pr.gov.br/proxy_image_2/Interface/Cameras/GetJPEGStream?Camera=EX101CFTV02&amp;AuthUser=copom_DDTQ&amp;AuthPass=DDTQcopom&amp;Width=1024&amp;Height=768&amp;Quality=70&amp;FPS=10&amp;ResponseFormat=Text</v>
      </c>
      <c r="P165" s="6">
        <v>1.0</v>
      </c>
    </row>
    <row r="166">
      <c r="A166" s="7" t="s">
        <v>140</v>
      </c>
      <c r="B166" s="2" t="s">
        <v>17</v>
      </c>
      <c r="C166" s="13" t="s">
        <v>141</v>
      </c>
      <c r="D166" s="9">
        <v>28601.0</v>
      </c>
      <c r="E166" s="9" t="s">
        <v>661</v>
      </c>
      <c r="F166" s="16" t="s">
        <v>662</v>
      </c>
      <c r="G166" s="4" t="s">
        <v>663</v>
      </c>
      <c r="H166" s="4" t="s">
        <v>664</v>
      </c>
      <c r="I166" s="5" t="s">
        <v>23</v>
      </c>
      <c r="J166" s="5" t="s">
        <v>24</v>
      </c>
      <c r="K166" s="5" t="s">
        <v>25</v>
      </c>
      <c r="L166" s="11" t="s">
        <v>26</v>
      </c>
      <c r="M166" s="5" t="s">
        <v>27</v>
      </c>
      <c r="N166" t="str">
        <f t="shared" si="1"/>
        <v>URBS 2</v>
      </c>
      <c r="O166" s="12" t="str">
        <f t="shared" si="2"/>
        <v>https://monitoramento.pm.pr.gov.br/proxy_image_2/Interface/Cameras/GetJPEGStream?Camera=EX102CFTV01&amp;AuthUser=copom_DDTQ&amp;AuthPass=DDTQcopom&amp;Width=1024&amp;Height=768&amp;Quality=70&amp;FPS=10&amp;ResponseFormat=Text</v>
      </c>
      <c r="P166" s="6">
        <v>1.0</v>
      </c>
    </row>
    <row r="167">
      <c r="A167" s="7" t="s">
        <v>140</v>
      </c>
      <c r="B167" s="2" t="s">
        <v>17</v>
      </c>
      <c r="C167" s="13" t="s">
        <v>141</v>
      </c>
      <c r="D167" s="9">
        <v>28601.0</v>
      </c>
      <c r="E167" s="9" t="s">
        <v>665</v>
      </c>
      <c r="F167" s="16" t="s">
        <v>666</v>
      </c>
      <c r="G167" s="4" t="s">
        <v>667</v>
      </c>
      <c r="H167" s="4" t="s">
        <v>668</v>
      </c>
      <c r="I167" s="5" t="s">
        <v>23</v>
      </c>
      <c r="J167" s="5" t="s">
        <v>24</v>
      </c>
      <c r="K167" s="5" t="s">
        <v>25</v>
      </c>
      <c r="L167" s="11" t="s">
        <v>26</v>
      </c>
      <c r="M167" s="5" t="s">
        <v>27</v>
      </c>
      <c r="N167" t="str">
        <f t="shared" si="1"/>
        <v>URBS 2</v>
      </c>
      <c r="O167" s="12" t="str">
        <f t="shared" si="2"/>
        <v>https://monitoramento.pm.pr.gov.br/proxy_image_2/Interface/Cameras/GetJPEGStream?Camera=EX102CFTV02&amp;AuthUser=copom_DDTQ&amp;AuthPass=DDTQcopom&amp;Width=1024&amp;Height=768&amp;Quality=70&amp;FPS=10&amp;ResponseFormat=Text</v>
      </c>
      <c r="P167" s="6">
        <v>1.0</v>
      </c>
    </row>
    <row r="168">
      <c r="A168" s="7" t="s">
        <v>140</v>
      </c>
      <c r="B168" s="2" t="s">
        <v>17</v>
      </c>
      <c r="C168" s="13" t="s">
        <v>141</v>
      </c>
      <c r="D168" s="9">
        <v>28601.0</v>
      </c>
      <c r="E168" s="9" t="s">
        <v>669</v>
      </c>
      <c r="F168" s="14" t="s">
        <v>670</v>
      </c>
      <c r="G168" s="4" t="s">
        <v>671</v>
      </c>
      <c r="H168" s="4" t="s">
        <v>672</v>
      </c>
      <c r="I168" s="5" t="s">
        <v>23</v>
      </c>
      <c r="J168" s="5" t="s">
        <v>24</v>
      </c>
      <c r="K168" s="5" t="s">
        <v>25</v>
      </c>
      <c r="L168" s="11" t="s">
        <v>26</v>
      </c>
      <c r="M168" s="5" t="s">
        <v>27</v>
      </c>
      <c r="N168" t="str">
        <f t="shared" si="1"/>
        <v>URBS 2</v>
      </c>
      <c r="O168" s="12" t="str">
        <f t="shared" si="2"/>
        <v>https://monitoramento.pm.pr.gov.br/proxy_image_2/Interface/Cameras/GetJPEGStream?Camera=EX103CFTV01&amp;AuthUser=copom_DDTQ&amp;AuthPass=DDTQcopom&amp;Width=1024&amp;Height=768&amp;Quality=70&amp;FPS=10&amp;ResponseFormat=Text</v>
      </c>
      <c r="P168" s="6">
        <v>1.0</v>
      </c>
    </row>
    <row r="169">
      <c r="A169" s="7" t="s">
        <v>140</v>
      </c>
      <c r="B169" s="2" t="s">
        <v>17</v>
      </c>
      <c r="C169" s="13" t="s">
        <v>141</v>
      </c>
      <c r="D169" s="9">
        <v>28601.0</v>
      </c>
      <c r="E169" s="9" t="s">
        <v>673</v>
      </c>
      <c r="F169" s="14" t="s">
        <v>674</v>
      </c>
      <c r="G169" s="4" t="s">
        <v>675</v>
      </c>
      <c r="H169" s="4" t="s">
        <v>676</v>
      </c>
      <c r="I169" s="5" t="s">
        <v>23</v>
      </c>
      <c r="J169" s="5" t="s">
        <v>24</v>
      </c>
      <c r="K169" s="5" t="s">
        <v>25</v>
      </c>
      <c r="L169" s="11" t="s">
        <v>26</v>
      </c>
      <c r="M169" s="5" t="s">
        <v>27</v>
      </c>
      <c r="N169" t="str">
        <f t="shared" si="1"/>
        <v>URBS 2</v>
      </c>
      <c r="O169" s="12" t="str">
        <f t="shared" si="2"/>
        <v>https://monitoramento.pm.pr.gov.br/proxy_image_2/Interface/Cameras/GetJPEGStream?Camera=EX103CFTV02&amp;AuthUser=copom_DDTQ&amp;AuthPass=DDTQcopom&amp;Width=1024&amp;Height=768&amp;Quality=70&amp;FPS=10&amp;ResponseFormat=Text</v>
      </c>
      <c r="P169" s="6">
        <v>1.0</v>
      </c>
    </row>
    <row r="170">
      <c r="A170" s="7" t="s">
        <v>140</v>
      </c>
      <c r="B170" s="2" t="s">
        <v>17</v>
      </c>
      <c r="C170" s="13" t="s">
        <v>141</v>
      </c>
      <c r="D170" s="9">
        <v>28601.0</v>
      </c>
      <c r="E170" s="9" t="s">
        <v>677</v>
      </c>
      <c r="F170" s="14" t="s">
        <v>678</v>
      </c>
      <c r="G170" s="4" t="s">
        <v>679</v>
      </c>
      <c r="H170" s="4" t="s">
        <v>680</v>
      </c>
      <c r="I170" s="5" t="s">
        <v>23</v>
      </c>
      <c r="J170" s="5" t="s">
        <v>24</v>
      </c>
      <c r="K170" s="5" t="s">
        <v>25</v>
      </c>
      <c r="L170" s="11" t="s">
        <v>26</v>
      </c>
      <c r="M170" s="5" t="s">
        <v>27</v>
      </c>
      <c r="N170" t="str">
        <f t="shared" si="1"/>
        <v>URBS 2</v>
      </c>
      <c r="O170" s="12" t="str">
        <f t="shared" si="2"/>
        <v>https://monitoramento.pm.pr.gov.br/proxy_image_2/Interface/Cameras/GetJPEGStream?Camera=EX104ACFTV01&amp;AuthUser=copom_DDTQ&amp;AuthPass=DDTQcopom&amp;Width=1024&amp;Height=768&amp;Quality=70&amp;FPS=10&amp;ResponseFormat=Text</v>
      </c>
      <c r="P170" s="6">
        <v>1.0</v>
      </c>
    </row>
    <row r="171">
      <c r="A171" s="7" t="s">
        <v>140</v>
      </c>
      <c r="B171" s="2" t="s">
        <v>17</v>
      </c>
      <c r="C171" s="13" t="s">
        <v>141</v>
      </c>
      <c r="D171" s="9">
        <v>28601.0</v>
      </c>
      <c r="E171" s="9" t="s">
        <v>681</v>
      </c>
      <c r="F171" s="14" t="s">
        <v>682</v>
      </c>
      <c r="G171" s="4" t="s">
        <v>683</v>
      </c>
      <c r="H171" s="4" t="s">
        <v>684</v>
      </c>
      <c r="I171" s="5" t="s">
        <v>23</v>
      </c>
      <c r="J171" s="5" t="s">
        <v>24</v>
      </c>
      <c r="K171" s="5" t="s">
        <v>25</v>
      </c>
      <c r="L171" s="11" t="s">
        <v>26</v>
      </c>
      <c r="M171" s="5" t="s">
        <v>27</v>
      </c>
      <c r="N171" t="str">
        <f t="shared" si="1"/>
        <v>URBS 2</v>
      </c>
      <c r="O171" s="12" t="str">
        <f t="shared" si="2"/>
        <v>https://monitoramento.pm.pr.gov.br/proxy_image_2/Interface/Cameras/GetJPEGStream?Camera=EX104CFTV01&amp;AuthUser=copom_DDTQ&amp;AuthPass=DDTQcopom&amp;Width=1024&amp;Height=768&amp;Quality=70&amp;FPS=10&amp;ResponseFormat=Text</v>
      </c>
      <c r="P171" s="6">
        <v>1.0</v>
      </c>
    </row>
    <row r="172">
      <c r="A172" s="7" t="s">
        <v>140</v>
      </c>
      <c r="B172" s="2" t="s">
        <v>17</v>
      </c>
      <c r="C172" s="13" t="s">
        <v>141</v>
      </c>
      <c r="D172" s="9">
        <v>28601.0</v>
      </c>
      <c r="E172" s="9" t="s">
        <v>685</v>
      </c>
      <c r="F172" s="14" t="s">
        <v>686</v>
      </c>
      <c r="G172" s="4" t="s">
        <v>687</v>
      </c>
      <c r="H172" s="4" t="s">
        <v>688</v>
      </c>
      <c r="I172" s="5" t="s">
        <v>23</v>
      </c>
      <c r="J172" s="5" t="s">
        <v>24</v>
      </c>
      <c r="K172" s="5" t="s">
        <v>25</v>
      </c>
      <c r="L172" s="11" t="s">
        <v>26</v>
      </c>
      <c r="M172" s="5" t="s">
        <v>27</v>
      </c>
      <c r="N172" t="str">
        <f t="shared" si="1"/>
        <v>URBS 2</v>
      </c>
      <c r="O172" s="12" t="str">
        <f t="shared" si="2"/>
        <v>https://monitoramento.pm.pr.gov.br/proxy_image_2/Interface/Cameras/GetJPEGStream?Camera=EX105ACFTV01&amp;AuthUser=copom_DDTQ&amp;AuthPass=DDTQcopom&amp;Width=1024&amp;Height=768&amp;Quality=70&amp;FPS=10&amp;ResponseFormat=Text</v>
      </c>
      <c r="P172" s="6">
        <v>1.0</v>
      </c>
    </row>
    <row r="173">
      <c r="A173" s="7" t="s">
        <v>140</v>
      </c>
      <c r="B173" s="2" t="s">
        <v>17</v>
      </c>
      <c r="C173" s="13" t="s">
        <v>141</v>
      </c>
      <c r="D173" s="9">
        <v>28601.0</v>
      </c>
      <c r="E173" s="9" t="s">
        <v>689</v>
      </c>
      <c r="F173" s="14" t="s">
        <v>690</v>
      </c>
      <c r="G173" s="4" t="s">
        <v>691</v>
      </c>
      <c r="H173" s="4" t="s">
        <v>692</v>
      </c>
      <c r="I173" s="5" t="s">
        <v>23</v>
      </c>
      <c r="J173" s="5" t="s">
        <v>24</v>
      </c>
      <c r="K173" s="5" t="s">
        <v>25</v>
      </c>
      <c r="L173" s="11" t="s">
        <v>26</v>
      </c>
      <c r="M173" s="5" t="s">
        <v>27</v>
      </c>
      <c r="N173" t="str">
        <f t="shared" si="1"/>
        <v>URBS 2</v>
      </c>
      <c r="O173" s="12" t="str">
        <f t="shared" si="2"/>
        <v>https://monitoramento.pm.pr.gov.br/proxy_image_2/Interface/Cameras/GetJPEGStream?Camera=EX105CFTV01&amp;AuthUser=copom_DDTQ&amp;AuthPass=DDTQcopom&amp;Width=1024&amp;Height=768&amp;Quality=70&amp;FPS=10&amp;ResponseFormat=Text</v>
      </c>
      <c r="P173" s="6">
        <v>1.0</v>
      </c>
    </row>
    <row r="174">
      <c r="A174" s="7" t="s">
        <v>140</v>
      </c>
      <c r="B174" s="2" t="s">
        <v>17</v>
      </c>
      <c r="C174" s="13" t="s">
        <v>141</v>
      </c>
      <c r="D174" s="9">
        <v>28601.0</v>
      </c>
      <c r="E174" s="9" t="s">
        <v>693</v>
      </c>
      <c r="F174" s="14" t="s">
        <v>694</v>
      </c>
      <c r="G174" s="4" t="s">
        <v>695</v>
      </c>
      <c r="H174" s="4" t="s">
        <v>696</v>
      </c>
      <c r="I174" s="5" t="s">
        <v>23</v>
      </c>
      <c r="J174" s="5" t="s">
        <v>24</v>
      </c>
      <c r="K174" s="5" t="s">
        <v>25</v>
      </c>
      <c r="L174" s="11" t="s">
        <v>26</v>
      </c>
      <c r="M174" s="5" t="s">
        <v>27</v>
      </c>
      <c r="N174" t="str">
        <f t="shared" si="1"/>
        <v>URBS 2</v>
      </c>
      <c r="O174" s="12" t="str">
        <f t="shared" si="2"/>
        <v>https://monitoramento.pm.pr.gov.br/proxy_image_2/Interface/Cameras/GetJPEGStream?Camera=EX106CFTV01&amp;AuthUser=copom_DDTQ&amp;AuthPass=DDTQcopom&amp;Width=1024&amp;Height=768&amp;Quality=70&amp;FPS=10&amp;ResponseFormat=Text</v>
      </c>
      <c r="P174" s="6">
        <v>1.0</v>
      </c>
    </row>
    <row r="175">
      <c r="A175" s="7" t="s">
        <v>140</v>
      </c>
      <c r="B175" s="2" t="s">
        <v>17</v>
      </c>
      <c r="C175" s="13" t="s">
        <v>141</v>
      </c>
      <c r="D175" s="9">
        <v>28601.0</v>
      </c>
      <c r="E175" s="9" t="s">
        <v>697</v>
      </c>
      <c r="F175" s="14" t="s">
        <v>698</v>
      </c>
      <c r="G175" s="4" t="s">
        <v>699</v>
      </c>
      <c r="H175" s="4" t="s">
        <v>700</v>
      </c>
      <c r="I175" s="5" t="s">
        <v>23</v>
      </c>
      <c r="J175" s="5" t="s">
        <v>24</v>
      </c>
      <c r="K175" s="5" t="s">
        <v>25</v>
      </c>
      <c r="L175" s="11" t="s">
        <v>26</v>
      </c>
      <c r="M175" s="5" t="s">
        <v>27</v>
      </c>
      <c r="N175" t="str">
        <f t="shared" si="1"/>
        <v>URBS 2</v>
      </c>
      <c r="O175" s="12" t="str">
        <f t="shared" si="2"/>
        <v>https://monitoramento.pm.pr.gov.br/proxy_image_2/Interface/Cameras/GetJPEGStream?Camera=EX106CFTV02&amp;AuthUser=copom_DDTQ&amp;AuthPass=DDTQcopom&amp;Width=1024&amp;Height=768&amp;Quality=70&amp;FPS=10&amp;ResponseFormat=Text</v>
      </c>
      <c r="P175" s="6">
        <v>1.0</v>
      </c>
    </row>
    <row r="176">
      <c r="A176" s="7" t="s">
        <v>140</v>
      </c>
      <c r="B176" s="2" t="s">
        <v>17</v>
      </c>
      <c r="C176" s="13" t="s">
        <v>141</v>
      </c>
      <c r="D176" s="9">
        <v>28601.0</v>
      </c>
      <c r="E176" s="9" t="s">
        <v>701</v>
      </c>
      <c r="F176" s="14" t="s">
        <v>702</v>
      </c>
      <c r="G176" s="4" t="s">
        <v>703</v>
      </c>
      <c r="H176" s="4" t="s">
        <v>704</v>
      </c>
      <c r="I176" s="5" t="s">
        <v>23</v>
      </c>
      <c r="J176" s="5" t="s">
        <v>24</v>
      </c>
      <c r="K176" s="5" t="s">
        <v>25</v>
      </c>
      <c r="L176" s="11" t="s">
        <v>26</v>
      </c>
      <c r="M176" s="5" t="s">
        <v>27</v>
      </c>
      <c r="N176" t="str">
        <f t="shared" si="1"/>
        <v>URBS 2</v>
      </c>
      <c r="O176" s="12" t="str">
        <f t="shared" si="2"/>
        <v>https://monitoramento.pm.pr.gov.br/proxy_image_2/Interface/Cameras/GetJPEGStream?Camera=EX107ACFTV01&amp;AuthUser=copom_DDTQ&amp;AuthPass=DDTQcopom&amp;Width=1024&amp;Height=768&amp;Quality=70&amp;FPS=10&amp;ResponseFormat=Text</v>
      </c>
      <c r="P176" s="6">
        <v>1.0</v>
      </c>
    </row>
    <row r="177">
      <c r="A177" s="7" t="s">
        <v>140</v>
      </c>
      <c r="B177" s="2" t="s">
        <v>17</v>
      </c>
      <c r="C177" s="13" t="s">
        <v>141</v>
      </c>
      <c r="D177" s="9">
        <v>28601.0</v>
      </c>
      <c r="E177" s="9" t="s">
        <v>705</v>
      </c>
      <c r="F177" s="14" t="s">
        <v>706</v>
      </c>
      <c r="G177" s="4" t="s">
        <v>707</v>
      </c>
      <c r="H177" s="4" t="s">
        <v>708</v>
      </c>
      <c r="I177" s="5" t="s">
        <v>23</v>
      </c>
      <c r="J177" s="5" t="s">
        <v>24</v>
      </c>
      <c r="K177" s="5" t="s">
        <v>25</v>
      </c>
      <c r="L177" s="11" t="s">
        <v>26</v>
      </c>
      <c r="M177" s="5" t="s">
        <v>27</v>
      </c>
      <c r="N177" t="str">
        <f t="shared" si="1"/>
        <v>URBS 2</v>
      </c>
      <c r="O177" s="12" t="str">
        <f t="shared" si="2"/>
        <v>https://monitoramento.pm.pr.gov.br/proxy_image_2/Interface/Cameras/GetJPEGStream?Camera=EX107CFTV01&amp;AuthUser=copom_DDTQ&amp;AuthPass=DDTQcopom&amp;Width=1024&amp;Height=768&amp;Quality=70&amp;FPS=10&amp;ResponseFormat=Text</v>
      </c>
      <c r="P177" s="6">
        <v>1.0</v>
      </c>
    </row>
    <row r="178">
      <c r="A178" s="7" t="s">
        <v>140</v>
      </c>
      <c r="B178" s="2" t="s">
        <v>17</v>
      </c>
      <c r="C178" s="13" t="s">
        <v>141</v>
      </c>
      <c r="D178" s="9">
        <v>28601.0</v>
      </c>
      <c r="E178" s="9" t="s">
        <v>709</v>
      </c>
      <c r="F178" s="14" t="s">
        <v>710</v>
      </c>
      <c r="G178" s="4" t="s">
        <v>711</v>
      </c>
      <c r="H178" s="4" t="s">
        <v>712</v>
      </c>
      <c r="I178" s="5" t="s">
        <v>23</v>
      </c>
      <c r="J178" s="5" t="s">
        <v>24</v>
      </c>
      <c r="K178" s="5" t="s">
        <v>25</v>
      </c>
      <c r="L178" s="11" t="s">
        <v>26</v>
      </c>
      <c r="M178" s="5" t="s">
        <v>27</v>
      </c>
      <c r="N178" t="str">
        <f t="shared" si="1"/>
        <v>URBS 2</v>
      </c>
      <c r="O178" s="12" t="str">
        <f t="shared" si="2"/>
        <v>https://monitoramento.pm.pr.gov.br/proxy_image_2/Interface/Cameras/GetJPEGStream?Camera=EX108ACFTV01&amp;AuthUser=copom_DDTQ&amp;AuthPass=DDTQcopom&amp;Width=1024&amp;Height=768&amp;Quality=70&amp;FPS=10&amp;ResponseFormat=Text</v>
      </c>
      <c r="P178" s="6">
        <v>1.0</v>
      </c>
    </row>
    <row r="179">
      <c r="A179" s="7" t="s">
        <v>140</v>
      </c>
      <c r="B179" s="2" t="s">
        <v>17</v>
      </c>
      <c r="C179" s="13" t="s">
        <v>141</v>
      </c>
      <c r="D179" s="9">
        <v>28601.0</v>
      </c>
      <c r="E179" s="9" t="s">
        <v>713</v>
      </c>
      <c r="F179" s="14" t="s">
        <v>714</v>
      </c>
      <c r="G179" s="4" t="s">
        <v>715</v>
      </c>
      <c r="H179" s="4" t="s">
        <v>716</v>
      </c>
      <c r="I179" s="5" t="s">
        <v>23</v>
      </c>
      <c r="J179" s="5" t="s">
        <v>24</v>
      </c>
      <c r="K179" s="5" t="s">
        <v>25</v>
      </c>
      <c r="L179" s="11" t="s">
        <v>26</v>
      </c>
      <c r="M179" s="5" t="s">
        <v>27</v>
      </c>
      <c r="N179" t="str">
        <f t="shared" si="1"/>
        <v>URBS 2</v>
      </c>
      <c r="O179" s="12" t="str">
        <f t="shared" si="2"/>
        <v>https://monitoramento.pm.pr.gov.br/proxy_image_2/Interface/Cameras/GetJPEGStream?Camera=EX108CFTV01&amp;AuthUser=copom_DDTQ&amp;AuthPass=DDTQcopom&amp;Width=1024&amp;Height=768&amp;Quality=70&amp;FPS=10&amp;ResponseFormat=Text</v>
      </c>
      <c r="P179" s="6">
        <v>1.0</v>
      </c>
    </row>
    <row r="180">
      <c r="A180" s="7" t="s">
        <v>140</v>
      </c>
      <c r="B180" s="2" t="s">
        <v>17</v>
      </c>
      <c r="C180" s="13" t="s">
        <v>141</v>
      </c>
      <c r="D180" s="9">
        <v>28601.0</v>
      </c>
      <c r="E180" s="9" t="s">
        <v>717</v>
      </c>
      <c r="F180" s="16" t="s">
        <v>718</v>
      </c>
      <c r="G180" s="4" t="s">
        <v>719</v>
      </c>
      <c r="H180" s="4" t="s">
        <v>720</v>
      </c>
      <c r="I180" s="5" t="s">
        <v>23</v>
      </c>
      <c r="J180" s="5" t="s">
        <v>24</v>
      </c>
      <c r="K180" s="5" t="s">
        <v>25</v>
      </c>
      <c r="L180" s="11" t="s">
        <v>26</v>
      </c>
      <c r="M180" s="5" t="s">
        <v>27</v>
      </c>
      <c r="N180" t="str">
        <f t="shared" si="1"/>
        <v>URBS 2</v>
      </c>
      <c r="O180" s="12" t="str">
        <f t="shared" si="2"/>
        <v>https://monitoramento.pm.pr.gov.br/proxy_image_2/Interface/Cameras/GetJPEGStream?Camera=EX110CFTV01&amp;AuthUser=copom_DDTQ&amp;AuthPass=DDTQcopom&amp;Width=1024&amp;Height=768&amp;Quality=70&amp;FPS=10&amp;ResponseFormat=Text</v>
      </c>
      <c r="P180" s="6">
        <v>1.0</v>
      </c>
    </row>
    <row r="181">
      <c r="A181" s="7" t="s">
        <v>140</v>
      </c>
      <c r="B181" s="2" t="s">
        <v>17</v>
      </c>
      <c r="C181" s="13" t="s">
        <v>141</v>
      </c>
      <c r="D181" s="9">
        <v>28601.0</v>
      </c>
      <c r="E181" s="9" t="s">
        <v>721</v>
      </c>
      <c r="F181" s="16" t="s">
        <v>722</v>
      </c>
      <c r="G181" s="4" t="s">
        <v>723</v>
      </c>
      <c r="H181" s="4" t="s">
        <v>724</v>
      </c>
      <c r="I181" s="5" t="s">
        <v>23</v>
      </c>
      <c r="J181" s="5" t="s">
        <v>24</v>
      </c>
      <c r="K181" s="5" t="s">
        <v>25</v>
      </c>
      <c r="L181" s="11" t="s">
        <v>26</v>
      </c>
      <c r="M181" s="5" t="s">
        <v>27</v>
      </c>
      <c r="N181" t="str">
        <f t="shared" si="1"/>
        <v>URBS 2</v>
      </c>
      <c r="O181" s="12" t="str">
        <f t="shared" si="2"/>
        <v>https://monitoramento.pm.pr.gov.br/proxy_image_2/Interface/Cameras/GetJPEGStream?Camera=EX110CFTV02&amp;AuthUser=copom_DDTQ&amp;AuthPass=DDTQcopom&amp;Width=1024&amp;Height=768&amp;Quality=70&amp;FPS=10&amp;ResponseFormat=Text</v>
      </c>
      <c r="P181" s="6">
        <v>1.0</v>
      </c>
    </row>
    <row r="182">
      <c r="A182" s="7" t="s">
        <v>140</v>
      </c>
      <c r="B182" s="2" t="s">
        <v>17</v>
      </c>
      <c r="C182" s="13" t="s">
        <v>141</v>
      </c>
      <c r="D182" s="9">
        <v>28601.0</v>
      </c>
      <c r="E182" s="9" t="s">
        <v>725</v>
      </c>
      <c r="F182" s="14" t="s">
        <v>726</v>
      </c>
      <c r="G182" s="4" t="s">
        <v>727</v>
      </c>
      <c r="H182" s="4" t="s">
        <v>728</v>
      </c>
      <c r="I182" s="5" t="s">
        <v>23</v>
      </c>
      <c r="J182" s="5" t="s">
        <v>24</v>
      </c>
      <c r="K182" s="5" t="s">
        <v>25</v>
      </c>
      <c r="L182" s="11" t="s">
        <v>26</v>
      </c>
      <c r="M182" s="5" t="s">
        <v>27</v>
      </c>
      <c r="N182" t="str">
        <f t="shared" si="1"/>
        <v>URBS 2</v>
      </c>
      <c r="O182" s="12" t="str">
        <f t="shared" si="2"/>
        <v>https://monitoramento.pm.pr.gov.br/proxy_image_2/Interface/Cameras/GetJPEGStream?Camera=EX111CFTV01&amp;AuthUser=copom_DDTQ&amp;AuthPass=DDTQcopom&amp;Width=1024&amp;Height=768&amp;Quality=70&amp;FPS=10&amp;ResponseFormat=Text</v>
      </c>
      <c r="P182" s="6">
        <v>1.0</v>
      </c>
    </row>
    <row r="183">
      <c r="A183" s="7" t="s">
        <v>140</v>
      </c>
      <c r="B183" s="2" t="s">
        <v>17</v>
      </c>
      <c r="C183" s="13" t="s">
        <v>141</v>
      </c>
      <c r="D183" s="9">
        <v>28601.0</v>
      </c>
      <c r="E183" s="9" t="s">
        <v>729</v>
      </c>
      <c r="F183" s="16" t="s">
        <v>730</v>
      </c>
      <c r="G183" s="4" t="s">
        <v>731</v>
      </c>
      <c r="H183" s="4" t="s">
        <v>732</v>
      </c>
      <c r="I183" s="5" t="s">
        <v>23</v>
      </c>
      <c r="J183" s="5" t="s">
        <v>24</v>
      </c>
      <c r="K183" s="5" t="s">
        <v>25</v>
      </c>
      <c r="L183" s="11" t="s">
        <v>26</v>
      </c>
      <c r="M183" s="5" t="s">
        <v>27</v>
      </c>
      <c r="N183" t="str">
        <f t="shared" si="1"/>
        <v>URBS 2</v>
      </c>
      <c r="O183" s="12" t="str">
        <f t="shared" si="2"/>
        <v>https://monitoramento.pm.pr.gov.br/proxy_image_2/Interface/Cameras/GetJPEGStream?Camera=EX112CFTV01&amp;AuthUser=copom_DDTQ&amp;AuthPass=DDTQcopom&amp;Width=1024&amp;Height=768&amp;Quality=70&amp;FPS=10&amp;ResponseFormat=Text</v>
      </c>
      <c r="P183" s="6">
        <v>1.0</v>
      </c>
    </row>
    <row r="184">
      <c r="A184" s="7" t="s">
        <v>140</v>
      </c>
      <c r="B184" s="2" t="s">
        <v>17</v>
      </c>
      <c r="C184" s="13" t="s">
        <v>141</v>
      </c>
      <c r="D184" s="9">
        <v>28601.0</v>
      </c>
      <c r="E184" s="9" t="s">
        <v>733</v>
      </c>
      <c r="F184" s="14" t="s">
        <v>734</v>
      </c>
      <c r="G184" s="4" t="s">
        <v>735</v>
      </c>
      <c r="H184" s="4" t="s">
        <v>736</v>
      </c>
      <c r="I184" s="5" t="s">
        <v>23</v>
      </c>
      <c r="J184" s="5" t="s">
        <v>24</v>
      </c>
      <c r="K184" s="5" t="s">
        <v>25</v>
      </c>
      <c r="L184" s="11" t="s">
        <v>26</v>
      </c>
      <c r="M184" s="5" t="s">
        <v>27</v>
      </c>
      <c r="N184" t="str">
        <f t="shared" si="1"/>
        <v>URBS 2</v>
      </c>
      <c r="O184" s="12" t="str">
        <f t="shared" si="2"/>
        <v>https://monitoramento.pm.pr.gov.br/proxy_image_2/Interface/Cameras/GetJPEGStream?Camera=EX113CFTV01&amp;AuthUser=copom_DDTQ&amp;AuthPass=DDTQcopom&amp;Width=1024&amp;Height=768&amp;Quality=70&amp;FPS=10&amp;ResponseFormat=Text</v>
      </c>
      <c r="P184" s="6">
        <v>1.0</v>
      </c>
    </row>
    <row r="185">
      <c r="A185" s="7" t="s">
        <v>140</v>
      </c>
      <c r="B185" s="2" t="s">
        <v>17</v>
      </c>
      <c r="C185" s="13" t="s">
        <v>141</v>
      </c>
      <c r="D185" s="9">
        <v>28601.0</v>
      </c>
      <c r="E185" s="9" t="s">
        <v>737</v>
      </c>
      <c r="F185" s="14" t="s">
        <v>738</v>
      </c>
      <c r="G185" s="4" t="s">
        <v>739</v>
      </c>
      <c r="H185" s="4" t="s">
        <v>740</v>
      </c>
      <c r="I185" s="5" t="s">
        <v>23</v>
      </c>
      <c r="J185" s="5" t="s">
        <v>24</v>
      </c>
      <c r="K185" s="5" t="s">
        <v>25</v>
      </c>
      <c r="L185" s="11" t="s">
        <v>26</v>
      </c>
      <c r="M185" s="5" t="s">
        <v>27</v>
      </c>
      <c r="N185" t="str">
        <f t="shared" si="1"/>
        <v>URBS 2</v>
      </c>
      <c r="O185" s="12" t="str">
        <f t="shared" si="2"/>
        <v>https://monitoramento.pm.pr.gov.br/proxy_image_2/Interface/Cameras/GetJPEGStream?Camera=EX113CFTV02&amp;AuthUser=copom_DDTQ&amp;AuthPass=DDTQcopom&amp;Width=1024&amp;Height=768&amp;Quality=70&amp;FPS=10&amp;ResponseFormat=Text</v>
      </c>
      <c r="P185" s="6">
        <v>1.0</v>
      </c>
    </row>
    <row r="186">
      <c r="A186" s="7" t="s">
        <v>140</v>
      </c>
      <c r="B186" s="2" t="s">
        <v>17</v>
      </c>
      <c r="C186" s="13" t="s">
        <v>141</v>
      </c>
      <c r="D186" s="9">
        <v>28601.0</v>
      </c>
      <c r="E186" s="9" t="s">
        <v>741</v>
      </c>
      <c r="F186" s="16" t="s">
        <v>742</v>
      </c>
      <c r="G186" s="4" t="s">
        <v>743</v>
      </c>
      <c r="H186" s="4" t="s">
        <v>744</v>
      </c>
      <c r="I186" s="5" t="s">
        <v>23</v>
      </c>
      <c r="J186" s="5" t="s">
        <v>24</v>
      </c>
      <c r="K186" s="5" t="s">
        <v>25</v>
      </c>
      <c r="L186" s="11" t="s">
        <v>26</v>
      </c>
      <c r="M186" s="5" t="s">
        <v>27</v>
      </c>
      <c r="N186" t="str">
        <f t="shared" si="1"/>
        <v>URBS 2</v>
      </c>
      <c r="O186" s="12" t="str">
        <f t="shared" si="2"/>
        <v>https://monitoramento.pm.pr.gov.br/proxy_image_2/Interface/Cameras/GetJPEGStream?Camera=EX114CFTV01&amp;AuthUser=copom_DDTQ&amp;AuthPass=DDTQcopom&amp;Width=1024&amp;Height=768&amp;Quality=70&amp;FPS=10&amp;ResponseFormat=Text</v>
      </c>
      <c r="P186" s="6">
        <v>1.0</v>
      </c>
    </row>
    <row r="187">
      <c r="A187" s="7" t="s">
        <v>140</v>
      </c>
      <c r="B187" s="2" t="s">
        <v>17</v>
      </c>
      <c r="C187" s="13" t="s">
        <v>141</v>
      </c>
      <c r="D187" s="9">
        <v>28601.0</v>
      </c>
      <c r="E187" s="9" t="s">
        <v>745</v>
      </c>
      <c r="F187" s="14" t="s">
        <v>746</v>
      </c>
      <c r="G187" s="4" t="s">
        <v>747</v>
      </c>
      <c r="H187" s="4" t="s">
        <v>748</v>
      </c>
      <c r="I187" s="5" t="s">
        <v>23</v>
      </c>
      <c r="J187" s="5" t="s">
        <v>24</v>
      </c>
      <c r="K187" s="5" t="s">
        <v>25</v>
      </c>
      <c r="L187" s="11" t="s">
        <v>26</v>
      </c>
      <c r="M187" s="5" t="s">
        <v>27</v>
      </c>
      <c r="N187" t="str">
        <f t="shared" si="1"/>
        <v>URBS 2</v>
      </c>
      <c r="O187" s="12" t="str">
        <f t="shared" si="2"/>
        <v>https://monitoramento.pm.pr.gov.br/proxy_image_2/Interface/Cameras/GetJPEGStream?Camera=EX114CFTV02&amp;AuthUser=copom_DDTQ&amp;AuthPass=DDTQcopom&amp;Width=1024&amp;Height=768&amp;Quality=70&amp;FPS=10&amp;ResponseFormat=Text</v>
      </c>
      <c r="P187" s="6">
        <v>1.0</v>
      </c>
    </row>
    <row r="188">
      <c r="A188" s="7" t="s">
        <v>140</v>
      </c>
      <c r="B188" s="2" t="s">
        <v>17</v>
      </c>
      <c r="C188" s="13" t="s">
        <v>141</v>
      </c>
      <c r="D188" s="9">
        <v>28601.0</v>
      </c>
      <c r="E188" s="9" t="s">
        <v>749</v>
      </c>
      <c r="F188" s="16" t="s">
        <v>750</v>
      </c>
      <c r="G188" s="4" t="s">
        <v>751</v>
      </c>
      <c r="H188" s="4" t="s">
        <v>752</v>
      </c>
      <c r="I188" s="5" t="s">
        <v>23</v>
      </c>
      <c r="J188" s="5" t="s">
        <v>24</v>
      </c>
      <c r="K188" s="5" t="s">
        <v>25</v>
      </c>
      <c r="L188" s="11" t="s">
        <v>26</v>
      </c>
      <c r="M188" s="5" t="s">
        <v>27</v>
      </c>
      <c r="N188" t="str">
        <f t="shared" si="1"/>
        <v>URBS 2</v>
      </c>
      <c r="O188" s="12" t="str">
        <f t="shared" si="2"/>
        <v>https://monitoramento.pm.pr.gov.br/proxy_image_2/Interface/Cameras/GetJPEGStream?Camera=EX115CFTV01&amp;AuthUser=copom_DDTQ&amp;AuthPass=DDTQcopom&amp;Width=1024&amp;Height=768&amp;Quality=70&amp;FPS=10&amp;ResponseFormat=Text</v>
      </c>
      <c r="P188" s="6">
        <v>1.0</v>
      </c>
    </row>
    <row r="189">
      <c r="A189" s="7" t="s">
        <v>140</v>
      </c>
      <c r="B189" s="2" t="s">
        <v>17</v>
      </c>
      <c r="C189" s="13" t="s">
        <v>141</v>
      </c>
      <c r="D189" s="9">
        <v>28601.0</v>
      </c>
      <c r="E189" s="9" t="s">
        <v>753</v>
      </c>
      <c r="F189" s="16" t="s">
        <v>754</v>
      </c>
      <c r="G189" s="4" t="s">
        <v>755</v>
      </c>
      <c r="H189" s="4" t="s">
        <v>756</v>
      </c>
      <c r="I189" s="5" t="s">
        <v>23</v>
      </c>
      <c r="J189" s="5" t="s">
        <v>24</v>
      </c>
      <c r="K189" s="5" t="s">
        <v>25</v>
      </c>
      <c r="L189" s="11" t="s">
        <v>26</v>
      </c>
      <c r="M189" s="5" t="s">
        <v>27</v>
      </c>
      <c r="N189" t="str">
        <f t="shared" si="1"/>
        <v>URBS 2</v>
      </c>
      <c r="O189" s="12" t="str">
        <f t="shared" si="2"/>
        <v>https://monitoramento.pm.pr.gov.br/proxy_image_2/Interface/Cameras/GetJPEGStream?Camera=EX115CFTV02&amp;AuthUser=copom_DDTQ&amp;AuthPass=DDTQcopom&amp;Width=1024&amp;Height=768&amp;Quality=70&amp;FPS=10&amp;ResponseFormat=Text</v>
      </c>
      <c r="P189" s="6">
        <v>1.0</v>
      </c>
    </row>
    <row r="190">
      <c r="A190" s="7" t="s">
        <v>140</v>
      </c>
      <c r="B190" s="2" t="s">
        <v>17</v>
      </c>
      <c r="C190" s="13" t="s">
        <v>141</v>
      </c>
      <c r="D190" s="9">
        <v>28601.0</v>
      </c>
      <c r="E190" s="9" t="s">
        <v>757</v>
      </c>
      <c r="F190" s="14" t="s">
        <v>758</v>
      </c>
      <c r="G190" s="4" t="s">
        <v>759</v>
      </c>
      <c r="H190" s="4" t="s">
        <v>760</v>
      </c>
      <c r="I190" s="5" t="s">
        <v>23</v>
      </c>
      <c r="J190" s="5" t="s">
        <v>24</v>
      </c>
      <c r="K190" s="5" t="s">
        <v>25</v>
      </c>
      <c r="L190" s="11" t="s">
        <v>26</v>
      </c>
      <c r="M190" s="5" t="s">
        <v>27</v>
      </c>
      <c r="N190" t="str">
        <f t="shared" si="1"/>
        <v>URBS 2</v>
      </c>
      <c r="O190" s="12" t="str">
        <f t="shared" si="2"/>
        <v>https://monitoramento.pm.pr.gov.br/proxy_image_2/Interface/Cameras/GetJPEGStream?Camera=EX116CFTV01&amp;AuthUser=copom_DDTQ&amp;AuthPass=DDTQcopom&amp;Width=1024&amp;Height=768&amp;Quality=70&amp;FPS=10&amp;ResponseFormat=Text</v>
      </c>
      <c r="P190" s="6">
        <v>1.0</v>
      </c>
    </row>
    <row r="191">
      <c r="A191" s="7" t="s">
        <v>140</v>
      </c>
      <c r="B191" s="2" t="s">
        <v>17</v>
      </c>
      <c r="C191" s="13" t="s">
        <v>141</v>
      </c>
      <c r="D191" s="9">
        <v>28601.0</v>
      </c>
      <c r="E191" s="9" t="s">
        <v>761</v>
      </c>
      <c r="F191" s="14" t="s">
        <v>762</v>
      </c>
      <c r="G191" s="4" t="s">
        <v>763</v>
      </c>
      <c r="H191" s="4" t="s">
        <v>764</v>
      </c>
      <c r="I191" s="5" t="s">
        <v>23</v>
      </c>
      <c r="J191" s="5" t="s">
        <v>24</v>
      </c>
      <c r="K191" s="5" t="s">
        <v>25</v>
      </c>
      <c r="L191" s="11" t="s">
        <v>26</v>
      </c>
      <c r="M191" s="5" t="s">
        <v>27</v>
      </c>
      <c r="N191" t="str">
        <f t="shared" si="1"/>
        <v>URBS 2</v>
      </c>
      <c r="O191" s="12" t="str">
        <f t="shared" si="2"/>
        <v>https://monitoramento.pm.pr.gov.br/proxy_image_2/Interface/Cameras/GetJPEGStream?Camera=EX116CFTV02&amp;AuthUser=copom_DDTQ&amp;AuthPass=DDTQcopom&amp;Width=1024&amp;Height=768&amp;Quality=70&amp;FPS=10&amp;ResponseFormat=Text</v>
      </c>
      <c r="P191" s="6">
        <v>1.0</v>
      </c>
    </row>
    <row r="192">
      <c r="A192" s="7" t="s">
        <v>140</v>
      </c>
      <c r="B192" s="2" t="s">
        <v>17</v>
      </c>
      <c r="C192" s="13" t="s">
        <v>141</v>
      </c>
      <c r="D192" s="9">
        <v>28601.0</v>
      </c>
      <c r="E192" s="9" t="s">
        <v>765</v>
      </c>
      <c r="F192" s="14" t="s">
        <v>766</v>
      </c>
      <c r="G192" s="4" t="s">
        <v>767</v>
      </c>
      <c r="H192" s="4" t="s">
        <v>768</v>
      </c>
      <c r="I192" s="5" t="s">
        <v>23</v>
      </c>
      <c r="J192" s="5" t="s">
        <v>24</v>
      </c>
      <c r="K192" s="5" t="s">
        <v>25</v>
      </c>
      <c r="L192" s="11" t="s">
        <v>26</v>
      </c>
      <c r="M192" s="5" t="s">
        <v>27</v>
      </c>
      <c r="N192" t="str">
        <f t="shared" si="1"/>
        <v>URBS 2</v>
      </c>
      <c r="O192" s="12" t="str">
        <f t="shared" si="2"/>
        <v>https://monitoramento.pm.pr.gov.br/proxy_image_2/Interface/Cameras/GetJPEGStream?Camera=EX117CFTV01&amp;AuthUser=copom_DDTQ&amp;AuthPass=DDTQcopom&amp;Width=1024&amp;Height=768&amp;Quality=70&amp;FPS=10&amp;ResponseFormat=Text</v>
      </c>
      <c r="P192" s="6">
        <v>1.0</v>
      </c>
    </row>
    <row r="193">
      <c r="A193" s="7" t="s">
        <v>140</v>
      </c>
      <c r="B193" s="2" t="s">
        <v>17</v>
      </c>
      <c r="C193" s="13" t="s">
        <v>141</v>
      </c>
      <c r="D193" s="9">
        <v>28601.0</v>
      </c>
      <c r="E193" s="9" t="s">
        <v>769</v>
      </c>
      <c r="F193" s="14" t="s">
        <v>770</v>
      </c>
      <c r="G193" s="4" t="s">
        <v>771</v>
      </c>
      <c r="H193" s="4" t="s">
        <v>772</v>
      </c>
      <c r="I193" s="5" t="s">
        <v>23</v>
      </c>
      <c r="J193" s="5" t="s">
        <v>24</v>
      </c>
      <c r="K193" s="5" t="s">
        <v>25</v>
      </c>
      <c r="L193" s="11" t="s">
        <v>26</v>
      </c>
      <c r="M193" s="5" t="s">
        <v>27</v>
      </c>
      <c r="N193" t="str">
        <f t="shared" si="1"/>
        <v>URBS 2</v>
      </c>
      <c r="O193" s="12" t="str">
        <f t="shared" si="2"/>
        <v>https://monitoramento.pm.pr.gov.br/proxy_image_2/Interface/Cameras/GetJPEGStream?Camera=EX117CFTV02&amp;AuthUser=copom_DDTQ&amp;AuthPass=DDTQcopom&amp;Width=1024&amp;Height=768&amp;Quality=70&amp;FPS=10&amp;ResponseFormat=Text</v>
      </c>
      <c r="P193" s="6">
        <v>1.0</v>
      </c>
    </row>
    <row r="194">
      <c r="A194" s="7" t="s">
        <v>140</v>
      </c>
      <c r="B194" s="2" t="s">
        <v>17</v>
      </c>
      <c r="C194" s="13" t="s">
        <v>141</v>
      </c>
      <c r="D194" s="9">
        <v>28601.0</v>
      </c>
      <c r="E194" s="9" t="s">
        <v>773</v>
      </c>
      <c r="F194" s="14" t="s">
        <v>774</v>
      </c>
      <c r="G194" s="4" t="s">
        <v>775</v>
      </c>
      <c r="H194" s="4" t="s">
        <v>776</v>
      </c>
      <c r="I194" s="5" t="s">
        <v>23</v>
      </c>
      <c r="J194" s="5" t="s">
        <v>24</v>
      </c>
      <c r="K194" s="5" t="s">
        <v>25</v>
      </c>
      <c r="L194" s="11" t="s">
        <v>26</v>
      </c>
      <c r="M194" s="5" t="s">
        <v>27</v>
      </c>
      <c r="N194" t="str">
        <f t="shared" si="1"/>
        <v>URBS 2</v>
      </c>
      <c r="O194" s="12" t="str">
        <f t="shared" si="2"/>
        <v>https://monitoramento.pm.pr.gov.br/proxy_image_2/Interface/Cameras/GetJPEGStream?Camera=EX125CFTV01&amp;AuthUser=copom_DDTQ&amp;AuthPass=DDTQcopom&amp;Width=1024&amp;Height=768&amp;Quality=70&amp;FPS=10&amp;ResponseFormat=Text</v>
      </c>
      <c r="P194" s="6">
        <v>1.0</v>
      </c>
    </row>
    <row r="195">
      <c r="A195" s="7" t="s">
        <v>140</v>
      </c>
      <c r="B195" s="2" t="s">
        <v>17</v>
      </c>
      <c r="C195" s="13" t="s">
        <v>141</v>
      </c>
      <c r="D195" s="9">
        <v>28601.0</v>
      </c>
      <c r="E195" s="9" t="s">
        <v>777</v>
      </c>
      <c r="F195" s="14" t="s">
        <v>774</v>
      </c>
      <c r="G195" s="4" t="s">
        <v>778</v>
      </c>
      <c r="H195" s="4" t="s">
        <v>779</v>
      </c>
      <c r="I195" s="5" t="s">
        <v>23</v>
      </c>
      <c r="J195" s="5" t="s">
        <v>24</v>
      </c>
      <c r="K195" s="5" t="s">
        <v>25</v>
      </c>
      <c r="L195" s="11" t="s">
        <v>26</v>
      </c>
      <c r="M195" s="5" t="s">
        <v>27</v>
      </c>
      <c r="N195" t="str">
        <f t="shared" si="1"/>
        <v>URBS 2</v>
      </c>
      <c r="O195" s="12" t="str">
        <f t="shared" si="2"/>
        <v>https://monitoramento.pm.pr.gov.br/proxy_image_2/Interface/Cameras/GetJPEGStream?Camera=EX125CFTV02&amp;AuthUser=copom_DDTQ&amp;AuthPass=DDTQcopom&amp;Width=1024&amp;Height=768&amp;Quality=70&amp;FPS=10&amp;ResponseFormat=Text</v>
      </c>
      <c r="P195" s="6">
        <v>1.0</v>
      </c>
    </row>
    <row r="196">
      <c r="A196" s="7" t="s">
        <v>140</v>
      </c>
      <c r="B196" s="2" t="s">
        <v>17</v>
      </c>
      <c r="C196" s="13" t="s">
        <v>141</v>
      </c>
      <c r="D196" s="9">
        <v>28601.0</v>
      </c>
      <c r="E196" s="9" t="s">
        <v>780</v>
      </c>
      <c r="F196" s="14" t="s">
        <v>774</v>
      </c>
      <c r="G196" s="4" t="s">
        <v>781</v>
      </c>
      <c r="H196" s="4" t="s">
        <v>782</v>
      </c>
      <c r="I196" s="5" t="s">
        <v>23</v>
      </c>
      <c r="J196" s="5" t="s">
        <v>24</v>
      </c>
      <c r="K196" s="5" t="s">
        <v>25</v>
      </c>
      <c r="L196" s="11" t="s">
        <v>26</v>
      </c>
      <c r="M196" s="5" t="s">
        <v>27</v>
      </c>
      <c r="N196" t="str">
        <f t="shared" si="1"/>
        <v>URBS 2</v>
      </c>
      <c r="O196" s="12" t="str">
        <f t="shared" si="2"/>
        <v>https://monitoramento.pm.pr.gov.br/proxy_image_2/Interface/Cameras/GetJPEGStream?Camera=EX125CFTV03&amp;AuthUser=copom_DDTQ&amp;AuthPass=DDTQcopom&amp;Width=1024&amp;Height=768&amp;Quality=70&amp;FPS=10&amp;ResponseFormat=Text</v>
      </c>
      <c r="P196" s="6">
        <v>1.0</v>
      </c>
    </row>
    <row r="197">
      <c r="A197" s="7" t="s">
        <v>140</v>
      </c>
      <c r="B197" s="2" t="s">
        <v>17</v>
      </c>
      <c r="C197" s="13" t="s">
        <v>141</v>
      </c>
      <c r="D197" s="9">
        <v>28601.0</v>
      </c>
      <c r="E197" s="9" t="s">
        <v>783</v>
      </c>
      <c r="F197" s="14" t="s">
        <v>774</v>
      </c>
      <c r="G197" s="4" t="s">
        <v>784</v>
      </c>
      <c r="H197" s="4" t="s">
        <v>785</v>
      </c>
      <c r="I197" s="5" t="s">
        <v>23</v>
      </c>
      <c r="J197" s="5" t="s">
        <v>24</v>
      </c>
      <c r="K197" s="5" t="s">
        <v>25</v>
      </c>
      <c r="L197" s="11" t="s">
        <v>26</v>
      </c>
      <c r="M197" s="5" t="s">
        <v>27</v>
      </c>
      <c r="N197" t="str">
        <f t="shared" si="1"/>
        <v>URBS 2</v>
      </c>
      <c r="O197" s="12" t="str">
        <f t="shared" si="2"/>
        <v>https://monitoramento.pm.pr.gov.br/proxy_image_2/Interface/Cameras/GetJPEGStream?Camera=EX125CFTV04&amp;AuthUser=copom_DDTQ&amp;AuthPass=DDTQcopom&amp;Width=1024&amp;Height=768&amp;Quality=70&amp;FPS=10&amp;ResponseFormat=Text</v>
      </c>
      <c r="P197" s="6">
        <v>1.0</v>
      </c>
    </row>
    <row r="198">
      <c r="A198" s="7" t="s">
        <v>140</v>
      </c>
      <c r="B198" s="2" t="s">
        <v>17</v>
      </c>
      <c r="C198" s="13" t="s">
        <v>141</v>
      </c>
      <c r="D198" s="9">
        <v>28601.0</v>
      </c>
      <c r="E198" s="9" t="s">
        <v>786</v>
      </c>
      <c r="F198" s="14" t="s">
        <v>787</v>
      </c>
      <c r="G198" s="4" t="s">
        <v>788</v>
      </c>
      <c r="H198" s="4" t="s">
        <v>789</v>
      </c>
      <c r="I198" s="5" t="s">
        <v>23</v>
      </c>
      <c r="J198" s="5" t="s">
        <v>24</v>
      </c>
      <c r="K198" s="5" t="s">
        <v>25</v>
      </c>
      <c r="L198" s="11" t="s">
        <v>26</v>
      </c>
      <c r="M198" s="5" t="s">
        <v>27</v>
      </c>
      <c r="N198" t="str">
        <f t="shared" si="1"/>
        <v>URBS 2</v>
      </c>
      <c r="O198" s="12" t="str">
        <f t="shared" si="2"/>
        <v>https://monitoramento.pm.pr.gov.br/proxy_image_2/Interface/Cameras/GetJPEGStream?Camera=EX126CFTV01&amp;AuthUser=copom_DDTQ&amp;AuthPass=DDTQcopom&amp;Width=1024&amp;Height=768&amp;Quality=70&amp;FPS=10&amp;ResponseFormat=Text</v>
      </c>
      <c r="P198" s="6">
        <v>1.0</v>
      </c>
    </row>
    <row r="199">
      <c r="A199" s="7" t="s">
        <v>140</v>
      </c>
      <c r="B199" s="2" t="s">
        <v>17</v>
      </c>
      <c r="C199" s="13" t="s">
        <v>141</v>
      </c>
      <c r="D199" s="9">
        <v>28601.0</v>
      </c>
      <c r="E199" s="9" t="s">
        <v>790</v>
      </c>
      <c r="F199" s="14" t="s">
        <v>787</v>
      </c>
      <c r="G199" s="4" t="s">
        <v>791</v>
      </c>
      <c r="H199" s="4" t="s">
        <v>792</v>
      </c>
      <c r="I199" s="5" t="s">
        <v>23</v>
      </c>
      <c r="J199" s="5" t="s">
        <v>24</v>
      </c>
      <c r="K199" s="5" t="s">
        <v>25</v>
      </c>
      <c r="L199" s="11" t="s">
        <v>26</v>
      </c>
      <c r="M199" s="5" t="s">
        <v>27</v>
      </c>
      <c r="N199" t="str">
        <f t="shared" si="1"/>
        <v>URBS 2</v>
      </c>
      <c r="O199" s="12" t="str">
        <f t="shared" si="2"/>
        <v>https://monitoramento.pm.pr.gov.br/proxy_image_2/Interface/Cameras/GetJPEGStream?Camera=EX126CFTV02&amp;AuthUser=copom_DDTQ&amp;AuthPass=DDTQcopom&amp;Width=1024&amp;Height=768&amp;Quality=70&amp;FPS=10&amp;ResponseFormat=Text</v>
      </c>
      <c r="P199" s="6">
        <v>1.0</v>
      </c>
    </row>
    <row r="200">
      <c r="A200" s="7" t="s">
        <v>140</v>
      </c>
      <c r="B200" s="2" t="s">
        <v>17</v>
      </c>
      <c r="C200" s="13" t="s">
        <v>141</v>
      </c>
      <c r="D200" s="9">
        <v>28601.0</v>
      </c>
      <c r="E200" s="9" t="s">
        <v>793</v>
      </c>
      <c r="F200" s="14" t="s">
        <v>787</v>
      </c>
      <c r="G200" s="4" t="s">
        <v>794</v>
      </c>
      <c r="H200" s="4" t="s">
        <v>795</v>
      </c>
      <c r="I200" s="5" t="s">
        <v>23</v>
      </c>
      <c r="J200" s="5" t="s">
        <v>24</v>
      </c>
      <c r="K200" s="5" t="s">
        <v>25</v>
      </c>
      <c r="L200" s="11" t="s">
        <v>26</v>
      </c>
      <c r="M200" s="5" t="s">
        <v>27</v>
      </c>
      <c r="N200" t="str">
        <f t="shared" si="1"/>
        <v>URBS 2</v>
      </c>
      <c r="O200" s="12" t="str">
        <f t="shared" si="2"/>
        <v>https://monitoramento.pm.pr.gov.br/proxy_image_2/Interface/Cameras/GetJPEGStream?Camera=EX126CFTV03&amp;AuthUser=copom_DDTQ&amp;AuthPass=DDTQcopom&amp;Width=1024&amp;Height=768&amp;Quality=70&amp;FPS=10&amp;ResponseFormat=Text</v>
      </c>
      <c r="P200" s="6">
        <v>1.0</v>
      </c>
    </row>
    <row r="201">
      <c r="A201" s="7" t="s">
        <v>140</v>
      </c>
      <c r="B201" s="2" t="s">
        <v>17</v>
      </c>
      <c r="C201" s="13" t="s">
        <v>141</v>
      </c>
      <c r="D201" s="9">
        <v>28601.0</v>
      </c>
      <c r="E201" s="9" t="s">
        <v>796</v>
      </c>
      <c r="F201" s="14" t="s">
        <v>787</v>
      </c>
      <c r="G201" s="4" t="s">
        <v>797</v>
      </c>
      <c r="H201" s="4" t="s">
        <v>798</v>
      </c>
      <c r="I201" s="5" t="s">
        <v>23</v>
      </c>
      <c r="J201" s="5" t="s">
        <v>24</v>
      </c>
      <c r="K201" s="5" t="s">
        <v>25</v>
      </c>
      <c r="L201" s="11" t="s">
        <v>26</v>
      </c>
      <c r="M201" s="5" t="s">
        <v>27</v>
      </c>
      <c r="N201" t="str">
        <f t="shared" si="1"/>
        <v>URBS 2</v>
      </c>
      <c r="O201" s="12" t="str">
        <f t="shared" si="2"/>
        <v>https://monitoramento.pm.pr.gov.br/proxy_image_2/Interface/Cameras/GetJPEGStream?Camera=EX126CFTV04&amp;AuthUser=copom_DDTQ&amp;AuthPass=DDTQcopom&amp;Width=1024&amp;Height=768&amp;Quality=70&amp;FPS=10&amp;ResponseFormat=Text</v>
      </c>
      <c r="P201" s="6">
        <v>1.0</v>
      </c>
    </row>
    <row r="202">
      <c r="A202" s="7" t="s">
        <v>140</v>
      </c>
      <c r="B202" s="2" t="s">
        <v>17</v>
      </c>
      <c r="C202" s="13" t="s">
        <v>141</v>
      </c>
      <c r="D202" s="9">
        <v>28601.0</v>
      </c>
      <c r="E202" s="9" t="s">
        <v>799</v>
      </c>
      <c r="F202" s="14" t="s">
        <v>800</v>
      </c>
      <c r="G202" s="4" t="s">
        <v>801</v>
      </c>
      <c r="H202" s="4" t="s">
        <v>802</v>
      </c>
      <c r="I202" s="5" t="s">
        <v>23</v>
      </c>
      <c r="J202" s="5" t="s">
        <v>24</v>
      </c>
      <c r="K202" s="5" t="s">
        <v>25</v>
      </c>
      <c r="L202" s="11" t="s">
        <v>26</v>
      </c>
      <c r="M202" s="5" t="s">
        <v>27</v>
      </c>
      <c r="N202" t="str">
        <f t="shared" si="1"/>
        <v>URBS 2</v>
      </c>
      <c r="O202" s="12" t="str">
        <f t="shared" si="2"/>
        <v>https://monitoramento.pm.pr.gov.br/proxy_image_2/Interface/Cameras/GetJPEGStream?Camera=EX127CFTV01&amp;AuthUser=copom_DDTQ&amp;AuthPass=DDTQcopom&amp;Width=1024&amp;Height=768&amp;Quality=70&amp;FPS=10&amp;ResponseFormat=Text</v>
      </c>
      <c r="P202" s="6">
        <v>1.0</v>
      </c>
    </row>
    <row r="203">
      <c r="A203" s="7" t="s">
        <v>140</v>
      </c>
      <c r="B203" s="2" t="s">
        <v>17</v>
      </c>
      <c r="C203" s="13" t="s">
        <v>141</v>
      </c>
      <c r="D203" s="9">
        <v>28601.0</v>
      </c>
      <c r="E203" s="9" t="s">
        <v>803</v>
      </c>
      <c r="F203" s="14" t="s">
        <v>800</v>
      </c>
      <c r="G203" s="4" t="s">
        <v>804</v>
      </c>
      <c r="H203" s="4" t="s">
        <v>805</v>
      </c>
      <c r="I203" s="5" t="s">
        <v>23</v>
      </c>
      <c r="J203" s="5" t="s">
        <v>24</v>
      </c>
      <c r="K203" s="5" t="s">
        <v>25</v>
      </c>
      <c r="L203" s="11" t="s">
        <v>26</v>
      </c>
      <c r="M203" s="5" t="s">
        <v>27</v>
      </c>
      <c r="N203" t="str">
        <f t="shared" si="1"/>
        <v>URBS 2</v>
      </c>
      <c r="O203" s="12" t="str">
        <f t="shared" si="2"/>
        <v>https://monitoramento.pm.pr.gov.br/proxy_image_2/Interface/Cameras/GetJPEGStream?Camera=EX127CFTV02&amp;AuthUser=copom_DDTQ&amp;AuthPass=DDTQcopom&amp;Width=1024&amp;Height=768&amp;Quality=70&amp;FPS=10&amp;ResponseFormat=Text</v>
      </c>
      <c r="P203" s="6">
        <v>1.0</v>
      </c>
    </row>
    <row r="204">
      <c r="A204" s="7" t="s">
        <v>140</v>
      </c>
      <c r="B204" s="2" t="s">
        <v>17</v>
      </c>
      <c r="C204" s="13" t="s">
        <v>141</v>
      </c>
      <c r="D204" s="9">
        <v>28601.0</v>
      </c>
      <c r="E204" s="9" t="s">
        <v>806</v>
      </c>
      <c r="F204" s="14" t="s">
        <v>800</v>
      </c>
      <c r="G204" s="4" t="s">
        <v>804</v>
      </c>
      <c r="H204" s="4" t="s">
        <v>807</v>
      </c>
      <c r="I204" s="5" t="s">
        <v>23</v>
      </c>
      <c r="J204" s="5" t="s">
        <v>24</v>
      </c>
      <c r="K204" s="5" t="s">
        <v>25</v>
      </c>
      <c r="L204" s="11" t="s">
        <v>26</v>
      </c>
      <c r="M204" s="5" t="s">
        <v>27</v>
      </c>
      <c r="N204" t="str">
        <f t="shared" si="1"/>
        <v>URBS 2</v>
      </c>
      <c r="O204" s="12" t="str">
        <f t="shared" si="2"/>
        <v>https://monitoramento.pm.pr.gov.br/proxy_image_2/Interface/Cameras/GetJPEGStream?Camera=EX127CFTV03&amp;AuthUser=copom_DDTQ&amp;AuthPass=DDTQcopom&amp;Width=1024&amp;Height=768&amp;Quality=70&amp;FPS=10&amp;ResponseFormat=Text</v>
      </c>
      <c r="P204" s="6">
        <v>1.0</v>
      </c>
    </row>
    <row r="205">
      <c r="A205" s="7" t="s">
        <v>140</v>
      </c>
      <c r="B205" s="2" t="s">
        <v>17</v>
      </c>
      <c r="C205" s="13" t="s">
        <v>141</v>
      </c>
      <c r="D205" s="9">
        <v>28601.0</v>
      </c>
      <c r="E205" s="9" t="s">
        <v>808</v>
      </c>
      <c r="F205" s="16" t="s">
        <v>809</v>
      </c>
      <c r="G205" s="4" t="s">
        <v>804</v>
      </c>
      <c r="H205" s="4" t="s">
        <v>810</v>
      </c>
      <c r="I205" s="5" t="s">
        <v>23</v>
      </c>
      <c r="J205" s="5" t="s">
        <v>24</v>
      </c>
      <c r="K205" s="5" t="s">
        <v>25</v>
      </c>
      <c r="L205" s="11" t="s">
        <v>26</v>
      </c>
      <c r="M205" s="5" t="s">
        <v>27</v>
      </c>
      <c r="N205" t="str">
        <f t="shared" si="1"/>
        <v>URBS 2</v>
      </c>
      <c r="O205" s="12" t="str">
        <f t="shared" si="2"/>
        <v>https://monitoramento.pm.pr.gov.br/proxy_image_2/Interface/Cameras/GetJPEGStream?Camera=EX127CFTV04&amp;AuthUser=copom_DDTQ&amp;AuthPass=DDTQcopom&amp;Width=1024&amp;Height=768&amp;Quality=70&amp;FPS=10&amp;ResponseFormat=Text</v>
      </c>
      <c r="P205" s="6">
        <v>1.0</v>
      </c>
    </row>
    <row r="206">
      <c r="A206" s="7" t="s">
        <v>140</v>
      </c>
      <c r="B206" s="2" t="s">
        <v>17</v>
      </c>
      <c r="C206" s="13" t="s">
        <v>141</v>
      </c>
      <c r="D206" s="9">
        <v>28601.0</v>
      </c>
      <c r="E206" s="9" t="s">
        <v>811</v>
      </c>
      <c r="F206" s="14" t="s">
        <v>812</v>
      </c>
      <c r="G206" s="4" t="s">
        <v>813</v>
      </c>
      <c r="H206" s="4" t="s">
        <v>814</v>
      </c>
      <c r="I206" s="5" t="s">
        <v>23</v>
      </c>
      <c r="J206" s="5" t="s">
        <v>24</v>
      </c>
      <c r="K206" s="5" t="s">
        <v>25</v>
      </c>
      <c r="L206" s="11" t="s">
        <v>26</v>
      </c>
      <c r="M206" s="5" t="s">
        <v>27</v>
      </c>
      <c r="N206" t="str">
        <f t="shared" si="1"/>
        <v>URBS 2</v>
      </c>
      <c r="O206" s="12" t="str">
        <f t="shared" si="2"/>
        <v>https://monitoramento.pm.pr.gov.br/proxy_image_2/Interface/Cameras/GetJPEGStream?Camera=EX128CFTV01&amp;AuthUser=copom_DDTQ&amp;AuthPass=DDTQcopom&amp;Width=1024&amp;Height=768&amp;Quality=70&amp;FPS=10&amp;ResponseFormat=Text</v>
      </c>
      <c r="P206" s="6">
        <v>1.0</v>
      </c>
    </row>
    <row r="207">
      <c r="A207" s="7" t="s">
        <v>140</v>
      </c>
      <c r="B207" s="2" t="s">
        <v>17</v>
      </c>
      <c r="C207" s="13" t="s">
        <v>141</v>
      </c>
      <c r="D207" s="9">
        <v>28601.0</v>
      </c>
      <c r="E207" s="9" t="s">
        <v>815</v>
      </c>
      <c r="F207" s="14" t="s">
        <v>812</v>
      </c>
      <c r="G207" s="4" t="s">
        <v>816</v>
      </c>
      <c r="H207" s="4" t="s">
        <v>817</v>
      </c>
      <c r="I207" s="5" t="s">
        <v>23</v>
      </c>
      <c r="J207" s="5" t="s">
        <v>24</v>
      </c>
      <c r="K207" s="5" t="s">
        <v>25</v>
      </c>
      <c r="L207" s="11" t="s">
        <v>26</v>
      </c>
      <c r="M207" s="5" t="s">
        <v>27</v>
      </c>
      <c r="N207" t="str">
        <f t="shared" si="1"/>
        <v>URBS 2</v>
      </c>
      <c r="O207" s="12" t="str">
        <f t="shared" si="2"/>
        <v>https://monitoramento.pm.pr.gov.br/proxy_image_2/Interface/Cameras/GetJPEGStream?Camera=EX128CFTV02&amp;AuthUser=copom_DDTQ&amp;AuthPass=DDTQcopom&amp;Width=1024&amp;Height=768&amp;Quality=70&amp;FPS=10&amp;ResponseFormat=Text</v>
      </c>
      <c r="P207" s="6">
        <v>1.0</v>
      </c>
    </row>
    <row r="208">
      <c r="A208" s="7" t="s">
        <v>140</v>
      </c>
      <c r="B208" s="2" t="s">
        <v>17</v>
      </c>
      <c r="C208" s="13" t="s">
        <v>141</v>
      </c>
      <c r="D208" s="9">
        <v>28601.0</v>
      </c>
      <c r="E208" s="9" t="s">
        <v>818</v>
      </c>
      <c r="F208" s="14" t="s">
        <v>812</v>
      </c>
      <c r="G208" s="4" t="s">
        <v>819</v>
      </c>
      <c r="H208" s="4" t="s">
        <v>820</v>
      </c>
      <c r="I208" s="5" t="s">
        <v>23</v>
      </c>
      <c r="J208" s="5" t="s">
        <v>24</v>
      </c>
      <c r="K208" s="5" t="s">
        <v>25</v>
      </c>
      <c r="L208" s="11" t="s">
        <v>26</v>
      </c>
      <c r="M208" s="5" t="s">
        <v>27</v>
      </c>
      <c r="N208" t="str">
        <f t="shared" si="1"/>
        <v>URBS 2</v>
      </c>
      <c r="O208" s="12" t="str">
        <f t="shared" si="2"/>
        <v>https://monitoramento.pm.pr.gov.br/proxy_image_2/Interface/Cameras/GetJPEGStream?Camera=EX128CFTV03&amp;AuthUser=copom_DDTQ&amp;AuthPass=DDTQcopom&amp;Width=1024&amp;Height=768&amp;Quality=70&amp;FPS=10&amp;ResponseFormat=Text</v>
      </c>
      <c r="P208" s="6">
        <v>1.0</v>
      </c>
    </row>
    <row r="209">
      <c r="A209" s="7" t="s">
        <v>140</v>
      </c>
      <c r="B209" s="2" t="s">
        <v>17</v>
      </c>
      <c r="C209" s="13" t="s">
        <v>141</v>
      </c>
      <c r="D209" s="9">
        <v>28601.0</v>
      </c>
      <c r="E209" s="9" t="s">
        <v>821</v>
      </c>
      <c r="F209" s="14" t="s">
        <v>812</v>
      </c>
      <c r="G209" s="4" t="s">
        <v>822</v>
      </c>
      <c r="H209" s="4" t="s">
        <v>823</v>
      </c>
      <c r="I209" s="5" t="s">
        <v>23</v>
      </c>
      <c r="J209" s="5" t="s">
        <v>24</v>
      </c>
      <c r="K209" s="5" t="s">
        <v>25</v>
      </c>
      <c r="L209" s="11" t="s">
        <v>26</v>
      </c>
      <c r="M209" s="5" t="s">
        <v>27</v>
      </c>
      <c r="N209" t="str">
        <f t="shared" si="1"/>
        <v>URBS 2</v>
      </c>
      <c r="O209" s="12" t="str">
        <f t="shared" si="2"/>
        <v>https://monitoramento.pm.pr.gov.br/proxy_image_2/Interface/Cameras/GetJPEGStream?Camera=EX128CFTV04&amp;AuthUser=copom_DDTQ&amp;AuthPass=DDTQcopom&amp;Width=1024&amp;Height=768&amp;Quality=70&amp;FPS=10&amp;ResponseFormat=Text</v>
      </c>
      <c r="P209" s="6">
        <v>1.0</v>
      </c>
    </row>
    <row r="210">
      <c r="A210" s="7" t="s">
        <v>140</v>
      </c>
      <c r="B210" s="2" t="s">
        <v>17</v>
      </c>
      <c r="C210" s="13" t="s">
        <v>141</v>
      </c>
      <c r="D210" s="9">
        <v>28601.0</v>
      </c>
      <c r="E210" s="9" t="s">
        <v>824</v>
      </c>
      <c r="F210" s="14" t="s">
        <v>825</v>
      </c>
      <c r="G210" s="4" t="s">
        <v>826</v>
      </c>
      <c r="H210" s="4" t="s">
        <v>827</v>
      </c>
      <c r="I210" s="5" t="s">
        <v>23</v>
      </c>
      <c r="J210" s="5" t="s">
        <v>24</v>
      </c>
      <c r="K210" s="5" t="s">
        <v>25</v>
      </c>
      <c r="L210" s="11" t="s">
        <v>26</v>
      </c>
      <c r="M210" s="5" t="s">
        <v>27</v>
      </c>
      <c r="N210" t="str">
        <f t="shared" si="1"/>
        <v>URBS 2</v>
      </c>
      <c r="O210" s="12" t="str">
        <f t="shared" si="2"/>
        <v>https://monitoramento.pm.pr.gov.br/proxy_image_2/Interface/Cameras/GetJPEGStream?Camera=EX129CFTV01&amp;AuthUser=copom_DDTQ&amp;AuthPass=DDTQcopom&amp;Width=1024&amp;Height=768&amp;Quality=70&amp;FPS=10&amp;ResponseFormat=Text</v>
      </c>
      <c r="P210" s="6">
        <v>1.0</v>
      </c>
    </row>
    <row r="211">
      <c r="A211" s="7" t="s">
        <v>140</v>
      </c>
      <c r="B211" s="2" t="s">
        <v>17</v>
      </c>
      <c r="C211" s="13" t="s">
        <v>141</v>
      </c>
      <c r="D211" s="9">
        <v>28601.0</v>
      </c>
      <c r="E211" s="9" t="s">
        <v>828</v>
      </c>
      <c r="F211" s="14" t="s">
        <v>825</v>
      </c>
      <c r="G211" s="4" t="s">
        <v>829</v>
      </c>
      <c r="H211" s="4" t="s">
        <v>830</v>
      </c>
      <c r="I211" s="5" t="s">
        <v>23</v>
      </c>
      <c r="J211" s="5" t="s">
        <v>24</v>
      </c>
      <c r="K211" s="5" t="s">
        <v>25</v>
      </c>
      <c r="L211" s="11" t="s">
        <v>26</v>
      </c>
      <c r="M211" s="5" t="s">
        <v>27</v>
      </c>
      <c r="N211" t="str">
        <f t="shared" si="1"/>
        <v>URBS 2</v>
      </c>
      <c r="O211" s="12" t="str">
        <f t="shared" si="2"/>
        <v>https://monitoramento.pm.pr.gov.br/proxy_image_2/Interface/Cameras/GetJPEGStream?Camera=EX129CFTV02&amp;AuthUser=copom_DDTQ&amp;AuthPass=DDTQcopom&amp;Width=1024&amp;Height=768&amp;Quality=70&amp;FPS=10&amp;ResponseFormat=Text</v>
      </c>
      <c r="P211" s="6">
        <v>1.0</v>
      </c>
    </row>
    <row r="212">
      <c r="A212" s="7" t="s">
        <v>140</v>
      </c>
      <c r="B212" s="2" t="s">
        <v>17</v>
      </c>
      <c r="C212" s="13" t="s">
        <v>141</v>
      </c>
      <c r="D212" s="9">
        <v>28601.0</v>
      </c>
      <c r="E212" s="9" t="s">
        <v>831</v>
      </c>
      <c r="F212" s="14" t="s">
        <v>825</v>
      </c>
      <c r="G212" s="4" t="s">
        <v>832</v>
      </c>
      <c r="H212" s="4" t="s">
        <v>833</v>
      </c>
      <c r="I212" s="5" t="s">
        <v>23</v>
      </c>
      <c r="J212" s="5" t="s">
        <v>24</v>
      </c>
      <c r="K212" s="5" t="s">
        <v>25</v>
      </c>
      <c r="L212" s="11" t="s">
        <v>26</v>
      </c>
      <c r="M212" s="5" t="s">
        <v>27</v>
      </c>
      <c r="N212" t="str">
        <f t="shared" si="1"/>
        <v>URBS 2</v>
      </c>
      <c r="O212" s="12" t="str">
        <f t="shared" si="2"/>
        <v>https://monitoramento.pm.pr.gov.br/proxy_image_2/Interface/Cameras/GetJPEGStream?Camera=EX129CFTV03&amp;AuthUser=copom_DDTQ&amp;AuthPass=DDTQcopom&amp;Width=1024&amp;Height=768&amp;Quality=70&amp;FPS=10&amp;ResponseFormat=Text</v>
      </c>
      <c r="P212" s="6">
        <v>1.0</v>
      </c>
    </row>
    <row r="213">
      <c r="A213" s="7" t="s">
        <v>140</v>
      </c>
      <c r="B213" s="2" t="s">
        <v>17</v>
      </c>
      <c r="C213" s="13" t="s">
        <v>141</v>
      </c>
      <c r="D213" s="9">
        <v>28601.0</v>
      </c>
      <c r="E213" s="9" t="s">
        <v>834</v>
      </c>
      <c r="F213" s="14" t="s">
        <v>825</v>
      </c>
      <c r="G213" s="4" t="s">
        <v>835</v>
      </c>
      <c r="H213" s="4" t="s">
        <v>836</v>
      </c>
      <c r="I213" s="5" t="s">
        <v>23</v>
      </c>
      <c r="J213" s="5" t="s">
        <v>24</v>
      </c>
      <c r="K213" s="5" t="s">
        <v>25</v>
      </c>
      <c r="L213" s="11" t="s">
        <v>26</v>
      </c>
      <c r="M213" s="5" t="s">
        <v>27</v>
      </c>
      <c r="N213" t="str">
        <f t="shared" si="1"/>
        <v>URBS 2</v>
      </c>
      <c r="O213" s="12" t="str">
        <f t="shared" si="2"/>
        <v>https://monitoramento.pm.pr.gov.br/proxy_image_2/Interface/Cameras/GetJPEGStream?Camera=EX129CFTV04&amp;AuthUser=copom_DDTQ&amp;AuthPass=DDTQcopom&amp;Width=1024&amp;Height=768&amp;Quality=70&amp;FPS=10&amp;ResponseFormat=Text</v>
      </c>
      <c r="P213" s="6">
        <v>1.0</v>
      </c>
    </row>
    <row r="214">
      <c r="A214" s="7" t="s">
        <v>140</v>
      </c>
      <c r="B214" s="2" t="s">
        <v>17</v>
      </c>
      <c r="C214" s="13" t="s">
        <v>141</v>
      </c>
      <c r="D214" s="9">
        <v>28601.0</v>
      </c>
      <c r="E214" s="9" t="s">
        <v>837</v>
      </c>
      <c r="F214" s="14" t="s">
        <v>838</v>
      </c>
      <c r="G214" s="4" t="s">
        <v>839</v>
      </c>
      <c r="H214" s="4" t="s">
        <v>840</v>
      </c>
      <c r="I214" s="5" t="s">
        <v>23</v>
      </c>
      <c r="J214" s="5" t="s">
        <v>24</v>
      </c>
      <c r="K214" s="5" t="s">
        <v>25</v>
      </c>
      <c r="L214" s="11" t="s">
        <v>26</v>
      </c>
      <c r="M214" s="5" t="s">
        <v>27</v>
      </c>
      <c r="N214" t="str">
        <f t="shared" si="1"/>
        <v>URBS 2</v>
      </c>
      <c r="O214" s="12" t="str">
        <f t="shared" si="2"/>
        <v>https://monitoramento.pm.pr.gov.br/proxy_image_2/Interface/Cameras/GetJPEGStream?Camera=EX130CFTV01&amp;AuthUser=copom_DDTQ&amp;AuthPass=DDTQcopom&amp;Width=1024&amp;Height=768&amp;Quality=70&amp;FPS=10&amp;ResponseFormat=Text</v>
      </c>
      <c r="P214" s="6">
        <v>1.0</v>
      </c>
    </row>
    <row r="215">
      <c r="A215" s="7" t="s">
        <v>140</v>
      </c>
      <c r="B215" s="2" t="s">
        <v>17</v>
      </c>
      <c r="C215" s="13" t="s">
        <v>141</v>
      </c>
      <c r="D215" s="9">
        <v>28601.0</v>
      </c>
      <c r="E215" s="9" t="s">
        <v>841</v>
      </c>
      <c r="F215" s="14" t="s">
        <v>838</v>
      </c>
      <c r="G215" s="4" t="s">
        <v>842</v>
      </c>
      <c r="H215" s="4" t="s">
        <v>843</v>
      </c>
      <c r="I215" s="5" t="s">
        <v>23</v>
      </c>
      <c r="J215" s="5" t="s">
        <v>24</v>
      </c>
      <c r="K215" s="5" t="s">
        <v>25</v>
      </c>
      <c r="L215" s="11" t="s">
        <v>26</v>
      </c>
      <c r="M215" s="5" t="s">
        <v>27</v>
      </c>
      <c r="N215" t="str">
        <f t="shared" si="1"/>
        <v>URBS 2</v>
      </c>
      <c r="O215" s="12" t="str">
        <f t="shared" si="2"/>
        <v>https://monitoramento.pm.pr.gov.br/proxy_image_2/Interface/Cameras/GetJPEGStream?Camera=EX130CFTV02&amp;AuthUser=copom_DDTQ&amp;AuthPass=DDTQcopom&amp;Width=1024&amp;Height=768&amp;Quality=70&amp;FPS=10&amp;ResponseFormat=Text</v>
      </c>
      <c r="P215" s="6">
        <v>1.0</v>
      </c>
    </row>
    <row r="216">
      <c r="A216" s="7" t="s">
        <v>140</v>
      </c>
      <c r="B216" s="2" t="s">
        <v>17</v>
      </c>
      <c r="C216" s="13" t="s">
        <v>141</v>
      </c>
      <c r="D216" s="9">
        <v>28601.0</v>
      </c>
      <c r="E216" s="9" t="s">
        <v>844</v>
      </c>
      <c r="F216" s="14" t="s">
        <v>838</v>
      </c>
      <c r="G216" s="4" t="s">
        <v>845</v>
      </c>
      <c r="H216" s="4" t="s">
        <v>846</v>
      </c>
      <c r="I216" s="5" t="s">
        <v>23</v>
      </c>
      <c r="J216" s="5" t="s">
        <v>24</v>
      </c>
      <c r="K216" s="5" t="s">
        <v>25</v>
      </c>
      <c r="L216" s="11" t="s">
        <v>26</v>
      </c>
      <c r="M216" s="5" t="s">
        <v>27</v>
      </c>
      <c r="N216" t="str">
        <f t="shared" si="1"/>
        <v>URBS 2</v>
      </c>
      <c r="O216" s="12" t="str">
        <f t="shared" si="2"/>
        <v>https://monitoramento.pm.pr.gov.br/proxy_image_2/Interface/Cameras/GetJPEGStream?Camera=EX130CFTV03&amp;AuthUser=copom_DDTQ&amp;AuthPass=DDTQcopom&amp;Width=1024&amp;Height=768&amp;Quality=70&amp;FPS=10&amp;ResponseFormat=Text</v>
      </c>
      <c r="P216" s="6">
        <v>1.0</v>
      </c>
    </row>
    <row r="217">
      <c r="A217" s="7" t="s">
        <v>140</v>
      </c>
      <c r="B217" s="2" t="s">
        <v>17</v>
      </c>
      <c r="C217" s="13" t="s">
        <v>141</v>
      </c>
      <c r="D217" s="9">
        <v>28601.0</v>
      </c>
      <c r="E217" s="9" t="s">
        <v>847</v>
      </c>
      <c r="F217" s="14" t="s">
        <v>838</v>
      </c>
      <c r="G217" s="4" t="s">
        <v>848</v>
      </c>
      <c r="H217" s="4" t="s">
        <v>849</v>
      </c>
      <c r="I217" s="5" t="s">
        <v>23</v>
      </c>
      <c r="J217" s="5" t="s">
        <v>24</v>
      </c>
      <c r="K217" s="5" t="s">
        <v>25</v>
      </c>
      <c r="L217" s="11" t="s">
        <v>26</v>
      </c>
      <c r="M217" s="5" t="s">
        <v>27</v>
      </c>
      <c r="N217" t="str">
        <f t="shared" si="1"/>
        <v>URBS 2</v>
      </c>
      <c r="O217" s="12" t="str">
        <f t="shared" si="2"/>
        <v>https://monitoramento.pm.pr.gov.br/proxy_image_2/Interface/Cameras/GetJPEGStream?Camera=EX130CFTV04&amp;AuthUser=copom_DDTQ&amp;AuthPass=DDTQcopom&amp;Width=1024&amp;Height=768&amp;Quality=70&amp;FPS=10&amp;ResponseFormat=Text</v>
      </c>
      <c r="P217" s="6">
        <v>1.0</v>
      </c>
    </row>
    <row r="218">
      <c r="A218" s="7" t="s">
        <v>140</v>
      </c>
      <c r="B218" s="2" t="s">
        <v>17</v>
      </c>
      <c r="C218" s="13" t="s">
        <v>141</v>
      </c>
      <c r="D218" s="9">
        <v>28601.0</v>
      </c>
      <c r="E218" s="9" t="s">
        <v>850</v>
      </c>
      <c r="F218" s="14" t="s">
        <v>851</v>
      </c>
      <c r="G218" s="4" t="s">
        <v>852</v>
      </c>
      <c r="H218" s="4" t="s">
        <v>853</v>
      </c>
      <c r="I218" s="5" t="s">
        <v>23</v>
      </c>
      <c r="J218" s="5" t="s">
        <v>24</v>
      </c>
      <c r="K218" s="5" t="s">
        <v>25</v>
      </c>
      <c r="L218" s="11" t="s">
        <v>26</v>
      </c>
      <c r="M218" s="5" t="s">
        <v>27</v>
      </c>
      <c r="N218" t="str">
        <f t="shared" si="1"/>
        <v>URBS 2</v>
      </c>
      <c r="O218" s="12" t="str">
        <f t="shared" si="2"/>
        <v>https://monitoramento.pm.pr.gov.br/proxy_image_2/Interface/Cameras/GetJPEGStream?Camera=EX131CFTV01&amp;AuthUser=copom_DDTQ&amp;AuthPass=DDTQcopom&amp;Width=1024&amp;Height=768&amp;Quality=70&amp;FPS=10&amp;ResponseFormat=Text</v>
      </c>
      <c r="P218" s="6">
        <v>1.0</v>
      </c>
    </row>
    <row r="219">
      <c r="A219" s="7" t="s">
        <v>140</v>
      </c>
      <c r="B219" s="2" t="s">
        <v>17</v>
      </c>
      <c r="C219" s="13" t="s">
        <v>141</v>
      </c>
      <c r="D219" s="9">
        <v>28601.0</v>
      </c>
      <c r="E219" s="9" t="s">
        <v>854</v>
      </c>
      <c r="F219" s="14" t="s">
        <v>851</v>
      </c>
      <c r="G219" s="4" t="s">
        <v>855</v>
      </c>
      <c r="H219" s="4" t="s">
        <v>856</v>
      </c>
      <c r="I219" s="5" t="s">
        <v>23</v>
      </c>
      <c r="J219" s="5" t="s">
        <v>24</v>
      </c>
      <c r="K219" s="5" t="s">
        <v>25</v>
      </c>
      <c r="L219" s="11" t="s">
        <v>26</v>
      </c>
      <c r="M219" s="5" t="s">
        <v>27</v>
      </c>
      <c r="N219" t="str">
        <f t="shared" si="1"/>
        <v>URBS 2</v>
      </c>
      <c r="O219" s="12" t="str">
        <f t="shared" si="2"/>
        <v>https://monitoramento.pm.pr.gov.br/proxy_image_2/Interface/Cameras/GetJPEGStream?Camera=EX131CFTV02&amp;AuthUser=copom_DDTQ&amp;AuthPass=DDTQcopom&amp;Width=1024&amp;Height=768&amp;Quality=70&amp;FPS=10&amp;ResponseFormat=Text</v>
      </c>
      <c r="P219" s="6">
        <v>1.0</v>
      </c>
    </row>
    <row r="220">
      <c r="A220" s="7" t="s">
        <v>140</v>
      </c>
      <c r="B220" s="2" t="s">
        <v>17</v>
      </c>
      <c r="C220" s="13" t="s">
        <v>141</v>
      </c>
      <c r="D220" s="9">
        <v>28601.0</v>
      </c>
      <c r="E220" s="9" t="s">
        <v>857</v>
      </c>
      <c r="F220" s="14" t="s">
        <v>851</v>
      </c>
      <c r="G220" s="4" t="s">
        <v>858</v>
      </c>
      <c r="H220" s="4" t="s">
        <v>859</v>
      </c>
      <c r="I220" s="5" t="s">
        <v>23</v>
      </c>
      <c r="J220" s="5" t="s">
        <v>24</v>
      </c>
      <c r="K220" s="5" t="s">
        <v>25</v>
      </c>
      <c r="L220" s="11" t="s">
        <v>26</v>
      </c>
      <c r="M220" s="5" t="s">
        <v>27</v>
      </c>
      <c r="N220" t="str">
        <f t="shared" si="1"/>
        <v>URBS 2</v>
      </c>
      <c r="O220" s="12" t="str">
        <f t="shared" si="2"/>
        <v>https://monitoramento.pm.pr.gov.br/proxy_image_2/Interface/Cameras/GetJPEGStream?Camera=EX131CFTV03&amp;AuthUser=copom_DDTQ&amp;AuthPass=DDTQcopom&amp;Width=1024&amp;Height=768&amp;Quality=70&amp;FPS=10&amp;ResponseFormat=Text</v>
      </c>
      <c r="P220" s="6">
        <v>1.0</v>
      </c>
    </row>
    <row r="221">
      <c r="A221" s="7" t="s">
        <v>140</v>
      </c>
      <c r="B221" s="2" t="s">
        <v>17</v>
      </c>
      <c r="C221" s="13" t="s">
        <v>141</v>
      </c>
      <c r="D221" s="9">
        <v>28601.0</v>
      </c>
      <c r="E221" s="9" t="s">
        <v>860</v>
      </c>
      <c r="F221" s="14" t="s">
        <v>851</v>
      </c>
      <c r="G221" s="4" t="s">
        <v>861</v>
      </c>
      <c r="H221" s="4" t="s">
        <v>862</v>
      </c>
      <c r="I221" s="5" t="s">
        <v>23</v>
      </c>
      <c r="J221" s="5" t="s">
        <v>24</v>
      </c>
      <c r="K221" s="5" t="s">
        <v>25</v>
      </c>
      <c r="L221" s="11" t="s">
        <v>26</v>
      </c>
      <c r="M221" s="5" t="s">
        <v>27</v>
      </c>
      <c r="N221" t="str">
        <f t="shared" si="1"/>
        <v>URBS 2</v>
      </c>
      <c r="O221" s="12" t="str">
        <f t="shared" si="2"/>
        <v>https://monitoramento.pm.pr.gov.br/proxy_image_2/Interface/Cameras/GetJPEGStream?Camera=EX131CFTV04&amp;AuthUser=copom_DDTQ&amp;AuthPass=DDTQcopom&amp;Width=1024&amp;Height=768&amp;Quality=70&amp;FPS=10&amp;ResponseFormat=Text</v>
      </c>
      <c r="P221" s="6">
        <v>1.0</v>
      </c>
    </row>
    <row r="222">
      <c r="A222" s="7" t="s">
        <v>140</v>
      </c>
      <c r="B222" s="2" t="s">
        <v>17</v>
      </c>
      <c r="C222" s="13" t="s">
        <v>141</v>
      </c>
      <c r="D222" s="9">
        <v>28601.0</v>
      </c>
      <c r="E222" s="9" t="s">
        <v>863</v>
      </c>
      <c r="F222" s="14" t="s">
        <v>864</v>
      </c>
      <c r="G222" s="4" t="s">
        <v>865</v>
      </c>
      <c r="H222" s="4" t="s">
        <v>866</v>
      </c>
      <c r="I222" s="5" t="s">
        <v>23</v>
      </c>
      <c r="J222" s="5" t="s">
        <v>24</v>
      </c>
      <c r="K222" s="5" t="s">
        <v>25</v>
      </c>
      <c r="L222" s="11" t="s">
        <v>26</v>
      </c>
      <c r="M222" s="5" t="s">
        <v>27</v>
      </c>
      <c r="N222" t="str">
        <f t="shared" si="1"/>
        <v>URBS 2</v>
      </c>
      <c r="O222" s="12" t="str">
        <f t="shared" si="2"/>
        <v>https://monitoramento.pm.pr.gov.br/proxy_image_2/Interface/Cameras/GetJPEGStream?Camera=EX132CFTV01&amp;AuthUser=copom_DDTQ&amp;AuthPass=DDTQcopom&amp;Width=1024&amp;Height=768&amp;Quality=70&amp;FPS=10&amp;ResponseFormat=Text</v>
      </c>
      <c r="P222" s="6">
        <v>1.0</v>
      </c>
    </row>
    <row r="223">
      <c r="A223" s="7" t="s">
        <v>140</v>
      </c>
      <c r="B223" s="2" t="s">
        <v>17</v>
      </c>
      <c r="C223" s="13" t="s">
        <v>141</v>
      </c>
      <c r="D223" s="9">
        <v>28601.0</v>
      </c>
      <c r="E223" s="29" t="s">
        <v>867</v>
      </c>
      <c r="F223" s="14" t="s">
        <v>864</v>
      </c>
      <c r="G223" s="4" t="s">
        <v>868</v>
      </c>
      <c r="H223" s="4" t="s">
        <v>401</v>
      </c>
      <c r="I223" s="5" t="s">
        <v>23</v>
      </c>
      <c r="J223" s="5" t="s">
        <v>24</v>
      </c>
      <c r="K223" s="5" t="s">
        <v>25</v>
      </c>
      <c r="L223" s="11" t="s">
        <v>26</v>
      </c>
      <c r="M223" s="5" t="s">
        <v>27</v>
      </c>
      <c r="N223" t="str">
        <f t="shared" si="1"/>
        <v>URBS 2</v>
      </c>
      <c r="O223" s="12" t="str">
        <f t="shared" si="2"/>
        <v>https://monitoramento.pm.pr.gov.br/proxy_image_2/Interface/Cameras/GetJPEGStream?Camera=EX132CFTV02&amp;AuthUser=copom_DDTQ&amp;AuthPass=DDTQcopom&amp;Width=1024&amp;Height=768&amp;Quality=70&amp;FPS=10&amp;ResponseFormat=Text</v>
      </c>
      <c r="P223" s="6">
        <v>1.0</v>
      </c>
    </row>
    <row r="224">
      <c r="A224" s="7" t="s">
        <v>140</v>
      </c>
      <c r="B224" s="2" t="s">
        <v>17</v>
      </c>
      <c r="C224" s="13" t="s">
        <v>141</v>
      </c>
      <c r="D224" s="9">
        <v>28601.0</v>
      </c>
      <c r="E224" s="30" t="s">
        <v>869</v>
      </c>
      <c r="F224" s="14" t="s">
        <v>870</v>
      </c>
      <c r="G224" s="4" t="s">
        <v>871</v>
      </c>
      <c r="H224" s="4" t="s">
        <v>872</v>
      </c>
      <c r="I224" s="5" t="s">
        <v>23</v>
      </c>
      <c r="J224" s="5" t="s">
        <v>24</v>
      </c>
      <c r="K224" s="5" t="s">
        <v>25</v>
      </c>
      <c r="L224" s="11" t="s">
        <v>26</v>
      </c>
      <c r="M224" s="5" t="s">
        <v>27</v>
      </c>
      <c r="N224" t="str">
        <f t="shared" si="1"/>
        <v>URBS 2</v>
      </c>
      <c r="O224" s="12" t="str">
        <f t="shared" si="2"/>
        <v>https://monitoramento.pm.pr.gov.br/proxy_image_2/Interface/Cameras/GetJPEGStream?Camera=LD050CFTV01&amp;AuthUser=copom_DDTQ&amp;AuthPass=DDTQcopom&amp;Width=1024&amp;Height=768&amp;Quality=70&amp;FPS=10&amp;ResponseFormat=Text</v>
      </c>
      <c r="P224" s="6">
        <v>1.0</v>
      </c>
    </row>
    <row r="225">
      <c r="A225" s="7" t="s">
        <v>140</v>
      </c>
      <c r="B225" s="2" t="s">
        <v>17</v>
      </c>
      <c r="C225" s="13" t="s">
        <v>141</v>
      </c>
      <c r="D225" s="9">
        <v>28601.0</v>
      </c>
      <c r="E225" s="9" t="s">
        <v>873</v>
      </c>
      <c r="F225" s="14" t="s">
        <v>874</v>
      </c>
      <c r="G225" s="4" t="s">
        <v>875</v>
      </c>
      <c r="H225" s="4" t="s">
        <v>876</v>
      </c>
      <c r="I225" s="5" t="s">
        <v>23</v>
      </c>
      <c r="J225" s="5" t="s">
        <v>24</v>
      </c>
      <c r="K225" s="5" t="s">
        <v>25</v>
      </c>
      <c r="L225" s="11" t="s">
        <v>26</v>
      </c>
      <c r="M225" s="5" t="s">
        <v>27</v>
      </c>
      <c r="N225" t="str">
        <f t="shared" si="1"/>
        <v>URBS 2</v>
      </c>
      <c r="O225" s="12" t="str">
        <f t="shared" si="2"/>
        <v>https://monitoramento.pm.pr.gov.br/proxy_image_2/Interface/Cameras/GetJPEGStream?Camera=LD050CFTV02&amp;AuthUser=copom_DDTQ&amp;AuthPass=DDTQcopom&amp;Width=1024&amp;Height=768&amp;Quality=70&amp;FPS=10&amp;ResponseFormat=Text</v>
      </c>
      <c r="P225" s="6">
        <v>1.0</v>
      </c>
    </row>
    <row r="226">
      <c r="A226" s="7" t="s">
        <v>140</v>
      </c>
      <c r="B226" s="2" t="s">
        <v>17</v>
      </c>
      <c r="C226" s="13" t="s">
        <v>141</v>
      </c>
      <c r="D226" s="9">
        <v>28601.0</v>
      </c>
      <c r="E226" s="9" t="s">
        <v>877</v>
      </c>
      <c r="F226" s="14" t="s">
        <v>878</v>
      </c>
      <c r="G226" s="4" t="s">
        <v>879</v>
      </c>
      <c r="H226" s="4" t="s">
        <v>880</v>
      </c>
      <c r="I226" s="5" t="s">
        <v>23</v>
      </c>
      <c r="J226" s="5" t="s">
        <v>24</v>
      </c>
      <c r="K226" s="5" t="s">
        <v>25</v>
      </c>
      <c r="L226" s="11" t="s">
        <v>26</v>
      </c>
      <c r="M226" s="5" t="s">
        <v>27</v>
      </c>
      <c r="N226" t="str">
        <f t="shared" si="1"/>
        <v>URBS 2</v>
      </c>
      <c r="O226" s="12" t="str">
        <f t="shared" si="2"/>
        <v>https://monitoramento.pm.pr.gov.br/proxy_image_2/Interface/Cameras/GetJPEGStream?Camera=LD050CFTV03&amp;AuthUser=copom_DDTQ&amp;AuthPass=DDTQcopom&amp;Width=1024&amp;Height=768&amp;Quality=70&amp;FPS=10&amp;ResponseFormat=Text</v>
      </c>
      <c r="P226" s="6">
        <v>1.0</v>
      </c>
    </row>
    <row r="227">
      <c r="A227" s="7" t="s">
        <v>140</v>
      </c>
      <c r="B227" s="2" t="s">
        <v>17</v>
      </c>
      <c r="C227" s="13" t="s">
        <v>141</v>
      </c>
      <c r="D227" s="9">
        <v>28601.0</v>
      </c>
      <c r="E227" s="9" t="s">
        <v>881</v>
      </c>
      <c r="F227" s="14" t="s">
        <v>882</v>
      </c>
      <c r="G227" s="4" t="s">
        <v>883</v>
      </c>
      <c r="H227" s="4" t="s">
        <v>884</v>
      </c>
      <c r="I227" s="5" t="s">
        <v>23</v>
      </c>
      <c r="J227" s="5" t="s">
        <v>24</v>
      </c>
      <c r="K227" s="5" t="s">
        <v>25</v>
      </c>
      <c r="L227" s="11" t="s">
        <v>26</v>
      </c>
      <c r="M227" s="5" t="s">
        <v>27</v>
      </c>
      <c r="N227" t="str">
        <f t="shared" si="1"/>
        <v>URBS 2</v>
      </c>
      <c r="O227" s="12" t="str">
        <f t="shared" si="2"/>
        <v>https://monitoramento.pm.pr.gov.br/proxy_image_2/Interface/Cameras/GetJPEGStream?Camera=LD052CFTV01&amp;AuthUser=copom_DDTQ&amp;AuthPass=DDTQcopom&amp;Width=1024&amp;Height=768&amp;Quality=70&amp;FPS=10&amp;ResponseFormat=Text</v>
      </c>
      <c r="P227" s="6">
        <v>1.0</v>
      </c>
    </row>
    <row r="228">
      <c r="A228" s="7" t="s">
        <v>140</v>
      </c>
      <c r="B228" s="2" t="s">
        <v>17</v>
      </c>
      <c r="C228" s="13" t="s">
        <v>141</v>
      </c>
      <c r="D228" s="9">
        <v>28601.0</v>
      </c>
      <c r="E228" s="9" t="s">
        <v>885</v>
      </c>
      <c r="F228" s="14" t="s">
        <v>886</v>
      </c>
      <c r="G228" s="4" t="s">
        <v>887</v>
      </c>
      <c r="H228" s="4" t="s">
        <v>888</v>
      </c>
      <c r="I228" s="5" t="s">
        <v>23</v>
      </c>
      <c r="J228" s="5" t="s">
        <v>24</v>
      </c>
      <c r="K228" s="5" t="s">
        <v>25</v>
      </c>
      <c r="L228" s="11" t="s">
        <v>26</v>
      </c>
      <c r="M228" s="5" t="s">
        <v>27</v>
      </c>
      <c r="N228" t="str">
        <f t="shared" si="1"/>
        <v>URBS 2</v>
      </c>
      <c r="O228" s="12" t="str">
        <f t="shared" si="2"/>
        <v>https://monitoramento.pm.pr.gov.br/proxy_image_2/Interface/Cameras/GetJPEGStream?Camera=LD052CFTV02&amp;AuthUser=copom_DDTQ&amp;AuthPass=DDTQcopom&amp;Width=1024&amp;Height=768&amp;Quality=70&amp;FPS=10&amp;ResponseFormat=Text</v>
      </c>
      <c r="P228" s="6">
        <v>1.0</v>
      </c>
    </row>
    <row r="229">
      <c r="A229" s="7" t="s">
        <v>140</v>
      </c>
      <c r="B229" s="2" t="s">
        <v>17</v>
      </c>
      <c r="C229" s="13" t="s">
        <v>141</v>
      </c>
      <c r="D229" s="9">
        <v>28601.0</v>
      </c>
      <c r="E229" s="9" t="s">
        <v>889</v>
      </c>
      <c r="F229" s="14" t="s">
        <v>890</v>
      </c>
      <c r="G229" s="4" t="s">
        <v>891</v>
      </c>
      <c r="H229" s="4" t="s">
        <v>892</v>
      </c>
      <c r="I229" s="5" t="s">
        <v>23</v>
      </c>
      <c r="J229" s="5" t="s">
        <v>24</v>
      </c>
      <c r="K229" s="5" t="s">
        <v>25</v>
      </c>
      <c r="L229" s="11" t="s">
        <v>26</v>
      </c>
      <c r="M229" s="5" t="s">
        <v>27</v>
      </c>
      <c r="N229" t="str">
        <f t="shared" si="1"/>
        <v>URBS 2</v>
      </c>
      <c r="O229" s="12" t="str">
        <f t="shared" si="2"/>
        <v>https://monitoramento.pm.pr.gov.br/proxy_image_2/Interface/Cameras/GetJPEGStream?Camera=TE001CFTV01&amp;AuthUser=copom_DDTQ&amp;AuthPass=DDTQcopom&amp;Width=1024&amp;Height=768&amp;Quality=70&amp;FPS=10&amp;ResponseFormat=Text</v>
      </c>
      <c r="P229" s="6">
        <v>1.0</v>
      </c>
    </row>
    <row r="230">
      <c r="A230" s="7" t="s">
        <v>140</v>
      </c>
      <c r="B230" s="2" t="s">
        <v>17</v>
      </c>
      <c r="C230" s="13" t="s">
        <v>141</v>
      </c>
      <c r="D230" s="9">
        <v>28601.0</v>
      </c>
      <c r="E230" s="9" t="s">
        <v>893</v>
      </c>
      <c r="F230" s="14" t="s">
        <v>894</v>
      </c>
      <c r="G230" s="4" t="s">
        <v>895</v>
      </c>
      <c r="H230" s="4" t="s">
        <v>896</v>
      </c>
      <c r="I230" s="5" t="s">
        <v>23</v>
      </c>
      <c r="J230" s="5" t="s">
        <v>24</v>
      </c>
      <c r="K230" s="5" t="s">
        <v>25</v>
      </c>
      <c r="L230" s="11" t="s">
        <v>26</v>
      </c>
      <c r="M230" s="5" t="s">
        <v>27</v>
      </c>
      <c r="N230" t="str">
        <f t="shared" si="1"/>
        <v>URBS 2</v>
      </c>
      <c r="O230" s="12" t="str">
        <f t="shared" si="2"/>
        <v>https://monitoramento.pm.pr.gov.br/proxy_image_2/Interface/Cameras/GetJPEGStream?Camera=TE001CFTV02&amp;AuthUser=copom_DDTQ&amp;AuthPass=DDTQcopom&amp;Width=1024&amp;Height=768&amp;Quality=70&amp;FPS=10&amp;ResponseFormat=Text</v>
      </c>
      <c r="P230" s="6">
        <v>1.0</v>
      </c>
    </row>
    <row r="231">
      <c r="A231" s="7" t="s">
        <v>140</v>
      </c>
      <c r="B231" s="2" t="s">
        <v>17</v>
      </c>
      <c r="C231" s="13" t="s">
        <v>141</v>
      </c>
      <c r="D231" s="9">
        <v>28601.0</v>
      </c>
      <c r="E231" s="9" t="s">
        <v>897</v>
      </c>
      <c r="F231" s="14" t="s">
        <v>898</v>
      </c>
      <c r="G231" s="4" t="s">
        <v>899</v>
      </c>
      <c r="H231" s="4" t="s">
        <v>900</v>
      </c>
      <c r="I231" s="5" t="s">
        <v>23</v>
      </c>
      <c r="J231" s="5" t="s">
        <v>24</v>
      </c>
      <c r="K231" s="5" t="s">
        <v>25</v>
      </c>
      <c r="L231" s="11" t="s">
        <v>26</v>
      </c>
      <c r="M231" s="5" t="s">
        <v>27</v>
      </c>
      <c r="N231" t="str">
        <f t="shared" si="1"/>
        <v>URBS 2</v>
      </c>
      <c r="O231" s="12" t="str">
        <f t="shared" si="2"/>
        <v>https://monitoramento.pm.pr.gov.br/proxy_image_2/Interface/Cameras/GetJPEGStream?Camera=TE001CFTV03&amp;AuthUser=copom_DDTQ&amp;AuthPass=DDTQcopom&amp;Width=1024&amp;Height=768&amp;Quality=70&amp;FPS=10&amp;ResponseFormat=Text</v>
      </c>
      <c r="P231" s="6">
        <v>1.0</v>
      </c>
    </row>
    <row r="232">
      <c r="A232" s="7" t="s">
        <v>140</v>
      </c>
      <c r="B232" s="2" t="s">
        <v>17</v>
      </c>
      <c r="C232" s="13" t="s">
        <v>141</v>
      </c>
      <c r="D232" s="9">
        <v>28601.0</v>
      </c>
      <c r="E232" s="9" t="s">
        <v>901</v>
      </c>
      <c r="F232" s="14" t="s">
        <v>902</v>
      </c>
      <c r="G232" s="4" t="s">
        <v>903</v>
      </c>
      <c r="H232" s="4" t="s">
        <v>904</v>
      </c>
      <c r="I232" s="5" t="s">
        <v>23</v>
      </c>
      <c r="J232" s="5" t="s">
        <v>24</v>
      </c>
      <c r="K232" s="5" t="s">
        <v>25</v>
      </c>
      <c r="L232" s="11" t="s">
        <v>26</v>
      </c>
      <c r="M232" s="5" t="s">
        <v>27</v>
      </c>
      <c r="N232" t="str">
        <f t="shared" si="1"/>
        <v>URBS 2</v>
      </c>
      <c r="O232" s="12" t="str">
        <f t="shared" si="2"/>
        <v>https://monitoramento.pm.pr.gov.br/proxy_image_2/Interface/Cameras/GetJPEGStream?Camera=TE001CFTV06&amp;AuthUser=copom_DDTQ&amp;AuthPass=DDTQcopom&amp;Width=1024&amp;Height=768&amp;Quality=70&amp;FPS=10&amp;ResponseFormat=Text</v>
      </c>
      <c r="P232" s="6">
        <v>1.0</v>
      </c>
    </row>
    <row r="233">
      <c r="A233" s="7" t="s">
        <v>140</v>
      </c>
      <c r="B233" s="2" t="s">
        <v>17</v>
      </c>
      <c r="C233" s="13" t="s">
        <v>141</v>
      </c>
      <c r="D233" s="9">
        <v>28601.0</v>
      </c>
      <c r="E233" s="9" t="s">
        <v>905</v>
      </c>
      <c r="F233" s="14" t="s">
        <v>906</v>
      </c>
      <c r="G233" s="4" t="s">
        <v>907</v>
      </c>
      <c r="H233" s="4" t="s">
        <v>908</v>
      </c>
      <c r="I233" s="5" t="s">
        <v>23</v>
      </c>
      <c r="J233" s="5" t="s">
        <v>24</v>
      </c>
      <c r="K233" s="5" t="s">
        <v>25</v>
      </c>
      <c r="L233" s="11" t="s">
        <v>26</v>
      </c>
      <c r="M233" s="5" t="s">
        <v>27</v>
      </c>
      <c r="N233" t="str">
        <f t="shared" si="1"/>
        <v>URBS 2</v>
      </c>
      <c r="O233" s="12" t="str">
        <f t="shared" si="2"/>
        <v>https://monitoramento.pm.pr.gov.br/proxy_image_2/Interface/Cameras/GetJPEGStream?Camera=TE001CFTV07&amp;AuthUser=copom_DDTQ&amp;AuthPass=DDTQcopom&amp;Width=1024&amp;Height=768&amp;Quality=70&amp;FPS=10&amp;ResponseFormat=Text</v>
      </c>
      <c r="P233" s="6">
        <v>1.0</v>
      </c>
    </row>
    <row r="234">
      <c r="A234" s="7" t="s">
        <v>140</v>
      </c>
      <c r="B234" s="2" t="s">
        <v>17</v>
      </c>
      <c r="C234" s="13" t="s">
        <v>141</v>
      </c>
      <c r="D234" s="9">
        <v>28601.0</v>
      </c>
      <c r="E234" s="9" t="s">
        <v>909</v>
      </c>
      <c r="F234" s="14" t="s">
        <v>910</v>
      </c>
      <c r="G234" s="4" t="s">
        <v>911</v>
      </c>
      <c r="H234" s="4" t="s">
        <v>912</v>
      </c>
      <c r="I234" s="5" t="s">
        <v>23</v>
      </c>
      <c r="J234" s="5" t="s">
        <v>24</v>
      </c>
      <c r="K234" s="5" t="s">
        <v>25</v>
      </c>
      <c r="L234" s="11" t="s">
        <v>26</v>
      </c>
      <c r="M234" s="5" t="s">
        <v>27</v>
      </c>
      <c r="N234" t="str">
        <f t="shared" si="1"/>
        <v>URBS 2</v>
      </c>
      <c r="O234" s="12" t="str">
        <f t="shared" si="2"/>
        <v>https://monitoramento.pm.pr.gov.br/proxy_image_2/Interface/Cameras/GetJPEGStream?Camera=TE001CFTV08&amp;AuthUser=copom_DDTQ&amp;AuthPass=DDTQcopom&amp;Width=1024&amp;Height=768&amp;Quality=70&amp;FPS=10&amp;ResponseFormat=Text</v>
      </c>
      <c r="P234" s="6">
        <v>1.0</v>
      </c>
    </row>
    <row r="235">
      <c r="A235" s="7" t="s">
        <v>140</v>
      </c>
      <c r="B235" s="2" t="s">
        <v>17</v>
      </c>
      <c r="C235" s="13" t="s">
        <v>141</v>
      </c>
      <c r="D235" s="9">
        <v>28601.0</v>
      </c>
      <c r="E235" s="9" t="s">
        <v>913</v>
      </c>
      <c r="F235" s="14" t="s">
        <v>914</v>
      </c>
      <c r="G235" s="4" t="s">
        <v>915</v>
      </c>
      <c r="H235" s="4" t="s">
        <v>916</v>
      </c>
      <c r="I235" s="5" t="s">
        <v>23</v>
      </c>
      <c r="J235" s="5" t="s">
        <v>24</v>
      </c>
      <c r="K235" s="5" t="s">
        <v>25</v>
      </c>
      <c r="L235" s="11" t="s">
        <v>26</v>
      </c>
      <c r="M235" s="5" t="s">
        <v>27</v>
      </c>
      <c r="N235" t="str">
        <f t="shared" si="1"/>
        <v>URBS 2</v>
      </c>
      <c r="O235" s="12" t="str">
        <f t="shared" si="2"/>
        <v>https://monitoramento.pm.pr.gov.br/proxy_image_2/Interface/Cameras/GetJPEGStream?Camera=TE002CFTV07&amp;AuthUser=copom_DDTQ&amp;AuthPass=DDTQcopom&amp;Width=1024&amp;Height=768&amp;Quality=70&amp;FPS=10&amp;ResponseFormat=Text</v>
      </c>
      <c r="P235" s="6">
        <v>1.0</v>
      </c>
    </row>
    <row r="236">
      <c r="A236" s="7" t="s">
        <v>140</v>
      </c>
      <c r="B236" s="2" t="s">
        <v>17</v>
      </c>
      <c r="C236" s="13" t="s">
        <v>141</v>
      </c>
      <c r="D236" s="9">
        <v>28601.0</v>
      </c>
      <c r="E236" s="9" t="s">
        <v>917</v>
      </c>
      <c r="F236" s="14" t="s">
        <v>918</v>
      </c>
      <c r="G236" s="4" t="s">
        <v>919</v>
      </c>
      <c r="H236" s="4" t="s">
        <v>920</v>
      </c>
      <c r="I236" s="5" t="s">
        <v>23</v>
      </c>
      <c r="J236" s="5" t="s">
        <v>24</v>
      </c>
      <c r="K236" s="5" t="s">
        <v>25</v>
      </c>
      <c r="L236" s="11" t="s">
        <v>26</v>
      </c>
      <c r="M236" s="5" t="s">
        <v>27</v>
      </c>
      <c r="N236" t="str">
        <f t="shared" si="1"/>
        <v>URBS 2</v>
      </c>
      <c r="O236" s="12" t="str">
        <f t="shared" si="2"/>
        <v>https://monitoramento.pm.pr.gov.br/proxy_image_2/Interface/Cameras/GetJPEGStream?Camera=TE002CFTV08&amp;AuthUser=copom_DDTQ&amp;AuthPass=DDTQcopom&amp;Width=1024&amp;Height=768&amp;Quality=70&amp;FPS=10&amp;ResponseFormat=Text</v>
      </c>
      <c r="P236" s="6">
        <v>1.0</v>
      </c>
    </row>
    <row r="237">
      <c r="A237" s="7" t="s">
        <v>140</v>
      </c>
      <c r="B237" s="2" t="s">
        <v>17</v>
      </c>
      <c r="C237" s="13" t="s">
        <v>141</v>
      </c>
      <c r="D237" s="9">
        <v>28601.0</v>
      </c>
      <c r="E237" s="9" t="s">
        <v>921</v>
      </c>
      <c r="F237" s="14" t="s">
        <v>922</v>
      </c>
      <c r="G237" s="4" t="s">
        <v>923</v>
      </c>
      <c r="H237" s="4" t="s">
        <v>924</v>
      </c>
      <c r="I237" s="5" t="s">
        <v>23</v>
      </c>
      <c r="J237" s="5" t="s">
        <v>24</v>
      </c>
      <c r="K237" s="5" t="s">
        <v>25</v>
      </c>
      <c r="L237" s="11" t="s">
        <v>26</v>
      </c>
      <c r="M237" s="5" t="s">
        <v>27</v>
      </c>
      <c r="N237" t="str">
        <f t="shared" si="1"/>
        <v>URBS 2</v>
      </c>
      <c r="O237" s="12" t="str">
        <f t="shared" si="2"/>
        <v>https://monitoramento.pm.pr.gov.br/proxy_image_2/Interface/Cameras/GetJPEGStream?Camera=TE005CFTV14&amp;AuthUser=copom_DDTQ&amp;AuthPass=DDTQcopom&amp;Width=1024&amp;Height=768&amp;Quality=70&amp;FPS=10&amp;ResponseFormat=Text</v>
      </c>
      <c r="P237" s="6">
        <v>1.0</v>
      </c>
    </row>
    <row r="238">
      <c r="A238" s="7" t="s">
        <v>140</v>
      </c>
      <c r="B238" s="2" t="s">
        <v>17</v>
      </c>
      <c r="C238" s="13" t="s">
        <v>141</v>
      </c>
      <c r="D238" s="9">
        <v>28601.0</v>
      </c>
      <c r="E238" s="9" t="s">
        <v>925</v>
      </c>
      <c r="F238" s="14" t="s">
        <v>926</v>
      </c>
      <c r="G238" s="4" t="s">
        <v>927</v>
      </c>
      <c r="H238" s="4" t="s">
        <v>928</v>
      </c>
      <c r="I238" s="5" t="s">
        <v>23</v>
      </c>
      <c r="J238" s="5" t="s">
        <v>24</v>
      </c>
      <c r="K238" s="5" t="s">
        <v>25</v>
      </c>
      <c r="L238" s="11" t="s">
        <v>26</v>
      </c>
      <c r="M238" s="5" t="s">
        <v>27</v>
      </c>
      <c r="N238" t="str">
        <f t="shared" si="1"/>
        <v>URBS 2</v>
      </c>
      <c r="O238" s="12" t="str">
        <f t="shared" si="2"/>
        <v>https://monitoramento.pm.pr.gov.br/proxy_image_2/Interface/Cameras/GetJPEGStream?Camera=TE005CFTV15&amp;AuthUser=copom_DDTQ&amp;AuthPass=DDTQcopom&amp;Width=1024&amp;Height=768&amp;Quality=70&amp;FPS=10&amp;ResponseFormat=Text</v>
      </c>
      <c r="P238" s="6">
        <v>1.0</v>
      </c>
    </row>
    <row r="239">
      <c r="A239" s="7" t="s">
        <v>140</v>
      </c>
      <c r="B239" s="2" t="s">
        <v>17</v>
      </c>
      <c r="C239" s="13" t="s">
        <v>141</v>
      </c>
      <c r="D239" s="9">
        <v>28601.0</v>
      </c>
      <c r="E239" s="9" t="s">
        <v>929</v>
      </c>
      <c r="F239" s="14" t="s">
        <v>930</v>
      </c>
      <c r="G239" s="4" t="s">
        <v>931</v>
      </c>
      <c r="H239" s="4" t="s">
        <v>932</v>
      </c>
      <c r="I239" s="5" t="s">
        <v>23</v>
      </c>
      <c r="J239" s="5" t="s">
        <v>24</v>
      </c>
      <c r="K239" s="5" t="s">
        <v>25</v>
      </c>
      <c r="L239" s="11" t="s">
        <v>26</v>
      </c>
      <c r="M239" s="5" t="s">
        <v>27</v>
      </c>
      <c r="N239" t="str">
        <f t="shared" si="1"/>
        <v>URBS 2</v>
      </c>
      <c r="O239" s="12" t="str">
        <f t="shared" si="2"/>
        <v>https://monitoramento.pm.pr.gov.br/proxy_image_2/Interface/Cameras/GetJPEGStream?Camera=TE005CFTV16&amp;AuthUser=copom_DDTQ&amp;AuthPass=DDTQcopom&amp;Width=1024&amp;Height=768&amp;Quality=70&amp;FPS=10&amp;ResponseFormat=Text</v>
      </c>
      <c r="P239" s="6">
        <v>1.0</v>
      </c>
    </row>
    <row r="240">
      <c r="A240" s="7" t="s">
        <v>140</v>
      </c>
      <c r="B240" s="2" t="s">
        <v>17</v>
      </c>
      <c r="C240" s="13" t="s">
        <v>141</v>
      </c>
      <c r="D240" s="9">
        <v>28601.0</v>
      </c>
      <c r="E240" s="9" t="s">
        <v>933</v>
      </c>
      <c r="F240" s="14" t="s">
        <v>934</v>
      </c>
      <c r="G240" s="4" t="s">
        <v>935</v>
      </c>
      <c r="H240" s="4" t="s">
        <v>936</v>
      </c>
      <c r="I240" s="5" t="s">
        <v>23</v>
      </c>
      <c r="J240" s="5" t="s">
        <v>24</v>
      </c>
      <c r="K240" s="5" t="s">
        <v>25</v>
      </c>
      <c r="L240" s="11" t="s">
        <v>26</v>
      </c>
      <c r="M240" s="5" t="s">
        <v>27</v>
      </c>
      <c r="N240" t="str">
        <f t="shared" si="1"/>
        <v>URBS 2</v>
      </c>
      <c r="O240" s="12" t="str">
        <f t="shared" si="2"/>
        <v>https://monitoramento.pm.pr.gov.br/proxy_image_2/Interface/Cameras/GetJPEGStream?Camera=TE005CFTV17&amp;AuthUser=copom_DDTQ&amp;AuthPass=DDTQcopom&amp;Width=1024&amp;Height=768&amp;Quality=70&amp;FPS=10&amp;ResponseFormat=Text</v>
      </c>
      <c r="P240" s="6">
        <v>1.0</v>
      </c>
    </row>
    <row r="241">
      <c r="A241" s="7" t="s">
        <v>140</v>
      </c>
      <c r="B241" s="2" t="s">
        <v>17</v>
      </c>
      <c r="C241" s="13" t="s">
        <v>141</v>
      </c>
      <c r="D241" s="9">
        <v>28601.0</v>
      </c>
      <c r="E241" s="9" t="s">
        <v>937</v>
      </c>
      <c r="F241" s="14" t="s">
        <v>938</v>
      </c>
      <c r="G241" s="4" t="s">
        <v>939</v>
      </c>
      <c r="H241" s="4" t="s">
        <v>940</v>
      </c>
      <c r="I241" s="5" t="s">
        <v>23</v>
      </c>
      <c r="J241" s="5" t="s">
        <v>24</v>
      </c>
      <c r="K241" s="5" t="s">
        <v>25</v>
      </c>
      <c r="L241" s="11" t="s">
        <v>26</v>
      </c>
      <c r="M241" s="5" t="s">
        <v>27</v>
      </c>
      <c r="N241" t="str">
        <f t="shared" si="1"/>
        <v>URBS 2</v>
      </c>
      <c r="O241" s="12" t="str">
        <f t="shared" si="2"/>
        <v>https://monitoramento.pm.pr.gov.br/proxy_image_2/Interface/Cameras/GetJPEGStream?Camera=TE005CFTV18&amp;AuthUser=copom_DDTQ&amp;AuthPass=DDTQcopom&amp;Width=1024&amp;Height=768&amp;Quality=70&amp;FPS=10&amp;ResponseFormat=Text</v>
      </c>
      <c r="P241" s="6">
        <v>1.0</v>
      </c>
    </row>
    <row r="242">
      <c r="A242" s="7" t="s">
        <v>140</v>
      </c>
      <c r="B242" s="2" t="s">
        <v>17</v>
      </c>
      <c r="C242" s="13" t="s">
        <v>141</v>
      </c>
      <c r="D242" s="9">
        <v>28601.0</v>
      </c>
      <c r="E242" s="9" t="s">
        <v>941</v>
      </c>
      <c r="F242" s="14" t="s">
        <v>942</v>
      </c>
      <c r="G242" s="4" t="s">
        <v>943</v>
      </c>
      <c r="H242" s="4" t="s">
        <v>944</v>
      </c>
      <c r="I242" s="5" t="s">
        <v>23</v>
      </c>
      <c r="J242" s="5" t="s">
        <v>24</v>
      </c>
      <c r="K242" s="5" t="s">
        <v>25</v>
      </c>
      <c r="L242" s="11" t="s">
        <v>26</v>
      </c>
      <c r="M242" s="5" t="s">
        <v>27</v>
      </c>
      <c r="N242" t="str">
        <f t="shared" si="1"/>
        <v>URBS 2</v>
      </c>
      <c r="O242" s="12" t="str">
        <f t="shared" si="2"/>
        <v>https://monitoramento.pm.pr.gov.br/proxy_image_2/Interface/Cameras/GetJPEGStream?Camera=TE006CFTV05&amp;AuthUser=copom_DDTQ&amp;AuthPass=DDTQcopom&amp;Width=1024&amp;Height=768&amp;Quality=70&amp;FPS=10&amp;ResponseFormat=Text</v>
      </c>
      <c r="P242" s="6">
        <v>1.0</v>
      </c>
    </row>
    <row r="243">
      <c r="A243" s="7" t="s">
        <v>140</v>
      </c>
      <c r="B243" s="2" t="s">
        <v>17</v>
      </c>
      <c r="C243" s="13" t="s">
        <v>141</v>
      </c>
      <c r="D243" s="9">
        <v>28601.0</v>
      </c>
      <c r="E243" s="9" t="s">
        <v>945</v>
      </c>
      <c r="F243" s="14" t="s">
        <v>946</v>
      </c>
      <c r="G243" s="4" t="s">
        <v>947</v>
      </c>
      <c r="H243" s="4" t="s">
        <v>948</v>
      </c>
      <c r="I243" s="5" t="s">
        <v>23</v>
      </c>
      <c r="J243" s="5" t="s">
        <v>24</v>
      </c>
      <c r="K243" s="5" t="s">
        <v>25</v>
      </c>
      <c r="L243" s="11" t="s">
        <v>26</v>
      </c>
      <c r="M243" s="5" t="s">
        <v>27</v>
      </c>
      <c r="N243" t="str">
        <f t="shared" si="1"/>
        <v>URBS 2</v>
      </c>
      <c r="O243" s="12" t="str">
        <f t="shared" si="2"/>
        <v>https://monitoramento.pm.pr.gov.br/proxy_image_2/Interface/Cameras/GetJPEGStream?Camera=TE006CFTV06&amp;AuthUser=copom_DDTQ&amp;AuthPass=DDTQcopom&amp;Width=1024&amp;Height=768&amp;Quality=70&amp;FPS=10&amp;ResponseFormat=Text</v>
      </c>
      <c r="P243" s="6">
        <v>1.0</v>
      </c>
    </row>
    <row r="244">
      <c r="A244" s="7" t="s">
        <v>140</v>
      </c>
      <c r="B244" s="2" t="s">
        <v>17</v>
      </c>
      <c r="C244" s="13" t="s">
        <v>141</v>
      </c>
      <c r="D244" s="9">
        <v>28601.0</v>
      </c>
      <c r="E244" s="9" t="s">
        <v>949</v>
      </c>
      <c r="F244" s="14" t="s">
        <v>950</v>
      </c>
      <c r="G244" s="4" t="s">
        <v>951</v>
      </c>
      <c r="H244" s="4" t="s">
        <v>952</v>
      </c>
      <c r="I244" s="5" t="s">
        <v>23</v>
      </c>
      <c r="J244" s="5" t="s">
        <v>24</v>
      </c>
      <c r="K244" s="5" t="s">
        <v>25</v>
      </c>
      <c r="L244" s="11" t="s">
        <v>26</v>
      </c>
      <c r="M244" s="5" t="s">
        <v>27</v>
      </c>
      <c r="N244" t="str">
        <f t="shared" si="1"/>
        <v>URBS 2</v>
      </c>
      <c r="O244" s="12" t="str">
        <f t="shared" si="2"/>
        <v>https://monitoramento.pm.pr.gov.br/proxy_image_2/Interface/Cameras/GetJPEGStream?Camera=TE006CFTV07&amp;AuthUser=copom_DDTQ&amp;AuthPass=DDTQcopom&amp;Width=1024&amp;Height=768&amp;Quality=70&amp;FPS=10&amp;ResponseFormat=Text</v>
      </c>
      <c r="P244" s="6">
        <v>1.0</v>
      </c>
    </row>
    <row r="245">
      <c r="A245" s="7" t="s">
        <v>140</v>
      </c>
      <c r="B245" s="2" t="s">
        <v>17</v>
      </c>
      <c r="C245" s="13" t="s">
        <v>141</v>
      </c>
      <c r="D245" s="9">
        <v>28601.0</v>
      </c>
      <c r="E245" s="9" t="s">
        <v>953</v>
      </c>
      <c r="F245" s="14" t="s">
        <v>954</v>
      </c>
      <c r="G245" s="4" t="s">
        <v>955</v>
      </c>
      <c r="H245" s="4" t="s">
        <v>956</v>
      </c>
      <c r="I245" s="5" t="s">
        <v>23</v>
      </c>
      <c r="J245" s="5" t="s">
        <v>24</v>
      </c>
      <c r="K245" s="5" t="s">
        <v>25</v>
      </c>
      <c r="L245" s="11" t="s">
        <v>26</v>
      </c>
      <c r="M245" s="5" t="s">
        <v>27</v>
      </c>
      <c r="N245" t="str">
        <f t="shared" si="1"/>
        <v>URBS 2</v>
      </c>
      <c r="O245" s="12" t="str">
        <f t="shared" si="2"/>
        <v>https://monitoramento.pm.pr.gov.br/proxy_image_2/Interface/Cameras/GetJPEGStream?Camera=TE012CFTV08&amp;AuthUser=copom_DDTQ&amp;AuthPass=DDTQcopom&amp;Width=1024&amp;Height=768&amp;Quality=70&amp;FPS=10&amp;ResponseFormat=Text</v>
      </c>
      <c r="P245" s="6">
        <v>1.0</v>
      </c>
    </row>
    <row r="246">
      <c r="A246" s="7" t="s">
        <v>140</v>
      </c>
      <c r="B246" s="2" t="s">
        <v>17</v>
      </c>
      <c r="C246" s="13" t="s">
        <v>141</v>
      </c>
      <c r="D246" s="9">
        <v>28601.0</v>
      </c>
      <c r="E246" s="9" t="s">
        <v>957</v>
      </c>
      <c r="F246" s="14" t="s">
        <v>958</v>
      </c>
      <c r="G246" s="4" t="s">
        <v>959</v>
      </c>
      <c r="H246" s="4" t="s">
        <v>960</v>
      </c>
      <c r="I246" s="5" t="s">
        <v>23</v>
      </c>
      <c r="J246" s="5" t="s">
        <v>24</v>
      </c>
      <c r="K246" s="5" t="s">
        <v>25</v>
      </c>
      <c r="L246" s="11" t="s">
        <v>26</v>
      </c>
      <c r="M246" s="5" t="s">
        <v>27</v>
      </c>
      <c r="N246" t="str">
        <f t="shared" si="1"/>
        <v>URBS 2</v>
      </c>
      <c r="O246" s="12" t="str">
        <f t="shared" si="2"/>
        <v>https://monitoramento.pm.pr.gov.br/proxy_image_2/Interface/Cameras/GetJPEGStream?Camera=TE006CFTV09&amp;AuthUser=copom_DDTQ&amp;AuthPass=DDTQcopom&amp;Width=1024&amp;Height=768&amp;Quality=70&amp;FPS=10&amp;ResponseFormat=Text</v>
      </c>
      <c r="P246" s="6">
        <v>1.0</v>
      </c>
    </row>
    <row r="247">
      <c r="A247" s="7" t="s">
        <v>140</v>
      </c>
      <c r="B247" s="2" t="s">
        <v>17</v>
      </c>
      <c r="C247" s="13" t="s">
        <v>141</v>
      </c>
      <c r="D247" s="9">
        <v>28601.0</v>
      </c>
      <c r="E247" s="9" t="s">
        <v>961</v>
      </c>
      <c r="F247" s="14" t="s">
        <v>962</v>
      </c>
      <c r="G247" s="4" t="s">
        <v>963</v>
      </c>
      <c r="H247" s="4" t="s">
        <v>964</v>
      </c>
      <c r="I247" s="5" t="s">
        <v>23</v>
      </c>
      <c r="J247" s="5" t="s">
        <v>24</v>
      </c>
      <c r="K247" s="5" t="s">
        <v>25</v>
      </c>
      <c r="L247" s="11" t="s">
        <v>26</v>
      </c>
      <c r="M247" s="5" t="s">
        <v>27</v>
      </c>
      <c r="N247" t="str">
        <f t="shared" si="1"/>
        <v>URBS 2</v>
      </c>
      <c r="O247" s="12" t="str">
        <f t="shared" si="2"/>
        <v>https://monitoramento.pm.pr.gov.br/proxy_image_2/Interface/Cameras/GetJPEGStream?Camera=TE016CFTV05&amp;AuthUser=copom_DDTQ&amp;AuthPass=DDTQcopom&amp;Width=1024&amp;Height=768&amp;Quality=70&amp;FPS=10&amp;ResponseFormat=Text</v>
      </c>
      <c r="P247" s="6">
        <v>1.0</v>
      </c>
    </row>
    <row r="248">
      <c r="A248" s="7" t="s">
        <v>140</v>
      </c>
      <c r="B248" s="2" t="s">
        <v>17</v>
      </c>
      <c r="C248" s="13" t="s">
        <v>141</v>
      </c>
      <c r="D248" s="9">
        <v>28601.0</v>
      </c>
      <c r="E248" s="9" t="s">
        <v>965</v>
      </c>
      <c r="F248" s="14" t="s">
        <v>966</v>
      </c>
      <c r="G248" s="4" t="s">
        <v>967</v>
      </c>
      <c r="H248" s="4" t="s">
        <v>968</v>
      </c>
      <c r="I248" s="5" t="s">
        <v>23</v>
      </c>
      <c r="J248" s="5" t="s">
        <v>24</v>
      </c>
      <c r="K248" s="5" t="s">
        <v>25</v>
      </c>
      <c r="L248" s="11" t="s">
        <v>26</v>
      </c>
      <c r="M248" s="5" t="s">
        <v>27</v>
      </c>
      <c r="N248" t="str">
        <f t="shared" si="1"/>
        <v>URBS 2</v>
      </c>
      <c r="O248" s="12" t="str">
        <f t="shared" si="2"/>
        <v>https://monitoramento.pm.pr.gov.br/proxy_image_2/Interface/Cameras/GetJPEGStream?Camera=TE016CFTV06&amp;AuthUser=copom_DDTQ&amp;AuthPass=DDTQcopom&amp;Width=1024&amp;Height=768&amp;Quality=70&amp;FPS=10&amp;ResponseFormat=Text</v>
      </c>
      <c r="P248" s="6">
        <v>1.0</v>
      </c>
    </row>
    <row r="249">
      <c r="A249" s="7" t="s">
        <v>140</v>
      </c>
      <c r="B249" s="2" t="s">
        <v>17</v>
      </c>
      <c r="C249" s="13" t="s">
        <v>141</v>
      </c>
      <c r="D249" s="9">
        <v>28601.0</v>
      </c>
      <c r="E249" s="9" t="s">
        <v>969</v>
      </c>
      <c r="F249" s="14" t="s">
        <v>970</v>
      </c>
      <c r="G249" s="4" t="s">
        <v>971</v>
      </c>
      <c r="H249" s="4" t="s">
        <v>972</v>
      </c>
      <c r="I249" s="5" t="s">
        <v>23</v>
      </c>
      <c r="J249" s="5" t="s">
        <v>24</v>
      </c>
      <c r="K249" s="5" t="s">
        <v>25</v>
      </c>
      <c r="L249" s="11" t="s">
        <v>26</v>
      </c>
      <c r="M249" s="5" t="s">
        <v>27</v>
      </c>
      <c r="N249" t="str">
        <f t="shared" si="1"/>
        <v>URBS 2</v>
      </c>
      <c r="O249" s="12" t="str">
        <f t="shared" si="2"/>
        <v>https://monitoramento.pm.pr.gov.br/proxy_image_2/Interface/Cameras/GetJPEGStream?Camera=TE016CFTV07&amp;AuthUser=copom_DDTQ&amp;AuthPass=DDTQcopom&amp;Width=1024&amp;Height=768&amp;Quality=70&amp;FPS=10&amp;ResponseFormat=Text</v>
      </c>
      <c r="P249" s="6">
        <v>1.0</v>
      </c>
    </row>
    <row r="250">
      <c r="A250" s="7" t="s">
        <v>140</v>
      </c>
      <c r="B250" s="2" t="s">
        <v>17</v>
      </c>
      <c r="C250" s="13" t="s">
        <v>141</v>
      </c>
      <c r="D250" s="9">
        <v>28601.0</v>
      </c>
      <c r="E250" s="9" t="s">
        <v>973</v>
      </c>
      <c r="F250" s="14" t="s">
        <v>974</v>
      </c>
      <c r="G250" s="4" t="s">
        <v>975</v>
      </c>
      <c r="H250" s="4" t="s">
        <v>976</v>
      </c>
      <c r="I250" s="5" t="s">
        <v>23</v>
      </c>
      <c r="J250" s="5" t="s">
        <v>24</v>
      </c>
      <c r="K250" s="5" t="s">
        <v>25</v>
      </c>
      <c r="L250" s="11" t="s">
        <v>26</v>
      </c>
      <c r="M250" s="5" t="s">
        <v>27</v>
      </c>
      <c r="N250" t="str">
        <f t="shared" si="1"/>
        <v>URBS 2</v>
      </c>
      <c r="O250" s="12" t="str">
        <f t="shared" si="2"/>
        <v>https://monitoramento.pm.pr.gov.br/proxy_image_2/Interface/Cameras/GetJPEGStream?Camera=TE020CFTV06&amp;AuthUser=copom_DDTQ&amp;AuthPass=DDTQcopom&amp;Width=1024&amp;Height=768&amp;Quality=70&amp;FPS=10&amp;ResponseFormat=Text</v>
      </c>
      <c r="P250" s="6">
        <v>1.0</v>
      </c>
    </row>
    <row r="251">
      <c r="A251" s="7" t="s">
        <v>140</v>
      </c>
      <c r="B251" s="2" t="s">
        <v>17</v>
      </c>
      <c r="C251" s="13" t="s">
        <v>141</v>
      </c>
      <c r="D251" s="9">
        <v>28601.0</v>
      </c>
      <c r="E251" s="9" t="s">
        <v>977</v>
      </c>
      <c r="F251" s="14" t="s">
        <v>978</v>
      </c>
      <c r="G251" s="4" t="s">
        <v>979</v>
      </c>
      <c r="H251" s="4" t="s">
        <v>980</v>
      </c>
      <c r="I251" s="5" t="s">
        <v>23</v>
      </c>
      <c r="J251" s="5" t="s">
        <v>24</v>
      </c>
      <c r="K251" s="5" t="s">
        <v>25</v>
      </c>
      <c r="L251" s="11" t="s">
        <v>26</v>
      </c>
      <c r="M251" s="5" t="s">
        <v>27</v>
      </c>
      <c r="N251" t="str">
        <f t="shared" si="1"/>
        <v>URBS 2</v>
      </c>
      <c r="O251" s="12" t="str">
        <f t="shared" si="2"/>
        <v>https://monitoramento.pm.pr.gov.br/proxy_image_2/Interface/Cameras/GetJPEGStream?Camera=TE020CFTV07&amp;AuthUser=copom_DDTQ&amp;AuthPass=DDTQcopom&amp;Width=1024&amp;Height=768&amp;Quality=70&amp;FPS=10&amp;ResponseFormat=Text</v>
      </c>
      <c r="P251" s="6">
        <v>1.0</v>
      </c>
    </row>
    <row r="252">
      <c r="A252" s="7" t="s">
        <v>981</v>
      </c>
      <c r="B252" s="2" t="s">
        <v>17</v>
      </c>
      <c r="C252" s="13" t="s">
        <v>982</v>
      </c>
      <c r="D252" s="9">
        <v>38601.0</v>
      </c>
      <c r="E252" s="9" t="s">
        <v>983</v>
      </c>
      <c r="F252" s="14" t="s">
        <v>984</v>
      </c>
      <c r="G252" s="4" t="s">
        <v>985</v>
      </c>
      <c r="H252" s="4" t="s">
        <v>986</v>
      </c>
      <c r="I252" s="5" t="s">
        <v>23</v>
      </c>
      <c r="J252" s="5" t="s">
        <v>24</v>
      </c>
      <c r="K252" s="5" t="s">
        <v>25</v>
      </c>
      <c r="L252" s="11" t="s">
        <v>26</v>
      </c>
      <c r="M252" s="5" t="s">
        <v>27</v>
      </c>
      <c r="N252" t="str">
        <f t="shared" si="1"/>
        <v>URBS 3</v>
      </c>
      <c r="O252" s="12" t="str">
        <f t="shared" si="2"/>
        <v>https://monitoramento.pm.pr.gov.br/proxy_image_3/Interface/Cameras/GetJPEGStream?Camera=Camera101&amp;AuthUser=copom_DDTQ&amp;AuthPass=DDTQcopom&amp;Width=1024&amp;Height=768&amp;Quality=70&amp;FPS=10&amp;ResponseFormat=Text</v>
      </c>
      <c r="P252" s="6">
        <v>1.0</v>
      </c>
    </row>
    <row r="253">
      <c r="A253" s="7" t="s">
        <v>981</v>
      </c>
      <c r="B253" s="2" t="s">
        <v>17</v>
      </c>
      <c r="C253" s="13" t="s">
        <v>982</v>
      </c>
      <c r="D253" s="9">
        <v>38601.0</v>
      </c>
      <c r="E253" s="9" t="s">
        <v>987</v>
      </c>
      <c r="F253" s="14" t="s">
        <v>988</v>
      </c>
      <c r="G253" s="4" t="s">
        <v>989</v>
      </c>
      <c r="H253" s="4" t="s">
        <v>990</v>
      </c>
      <c r="I253" s="5" t="s">
        <v>23</v>
      </c>
      <c r="J253" s="5" t="s">
        <v>24</v>
      </c>
      <c r="K253" s="5" t="s">
        <v>25</v>
      </c>
      <c r="L253" s="11" t="s">
        <v>26</v>
      </c>
      <c r="M253" s="5" t="s">
        <v>27</v>
      </c>
      <c r="N253" t="str">
        <f t="shared" si="1"/>
        <v>URBS 3</v>
      </c>
      <c r="O253" s="12" t="str">
        <f t="shared" si="2"/>
        <v>https://monitoramento.pm.pr.gov.br/proxy_image_3/Interface/Cameras/GetJPEGStream?Camera=Camera102&amp;AuthUser=copom_DDTQ&amp;AuthPass=DDTQcopom&amp;Width=1024&amp;Height=768&amp;Quality=70&amp;FPS=10&amp;ResponseFormat=Text</v>
      </c>
      <c r="P253" s="6">
        <v>1.0</v>
      </c>
    </row>
    <row r="254">
      <c r="A254" s="7" t="s">
        <v>981</v>
      </c>
      <c r="B254" s="2" t="s">
        <v>17</v>
      </c>
      <c r="C254" s="13" t="s">
        <v>982</v>
      </c>
      <c r="D254" s="9">
        <v>38601.0</v>
      </c>
      <c r="E254" s="9" t="s">
        <v>991</v>
      </c>
      <c r="F254" s="14" t="s">
        <v>992</v>
      </c>
      <c r="G254" s="4" t="s">
        <v>993</v>
      </c>
      <c r="H254" s="4" t="s">
        <v>994</v>
      </c>
      <c r="I254" s="5" t="s">
        <v>23</v>
      </c>
      <c r="J254" s="5" t="s">
        <v>24</v>
      </c>
      <c r="K254" s="5" t="s">
        <v>25</v>
      </c>
      <c r="L254" s="11" t="s">
        <v>26</v>
      </c>
      <c r="M254" s="5" t="s">
        <v>27</v>
      </c>
      <c r="N254" t="str">
        <f t="shared" si="1"/>
        <v>URBS 3</v>
      </c>
      <c r="O254" s="12" t="str">
        <f t="shared" si="2"/>
        <v>https://monitoramento.pm.pr.gov.br/proxy_image_3/Interface/Cameras/GetJPEGStream?Camera=Camera103&amp;AuthUser=copom_DDTQ&amp;AuthPass=DDTQcopom&amp;Width=1024&amp;Height=768&amp;Quality=70&amp;FPS=10&amp;ResponseFormat=Text</v>
      </c>
      <c r="P254" s="6">
        <v>1.0</v>
      </c>
    </row>
    <row r="255">
      <c r="A255" s="7" t="s">
        <v>981</v>
      </c>
      <c r="B255" s="2" t="s">
        <v>17</v>
      </c>
      <c r="C255" s="13" t="s">
        <v>982</v>
      </c>
      <c r="D255" s="9">
        <v>38601.0</v>
      </c>
      <c r="E255" s="9" t="s">
        <v>995</v>
      </c>
      <c r="F255" s="14" t="s">
        <v>996</v>
      </c>
      <c r="G255" s="4" t="s">
        <v>997</v>
      </c>
      <c r="H255" s="4" t="s">
        <v>998</v>
      </c>
      <c r="I255" s="5" t="s">
        <v>23</v>
      </c>
      <c r="J255" s="5" t="s">
        <v>24</v>
      </c>
      <c r="K255" s="5" t="s">
        <v>25</v>
      </c>
      <c r="L255" s="11" t="s">
        <v>26</v>
      </c>
      <c r="M255" s="5" t="s">
        <v>27</v>
      </c>
      <c r="N255" t="str">
        <f t="shared" si="1"/>
        <v>URBS 3</v>
      </c>
      <c r="O255" s="12" t="str">
        <f t="shared" si="2"/>
        <v>https://monitoramento.pm.pr.gov.br/proxy_image_3/Interface/Cameras/GetJPEGStream?Camera=Camera104&amp;AuthUser=copom_DDTQ&amp;AuthPass=DDTQcopom&amp;Width=1024&amp;Height=768&amp;Quality=70&amp;FPS=10&amp;ResponseFormat=Text</v>
      </c>
      <c r="P255" s="6">
        <v>1.0</v>
      </c>
    </row>
    <row r="256">
      <c r="A256" s="7" t="s">
        <v>981</v>
      </c>
      <c r="B256" s="2" t="s">
        <v>17</v>
      </c>
      <c r="C256" s="13" t="s">
        <v>982</v>
      </c>
      <c r="D256" s="9">
        <v>38601.0</v>
      </c>
      <c r="E256" s="9" t="s">
        <v>999</v>
      </c>
      <c r="F256" s="14" t="s">
        <v>1000</v>
      </c>
      <c r="G256" s="4" t="s">
        <v>1001</v>
      </c>
      <c r="H256" s="4" t="s">
        <v>1002</v>
      </c>
      <c r="I256" s="5" t="s">
        <v>23</v>
      </c>
      <c r="J256" s="5" t="s">
        <v>24</v>
      </c>
      <c r="K256" s="5" t="s">
        <v>25</v>
      </c>
      <c r="L256" s="11" t="s">
        <v>26</v>
      </c>
      <c r="M256" s="5" t="s">
        <v>27</v>
      </c>
      <c r="N256" t="str">
        <f t="shared" si="1"/>
        <v>URBS 3</v>
      </c>
      <c r="O256" s="12" t="str">
        <f t="shared" si="2"/>
        <v>https://monitoramento.pm.pr.gov.br/proxy_image_3/Interface/Cameras/GetJPEGStream?Camera=Camera105&amp;AuthUser=copom_DDTQ&amp;AuthPass=DDTQcopom&amp;Width=1024&amp;Height=768&amp;Quality=70&amp;FPS=10&amp;ResponseFormat=Text</v>
      </c>
      <c r="P256" s="6">
        <v>1.0</v>
      </c>
    </row>
    <row r="257">
      <c r="A257" s="7" t="s">
        <v>981</v>
      </c>
      <c r="B257" s="2" t="s">
        <v>17</v>
      </c>
      <c r="C257" s="13" t="s">
        <v>982</v>
      </c>
      <c r="D257" s="9">
        <v>38601.0</v>
      </c>
      <c r="E257" s="9" t="s">
        <v>1003</v>
      </c>
      <c r="F257" s="14" t="s">
        <v>1004</v>
      </c>
      <c r="G257" s="4" t="s">
        <v>1005</v>
      </c>
      <c r="H257" s="4" t="s">
        <v>1006</v>
      </c>
      <c r="I257" s="5" t="s">
        <v>23</v>
      </c>
      <c r="J257" s="5" t="s">
        <v>24</v>
      </c>
      <c r="K257" s="5" t="s">
        <v>25</v>
      </c>
      <c r="L257" s="11" t="s">
        <v>26</v>
      </c>
      <c r="M257" s="5" t="s">
        <v>27</v>
      </c>
      <c r="N257" t="str">
        <f t="shared" si="1"/>
        <v>URBS 3</v>
      </c>
      <c r="O257" s="12" t="str">
        <f t="shared" si="2"/>
        <v>https://monitoramento.pm.pr.gov.br/proxy_image_3/Interface/Cameras/GetJPEGStream?Camera=Camera106&amp;AuthUser=copom_DDTQ&amp;AuthPass=DDTQcopom&amp;Width=1024&amp;Height=768&amp;Quality=70&amp;FPS=10&amp;ResponseFormat=Text</v>
      </c>
      <c r="P257" s="6">
        <v>1.0</v>
      </c>
    </row>
    <row r="258">
      <c r="A258" s="7" t="s">
        <v>981</v>
      </c>
      <c r="B258" s="2" t="s">
        <v>17</v>
      </c>
      <c r="C258" s="13" t="s">
        <v>982</v>
      </c>
      <c r="D258" s="9">
        <v>38601.0</v>
      </c>
      <c r="E258" s="9" t="s">
        <v>1007</v>
      </c>
      <c r="F258" s="14" t="s">
        <v>1008</v>
      </c>
      <c r="G258" s="4" t="s">
        <v>1009</v>
      </c>
      <c r="H258" s="4" t="s">
        <v>1010</v>
      </c>
      <c r="I258" s="5" t="s">
        <v>23</v>
      </c>
      <c r="J258" s="5" t="s">
        <v>24</v>
      </c>
      <c r="K258" s="5" t="s">
        <v>25</v>
      </c>
      <c r="L258" s="11" t="s">
        <v>26</v>
      </c>
      <c r="M258" s="5" t="s">
        <v>27</v>
      </c>
      <c r="N258" t="str">
        <f t="shared" si="1"/>
        <v>URBS 3</v>
      </c>
      <c r="O258" s="12" t="str">
        <f t="shared" si="2"/>
        <v>https://monitoramento.pm.pr.gov.br/proxy_image_3/Interface/Cameras/GetJPEGStream?Camera=Camera107&amp;AuthUser=copom_DDTQ&amp;AuthPass=DDTQcopom&amp;Width=1024&amp;Height=768&amp;Quality=70&amp;FPS=10&amp;ResponseFormat=Text</v>
      </c>
      <c r="P258" s="6">
        <v>1.0</v>
      </c>
    </row>
    <row r="259">
      <c r="A259" s="7" t="s">
        <v>981</v>
      </c>
      <c r="B259" s="2" t="s">
        <v>17</v>
      </c>
      <c r="C259" s="13" t="s">
        <v>982</v>
      </c>
      <c r="D259" s="9">
        <v>38601.0</v>
      </c>
      <c r="E259" s="9" t="s">
        <v>1011</v>
      </c>
      <c r="F259" s="14" t="s">
        <v>1012</v>
      </c>
      <c r="G259" s="4" t="s">
        <v>1013</v>
      </c>
      <c r="H259" s="4" t="s">
        <v>1014</v>
      </c>
      <c r="I259" s="5" t="s">
        <v>23</v>
      </c>
      <c r="J259" s="5" t="s">
        <v>24</v>
      </c>
      <c r="K259" s="5" t="s">
        <v>25</v>
      </c>
      <c r="L259" s="11" t="s">
        <v>26</v>
      </c>
      <c r="M259" s="5" t="s">
        <v>27</v>
      </c>
      <c r="N259" t="str">
        <f t="shared" si="1"/>
        <v>URBS 3</v>
      </c>
      <c r="O259" s="12" t="str">
        <f t="shared" si="2"/>
        <v>https://monitoramento.pm.pr.gov.br/proxy_image_3/Interface/Cameras/GetJPEGStream?Camera=Camera108&amp;AuthUser=copom_DDTQ&amp;AuthPass=DDTQcopom&amp;Width=1024&amp;Height=768&amp;Quality=70&amp;FPS=10&amp;ResponseFormat=Text</v>
      </c>
      <c r="P259" s="6">
        <v>1.0</v>
      </c>
    </row>
    <row r="260">
      <c r="A260" s="7" t="s">
        <v>981</v>
      </c>
      <c r="B260" s="2" t="s">
        <v>17</v>
      </c>
      <c r="C260" s="13" t="s">
        <v>982</v>
      </c>
      <c r="D260" s="9">
        <v>38601.0</v>
      </c>
      <c r="E260" s="9" t="s">
        <v>1015</v>
      </c>
      <c r="F260" s="14" t="s">
        <v>1016</v>
      </c>
      <c r="G260" s="4" t="s">
        <v>1017</v>
      </c>
      <c r="H260" s="4" t="s">
        <v>1018</v>
      </c>
      <c r="I260" s="5" t="s">
        <v>23</v>
      </c>
      <c r="J260" s="5" t="s">
        <v>24</v>
      </c>
      <c r="K260" s="5" t="s">
        <v>25</v>
      </c>
      <c r="L260" s="11" t="s">
        <v>26</v>
      </c>
      <c r="M260" s="5" t="s">
        <v>27</v>
      </c>
      <c r="N260" t="str">
        <f t="shared" si="1"/>
        <v>URBS 3</v>
      </c>
      <c r="O260" s="12" t="str">
        <f t="shared" si="2"/>
        <v>https://monitoramento.pm.pr.gov.br/proxy_image_3/Interface/Cameras/GetJPEGStream?Camera=Camera109&amp;AuthUser=copom_DDTQ&amp;AuthPass=DDTQcopom&amp;Width=1024&amp;Height=768&amp;Quality=70&amp;FPS=10&amp;ResponseFormat=Text</v>
      </c>
      <c r="P260" s="6">
        <v>1.0</v>
      </c>
    </row>
    <row r="261">
      <c r="A261" s="7" t="s">
        <v>981</v>
      </c>
      <c r="B261" s="2" t="s">
        <v>17</v>
      </c>
      <c r="C261" s="13" t="s">
        <v>982</v>
      </c>
      <c r="D261" s="9">
        <v>38601.0</v>
      </c>
      <c r="E261" s="9" t="s">
        <v>1019</v>
      </c>
      <c r="F261" s="14" t="s">
        <v>1020</v>
      </c>
      <c r="G261" s="4" t="s">
        <v>1021</v>
      </c>
      <c r="H261" s="4" t="s">
        <v>1022</v>
      </c>
      <c r="I261" s="5" t="s">
        <v>23</v>
      </c>
      <c r="J261" s="5" t="s">
        <v>24</v>
      </c>
      <c r="K261" s="5" t="s">
        <v>25</v>
      </c>
      <c r="L261" s="11" t="s">
        <v>26</v>
      </c>
      <c r="M261" s="5" t="s">
        <v>27</v>
      </c>
      <c r="N261" t="str">
        <f t="shared" si="1"/>
        <v>URBS 3</v>
      </c>
      <c r="O261" s="12" t="str">
        <f t="shared" si="2"/>
        <v>https://monitoramento.pm.pr.gov.br/proxy_image_3/Interface/Cameras/GetJPEGStream?Camera=Camera110&amp;AuthUser=copom_DDTQ&amp;AuthPass=DDTQcopom&amp;Width=1024&amp;Height=768&amp;Quality=70&amp;FPS=10&amp;ResponseFormat=Text</v>
      </c>
      <c r="P261" s="6">
        <v>1.0</v>
      </c>
    </row>
    <row r="262">
      <c r="A262" s="7" t="s">
        <v>981</v>
      </c>
      <c r="B262" s="2" t="s">
        <v>17</v>
      </c>
      <c r="C262" s="13" t="s">
        <v>982</v>
      </c>
      <c r="D262" s="9">
        <v>38601.0</v>
      </c>
      <c r="E262" s="9" t="s">
        <v>1023</v>
      </c>
      <c r="F262" s="14" t="s">
        <v>1024</v>
      </c>
      <c r="G262" s="4" t="s">
        <v>1025</v>
      </c>
      <c r="H262" s="4" t="s">
        <v>1022</v>
      </c>
      <c r="I262" s="5" t="s">
        <v>23</v>
      </c>
      <c r="J262" s="5" t="s">
        <v>24</v>
      </c>
      <c r="K262" s="5" t="s">
        <v>25</v>
      </c>
      <c r="L262" s="11" t="s">
        <v>26</v>
      </c>
      <c r="M262" s="5" t="s">
        <v>27</v>
      </c>
      <c r="N262" t="str">
        <f t="shared" si="1"/>
        <v>URBS 3</v>
      </c>
      <c r="O262" s="12" t="str">
        <f t="shared" si="2"/>
        <v>https://monitoramento.pm.pr.gov.br/proxy_image_3/Interface/Cameras/GetJPEGStream?Camera=Camera111&amp;AuthUser=copom_DDTQ&amp;AuthPass=DDTQcopom&amp;Width=1024&amp;Height=768&amp;Quality=70&amp;FPS=10&amp;ResponseFormat=Text</v>
      </c>
      <c r="P262" s="6">
        <v>1.0</v>
      </c>
    </row>
    <row r="263">
      <c r="A263" s="7" t="s">
        <v>981</v>
      </c>
      <c r="B263" s="2" t="s">
        <v>17</v>
      </c>
      <c r="C263" s="13" t="s">
        <v>982</v>
      </c>
      <c r="D263" s="9">
        <v>38601.0</v>
      </c>
      <c r="E263" s="9" t="s">
        <v>1026</v>
      </c>
      <c r="F263" s="14" t="s">
        <v>1027</v>
      </c>
      <c r="G263" s="4" t="s">
        <v>1028</v>
      </c>
      <c r="H263" s="4" t="s">
        <v>1029</v>
      </c>
      <c r="I263" s="5" t="s">
        <v>23</v>
      </c>
      <c r="J263" s="5" t="s">
        <v>24</v>
      </c>
      <c r="K263" s="5" t="s">
        <v>25</v>
      </c>
      <c r="L263" s="11" t="s">
        <v>26</v>
      </c>
      <c r="M263" s="5" t="s">
        <v>27</v>
      </c>
      <c r="N263" t="str">
        <f t="shared" si="1"/>
        <v>URBS 3</v>
      </c>
      <c r="O263" s="12" t="str">
        <f t="shared" si="2"/>
        <v>https://monitoramento.pm.pr.gov.br/proxy_image_3/Interface/Cameras/GetJPEGStream?Camera=Camera112&amp;AuthUser=copom_DDTQ&amp;AuthPass=DDTQcopom&amp;Width=1024&amp;Height=768&amp;Quality=70&amp;FPS=10&amp;ResponseFormat=Text</v>
      </c>
      <c r="P263" s="6">
        <v>1.0</v>
      </c>
    </row>
    <row r="264">
      <c r="A264" s="7" t="s">
        <v>981</v>
      </c>
      <c r="B264" s="2" t="s">
        <v>17</v>
      </c>
      <c r="C264" s="13" t="s">
        <v>982</v>
      </c>
      <c r="D264" s="9">
        <v>38601.0</v>
      </c>
      <c r="E264" s="9" t="s">
        <v>1030</v>
      </c>
      <c r="F264" s="14" t="s">
        <v>1031</v>
      </c>
      <c r="G264" s="4" t="s">
        <v>1032</v>
      </c>
      <c r="H264" s="4" t="s">
        <v>1033</v>
      </c>
      <c r="I264" s="5" t="s">
        <v>23</v>
      </c>
      <c r="J264" s="5" t="s">
        <v>24</v>
      </c>
      <c r="K264" s="5" t="s">
        <v>25</v>
      </c>
      <c r="L264" s="11" t="s">
        <v>26</v>
      </c>
      <c r="M264" s="5" t="s">
        <v>27</v>
      </c>
      <c r="N264" t="str">
        <f t="shared" si="1"/>
        <v>URBS 3</v>
      </c>
      <c r="O264" s="12" t="str">
        <f t="shared" si="2"/>
        <v>https://monitoramento.pm.pr.gov.br/proxy_image_3/Interface/Cameras/GetJPEGStream?Camera=Camera113&amp;AuthUser=copom_DDTQ&amp;AuthPass=DDTQcopom&amp;Width=1024&amp;Height=768&amp;Quality=70&amp;FPS=10&amp;ResponseFormat=Text</v>
      </c>
      <c r="P264" s="6">
        <v>1.0</v>
      </c>
    </row>
    <row r="265">
      <c r="A265" s="7" t="s">
        <v>981</v>
      </c>
      <c r="B265" s="2" t="s">
        <v>17</v>
      </c>
      <c r="C265" s="13" t="s">
        <v>982</v>
      </c>
      <c r="D265" s="9">
        <v>38601.0</v>
      </c>
      <c r="E265" s="9" t="s">
        <v>1034</v>
      </c>
      <c r="F265" s="14" t="s">
        <v>1035</v>
      </c>
      <c r="G265" s="4" t="s">
        <v>1036</v>
      </c>
      <c r="H265" s="4" t="s">
        <v>1037</v>
      </c>
      <c r="I265" s="5" t="s">
        <v>23</v>
      </c>
      <c r="J265" s="5" t="s">
        <v>24</v>
      </c>
      <c r="K265" s="5" t="s">
        <v>25</v>
      </c>
      <c r="L265" s="11" t="s">
        <v>26</v>
      </c>
      <c r="M265" s="5" t="s">
        <v>27</v>
      </c>
      <c r="N265" t="str">
        <f t="shared" si="1"/>
        <v>URBS 3</v>
      </c>
      <c r="O265" s="12" t="str">
        <f t="shared" si="2"/>
        <v>https://monitoramento.pm.pr.gov.br/proxy_image_3/Interface/Cameras/GetJPEGStream?Camera=Camera114&amp;AuthUser=copom_DDTQ&amp;AuthPass=DDTQcopom&amp;Width=1024&amp;Height=768&amp;Quality=70&amp;FPS=10&amp;ResponseFormat=Text</v>
      </c>
      <c r="P265" s="6">
        <v>1.0</v>
      </c>
    </row>
    <row r="266">
      <c r="A266" s="7" t="s">
        <v>981</v>
      </c>
      <c r="B266" s="2" t="s">
        <v>17</v>
      </c>
      <c r="C266" s="13" t="s">
        <v>982</v>
      </c>
      <c r="D266" s="9">
        <v>38601.0</v>
      </c>
      <c r="E266" s="9" t="s">
        <v>1038</v>
      </c>
      <c r="F266" s="14" t="s">
        <v>1039</v>
      </c>
      <c r="G266" s="4" t="s">
        <v>1040</v>
      </c>
      <c r="H266" s="4" t="s">
        <v>1041</v>
      </c>
      <c r="I266" s="5" t="s">
        <v>23</v>
      </c>
      <c r="J266" s="5" t="s">
        <v>24</v>
      </c>
      <c r="K266" s="5" t="s">
        <v>25</v>
      </c>
      <c r="L266" s="11" t="s">
        <v>26</v>
      </c>
      <c r="M266" s="5" t="s">
        <v>27</v>
      </c>
      <c r="N266" t="str">
        <f t="shared" si="1"/>
        <v>URBS 3</v>
      </c>
      <c r="O266" s="12" t="str">
        <f t="shared" si="2"/>
        <v>https://monitoramento.pm.pr.gov.br/proxy_image_3/Interface/Cameras/GetJPEGStream?Camera=Camera115&amp;AuthUser=copom_DDTQ&amp;AuthPass=DDTQcopom&amp;Width=1024&amp;Height=768&amp;Quality=70&amp;FPS=10&amp;ResponseFormat=Text</v>
      </c>
      <c r="P266" s="6">
        <v>1.0</v>
      </c>
    </row>
    <row r="267">
      <c r="A267" s="7" t="s">
        <v>981</v>
      </c>
      <c r="B267" s="2" t="s">
        <v>17</v>
      </c>
      <c r="C267" s="13" t="s">
        <v>982</v>
      </c>
      <c r="D267" s="9">
        <v>38601.0</v>
      </c>
      <c r="E267" s="9" t="s">
        <v>1042</v>
      </c>
      <c r="F267" s="14" t="s">
        <v>1043</v>
      </c>
      <c r="G267" s="4" t="s">
        <v>1044</v>
      </c>
      <c r="H267" s="4" t="s">
        <v>1045</v>
      </c>
      <c r="I267" s="5" t="s">
        <v>23</v>
      </c>
      <c r="J267" s="5" t="s">
        <v>24</v>
      </c>
      <c r="K267" s="5" t="s">
        <v>25</v>
      </c>
      <c r="L267" s="11" t="s">
        <v>26</v>
      </c>
      <c r="M267" s="5" t="s">
        <v>27</v>
      </c>
      <c r="N267" t="str">
        <f t="shared" si="1"/>
        <v>URBS 3</v>
      </c>
      <c r="O267" s="12" t="str">
        <f t="shared" si="2"/>
        <v>https://monitoramento.pm.pr.gov.br/proxy_image_3/Interface/Cameras/GetJPEGStream?Camera=Camera116&amp;AuthUser=copom_DDTQ&amp;AuthPass=DDTQcopom&amp;Width=1024&amp;Height=768&amp;Quality=70&amp;FPS=10&amp;ResponseFormat=Text</v>
      </c>
      <c r="P267" s="6">
        <v>1.0</v>
      </c>
    </row>
    <row r="268">
      <c r="A268" s="7" t="s">
        <v>981</v>
      </c>
      <c r="B268" s="2" t="s">
        <v>17</v>
      </c>
      <c r="C268" s="13" t="s">
        <v>982</v>
      </c>
      <c r="D268" s="9">
        <v>38601.0</v>
      </c>
      <c r="E268" s="9" t="s">
        <v>1046</v>
      </c>
      <c r="F268" s="14" t="s">
        <v>1047</v>
      </c>
      <c r="G268" s="4" t="s">
        <v>1048</v>
      </c>
      <c r="H268" s="4" t="s">
        <v>1049</v>
      </c>
      <c r="I268" s="5" t="s">
        <v>23</v>
      </c>
      <c r="J268" s="5" t="s">
        <v>24</v>
      </c>
      <c r="K268" s="5" t="s">
        <v>25</v>
      </c>
      <c r="L268" s="11" t="s">
        <v>26</v>
      </c>
      <c r="M268" s="5" t="s">
        <v>27</v>
      </c>
      <c r="N268" t="str">
        <f t="shared" si="1"/>
        <v>URBS 3</v>
      </c>
      <c r="O268" s="12" t="str">
        <f t="shared" si="2"/>
        <v>https://monitoramento.pm.pr.gov.br/proxy_image_3/Interface/Cameras/GetJPEGStream?Camera=Camera117&amp;AuthUser=copom_DDTQ&amp;AuthPass=DDTQcopom&amp;Width=1024&amp;Height=768&amp;Quality=70&amp;FPS=10&amp;ResponseFormat=Text</v>
      </c>
      <c r="P268" s="6">
        <v>1.0</v>
      </c>
    </row>
    <row r="269">
      <c r="A269" s="7" t="s">
        <v>981</v>
      </c>
      <c r="B269" s="2" t="s">
        <v>17</v>
      </c>
      <c r="C269" s="13" t="s">
        <v>982</v>
      </c>
      <c r="D269" s="9">
        <v>38601.0</v>
      </c>
      <c r="E269" s="9" t="s">
        <v>1050</v>
      </c>
      <c r="F269" s="14" t="s">
        <v>1051</v>
      </c>
      <c r="G269" s="4" t="s">
        <v>1052</v>
      </c>
      <c r="H269" s="4" t="s">
        <v>1053</v>
      </c>
      <c r="I269" s="5" t="s">
        <v>23</v>
      </c>
      <c r="J269" s="5" t="s">
        <v>24</v>
      </c>
      <c r="K269" s="5" t="s">
        <v>25</v>
      </c>
      <c r="L269" s="11" t="s">
        <v>26</v>
      </c>
      <c r="M269" s="5" t="s">
        <v>27</v>
      </c>
      <c r="N269" t="str">
        <f t="shared" si="1"/>
        <v>URBS 3</v>
      </c>
      <c r="O269" s="12" t="str">
        <f t="shared" si="2"/>
        <v>https://monitoramento.pm.pr.gov.br/proxy_image_3/Interface/Cameras/GetJPEGStream?Camera=Camera118&amp;AuthUser=copom_DDTQ&amp;AuthPass=DDTQcopom&amp;Width=1024&amp;Height=768&amp;Quality=70&amp;FPS=10&amp;ResponseFormat=Text</v>
      </c>
      <c r="P269" s="6">
        <v>1.0</v>
      </c>
    </row>
    <row r="270">
      <c r="A270" s="7" t="s">
        <v>981</v>
      </c>
      <c r="B270" s="2" t="s">
        <v>17</v>
      </c>
      <c r="C270" s="13" t="s">
        <v>982</v>
      </c>
      <c r="D270" s="9">
        <v>38601.0</v>
      </c>
      <c r="E270" s="9" t="s">
        <v>1054</v>
      </c>
      <c r="F270" s="14" t="s">
        <v>1055</v>
      </c>
      <c r="G270" s="4" t="s">
        <v>1056</v>
      </c>
      <c r="H270" s="4" t="s">
        <v>1057</v>
      </c>
      <c r="I270" s="5" t="s">
        <v>23</v>
      </c>
      <c r="J270" s="5" t="s">
        <v>24</v>
      </c>
      <c r="K270" s="5" t="s">
        <v>25</v>
      </c>
      <c r="L270" s="11" t="s">
        <v>26</v>
      </c>
      <c r="M270" s="5" t="s">
        <v>27</v>
      </c>
      <c r="N270" t="str">
        <f t="shared" si="1"/>
        <v>URBS 3</v>
      </c>
      <c r="O270" s="12" t="str">
        <f t="shared" si="2"/>
        <v>https://monitoramento.pm.pr.gov.br/proxy_image_3/Interface/Cameras/GetJPEGStream?Camera=Camera119&amp;AuthUser=copom_DDTQ&amp;AuthPass=DDTQcopom&amp;Width=1024&amp;Height=768&amp;Quality=70&amp;FPS=10&amp;ResponseFormat=Text</v>
      </c>
      <c r="P270" s="6">
        <v>1.0</v>
      </c>
    </row>
    <row r="271">
      <c r="A271" s="7" t="s">
        <v>981</v>
      </c>
      <c r="B271" s="2" t="s">
        <v>17</v>
      </c>
      <c r="C271" s="13" t="s">
        <v>982</v>
      </c>
      <c r="D271" s="9">
        <v>38601.0</v>
      </c>
      <c r="E271" s="9" t="s">
        <v>1058</v>
      </c>
      <c r="F271" s="14" t="s">
        <v>1059</v>
      </c>
      <c r="G271" s="4" t="s">
        <v>1060</v>
      </c>
      <c r="H271" s="4" t="s">
        <v>1061</v>
      </c>
      <c r="I271" s="5" t="s">
        <v>23</v>
      </c>
      <c r="J271" s="5" t="s">
        <v>24</v>
      </c>
      <c r="K271" s="5" t="s">
        <v>25</v>
      </c>
      <c r="L271" s="11" t="s">
        <v>26</v>
      </c>
      <c r="M271" s="5" t="s">
        <v>27</v>
      </c>
      <c r="N271" t="str">
        <f t="shared" si="1"/>
        <v>URBS 3</v>
      </c>
      <c r="O271" s="12" t="str">
        <f t="shared" si="2"/>
        <v>https://monitoramento.pm.pr.gov.br/proxy_image_3/Interface/Cameras/GetJPEGStream?Camera=Camera120&amp;AuthUser=copom_DDTQ&amp;AuthPass=DDTQcopom&amp;Width=1024&amp;Height=768&amp;Quality=70&amp;FPS=10&amp;ResponseFormat=Text</v>
      </c>
      <c r="P271" s="6">
        <v>1.0</v>
      </c>
    </row>
    <row r="272">
      <c r="A272" s="7" t="s">
        <v>981</v>
      </c>
      <c r="B272" s="2" t="s">
        <v>17</v>
      </c>
      <c r="C272" s="13" t="s">
        <v>982</v>
      </c>
      <c r="D272" s="9">
        <v>38601.0</v>
      </c>
      <c r="E272" s="9" t="s">
        <v>1062</v>
      </c>
      <c r="F272" s="14" t="s">
        <v>1063</v>
      </c>
      <c r="G272" s="4" t="s">
        <v>1064</v>
      </c>
      <c r="H272" s="4" t="s">
        <v>1065</v>
      </c>
      <c r="I272" s="5" t="s">
        <v>23</v>
      </c>
      <c r="J272" s="5" t="s">
        <v>24</v>
      </c>
      <c r="K272" s="5" t="s">
        <v>25</v>
      </c>
      <c r="L272" s="11" t="s">
        <v>26</v>
      </c>
      <c r="M272" s="5" t="s">
        <v>27</v>
      </c>
      <c r="N272" t="str">
        <f t="shared" si="1"/>
        <v>URBS 3</v>
      </c>
      <c r="O272" s="12" t="str">
        <f t="shared" si="2"/>
        <v>https://monitoramento.pm.pr.gov.br/proxy_image_3/Interface/Cameras/GetJPEGStream?Camera=Camera121&amp;AuthUser=copom_DDTQ&amp;AuthPass=DDTQcopom&amp;Width=1024&amp;Height=768&amp;Quality=70&amp;FPS=10&amp;ResponseFormat=Text</v>
      </c>
      <c r="P272" s="6">
        <v>1.0</v>
      </c>
    </row>
    <row r="273">
      <c r="A273" s="7" t="s">
        <v>981</v>
      </c>
      <c r="B273" s="2" t="s">
        <v>17</v>
      </c>
      <c r="C273" s="13" t="s">
        <v>982</v>
      </c>
      <c r="D273" s="9">
        <v>38601.0</v>
      </c>
      <c r="E273" s="9" t="s">
        <v>1066</v>
      </c>
      <c r="F273" s="14" t="s">
        <v>1067</v>
      </c>
      <c r="G273" s="4" t="s">
        <v>1068</v>
      </c>
      <c r="H273" s="4" t="s">
        <v>1069</v>
      </c>
      <c r="I273" s="5" t="s">
        <v>23</v>
      </c>
      <c r="J273" s="5" t="s">
        <v>24</v>
      </c>
      <c r="K273" s="5" t="s">
        <v>25</v>
      </c>
      <c r="L273" s="11" t="s">
        <v>26</v>
      </c>
      <c r="M273" s="5" t="s">
        <v>27</v>
      </c>
      <c r="N273" t="str">
        <f t="shared" si="1"/>
        <v>URBS 3</v>
      </c>
      <c r="O273" s="12" t="str">
        <f t="shared" si="2"/>
        <v>https://monitoramento.pm.pr.gov.br/proxy_image_3/Interface/Cameras/GetJPEGStream?Camera=Camera122&amp;AuthUser=copom_DDTQ&amp;AuthPass=DDTQcopom&amp;Width=1024&amp;Height=768&amp;Quality=70&amp;FPS=10&amp;ResponseFormat=Text</v>
      </c>
      <c r="P273" s="6">
        <v>1.0</v>
      </c>
    </row>
    <row r="274">
      <c r="A274" s="7" t="s">
        <v>981</v>
      </c>
      <c r="B274" s="2" t="s">
        <v>17</v>
      </c>
      <c r="C274" s="13" t="s">
        <v>982</v>
      </c>
      <c r="D274" s="9">
        <v>38601.0</v>
      </c>
      <c r="E274" s="9" t="s">
        <v>1070</v>
      </c>
      <c r="F274" s="14" t="s">
        <v>1071</v>
      </c>
      <c r="G274" s="4" t="s">
        <v>1072</v>
      </c>
      <c r="H274" s="4" t="s">
        <v>1073</v>
      </c>
      <c r="I274" s="5" t="s">
        <v>23</v>
      </c>
      <c r="J274" s="5" t="s">
        <v>24</v>
      </c>
      <c r="K274" s="5" t="s">
        <v>25</v>
      </c>
      <c r="L274" s="11" t="s">
        <v>26</v>
      </c>
      <c r="M274" s="5" t="s">
        <v>27</v>
      </c>
      <c r="N274" t="str">
        <f t="shared" si="1"/>
        <v>URBS 3</v>
      </c>
      <c r="O274" s="12" t="str">
        <f t="shared" si="2"/>
        <v>https://monitoramento.pm.pr.gov.br/proxy_image_3/Interface/Cameras/GetJPEGStream?Camera=Camera123&amp;AuthUser=copom_DDTQ&amp;AuthPass=DDTQcopom&amp;Width=1024&amp;Height=768&amp;Quality=70&amp;FPS=10&amp;ResponseFormat=Text</v>
      </c>
      <c r="P274" s="6">
        <v>1.0</v>
      </c>
    </row>
    <row r="275">
      <c r="A275" s="7" t="s">
        <v>981</v>
      </c>
      <c r="B275" s="2" t="s">
        <v>17</v>
      </c>
      <c r="C275" s="13" t="s">
        <v>982</v>
      </c>
      <c r="D275" s="9">
        <v>38601.0</v>
      </c>
      <c r="E275" s="9" t="s">
        <v>1074</v>
      </c>
      <c r="F275" s="14" t="s">
        <v>1075</v>
      </c>
      <c r="G275" s="4" t="s">
        <v>1076</v>
      </c>
      <c r="H275" s="4" t="s">
        <v>1077</v>
      </c>
      <c r="I275" s="5" t="s">
        <v>23</v>
      </c>
      <c r="J275" s="5" t="s">
        <v>24</v>
      </c>
      <c r="K275" s="5" t="s">
        <v>25</v>
      </c>
      <c r="L275" s="11" t="s">
        <v>26</v>
      </c>
      <c r="M275" s="5" t="s">
        <v>27</v>
      </c>
      <c r="N275" t="str">
        <f t="shared" si="1"/>
        <v>URBS 3</v>
      </c>
      <c r="O275" s="12" t="str">
        <f t="shared" si="2"/>
        <v>https://monitoramento.pm.pr.gov.br/proxy_image_3/Interface/Cameras/GetJPEGStream?Camera=Camera124&amp;AuthUser=copom_DDTQ&amp;AuthPass=DDTQcopom&amp;Width=1024&amp;Height=768&amp;Quality=70&amp;FPS=10&amp;ResponseFormat=Text</v>
      </c>
      <c r="P275" s="6">
        <v>1.0</v>
      </c>
    </row>
    <row r="276">
      <c r="A276" s="7" t="s">
        <v>981</v>
      </c>
      <c r="B276" s="2" t="s">
        <v>17</v>
      </c>
      <c r="C276" s="13" t="s">
        <v>982</v>
      </c>
      <c r="D276" s="9">
        <v>38601.0</v>
      </c>
      <c r="E276" s="9" t="s">
        <v>1078</v>
      </c>
      <c r="F276" s="14" t="s">
        <v>1079</v>
      </c>
      <c r="G276" s="4" t="s">
        <v>1080</v>
      </c>
      <c r="H276" s="4" t="s">
        <v>1081</v>
      </c>
      <c r="I276" s="5" t="s">
        <v>23</v>
      </c>
      <c r="J276" s="5" t="s">
        <v>24</v>
      </c>
      <c r="K276" s="5" t="s">
        <v>25</v>
      </c>
      <c r="L276" s="11" t="s">
        <v>26</v>
      </c>
      <c r="M276" s="5" t="s">
        <v>27</v>
      </c>
      <c r="N276" t="str">
        <f t="shared" si="1"/>
        <v>URBS 3</v>
      </c>
      <c r="O276" s="12" t="str">
        <f t="shared" si="2"/>
        <v>https://monitoramento.pm.pr.gov.br/proxy_image_3/Interface/Cameras/GetJPEGStream?Camera=Camera125&amp;AuthUser=copom_DDTQ&amp;AuthPass=DDTQcopom&amp;Width=1024&amp;Height=768&amp;Quality=70&amp;FPS=10&amp;ResponseFormat=Text</v>
      </c>
      <c r="P276" s="6">
        <v>1.0</v>
      </c>
    </row>
    <row r="277">
      <c r="A277" s="7" t="s">
        <v>981</v>
      </c>
      <c r="B277" s="2" t="s">
        <v>17</v>
      </c>
      <c r="C277" s="13" t="s">
        <v>982</v>
      </c>
      <c r="D277" s="9">
        <v>38601.0</v>
      </c>
      <c r="E277" s="9" t="s">
        <v>1082</v>
      </c>
      <c r="F277" s="14" t="s">
        <v>1083</v>
      </c>
      <c r="G277" s="4" t="s">
        <v>1084</v>
      </c>
      <c r="H277" s="4" t="s">
        <v>1085</v>
      </c>
      <c r="I277" s="5" t="s">
        <v>23</v>
      </c>
      <c r="J277" s="5" t="s">
        <v>24</v>
      </c>
      <c r="K277" s="5" t="s">
        <v>25</v>
      </c>
      <c r="L277" s="11" t="s">
        <v>26</v>
      </c>
      <c r="M277" s="5" t="s">
        <v>27</v>
      </c>
      <c r="N277" t="str">
        <f t="shared" si="1"/>
        <v>URBS 3</v>
      </c>
      <c r="O277" s="12" t="str">
        <f t="shared" si="2"/>
        <v>https://monitoramento.pm.pr.gov.br/proxy_image_3/Interface/Cameras/GetJPEGStream?Camera=Camera126&amp;AuthUser=copom_DDTQ&amp;AuthPass=DDTQcopom&amp;Width=1024&amp;Height=768&amp;Quality=70&amp;FPS=10&amp;ResponseFormat=Text</v>
      </c>
      <c r="P277" s="6">
        <v>1.0</v>
      </c>
    </row>
    <row r="278">
      <c r="A278" s="7" t="s">
        <v>981</v>
      </c>
      <c r="B278" s="2" t="s">
        <v>17</v>
      </c>
      <c r="C278" s="13" t="s">
        <v>982</v>
      </c>
      <c r="D278" s="9">
        <v>38601.0</v>
      </c>
      <c r="E278" s="9" t="s">
        <v>1086</v>
      </c>
      <c r="F278" s="14" t="s">
        <v>1087</v>
      </c>
      <c r="G278" s="4" t="s">
        <v>1088</v>
      </c>
      <c r="H278" s="4" t="s">
        <v>1089</v>
      </c>
      <c r="I278" s="5" t="s">
        <v>23</v>
      </c>
      <c r="J278" s="5" t="s">
        <v>24</v>
      </c>
      <c r="K278" s="5" t="s">
        <v>25</v>
      </c>
      <c r="L278" s="11" t="s">
        <v>26</v>
      </c>
      <c r="M278" s="5" t="s">
        <v>27</v>
      </c>
      <c r="N278" t="str">
        <f t="shared" si="1"/>
        <v>URBS 3</v>
      </c>
      <c r="O278" s="12" t="str">
        <f t="shared" si="2"/>
        <v>https://monitoramento.pm.pr.gov.br/proxy_image_3/Interface/Cameras/GetJPEGStream?Camera=Camera127&amp;AuthUser=copom_DDTQ&amp;AuthPass=DDTQcopom&amp;Width=1024&amp;Height=768&amp;Quality=70&amp;FPS=10&amp;ResponseFormat=Text</v>
      </c>
      <c r="P278" s="6">
        <v>1.0</v>
      </c>
    </row>
    <row r="279">
      <c r="A279" s="7" t="s">
        <v>981</v>
      </c>
      <c r="B279" s="2" t="s">
        <v>17</v>
      </c>
      <c r="C279" s="13" t="s">
        <v>982</v>
      </c>
      <c r="D279" s="9">
        <v>38601.0</v>
      </c>
      <c r="E279" s="9" t="s">
        <v>1090</v>
      </c>
      <c r="F279" s="14" t="s">
        <v>1091</v>
      </c>
      <c r="G279" s="4" t="s">
        <v>1092</v>
      </c>
      <c r="H279" s="4" t="s">
        <v>1093</v>
      </c>
      <c r="I279" s="5" t="s">
        <v>23</v>
      </c>
      <c r="J279" s="5" t="s">
        <v>24</v>
      </c>
      <c r="K279" s="5" t="s">
        <v>25</v>
      </c>
      <c r="L279" s="11" t="s">
        <v>26</v>
      </c>
      <c r="M279" s="5" t="s">
        <v>27</v>
      </c>
      <c r="N279" t="str">
        <f t="shared" si="1"/>
        <v>URBS 3</v>
      </c>
      <c r="O279" s="12" t="str">
        <f t="shared" si="2"/>
        <v>https://monitoramento.pm.pr.gov.br/proxy_image_3/Interface/Cameras/GetJPEGStream?Camera=Camera128&amp;AuthUser=copom_DDTQ&amp;AuthPass=DDTQcopom&amp;Width=1024&amp;Height=768&amp;Quality=70&amp;FPS=10&amp;ResponseFormat=Text</v>
      </c>
      <c r="P279" s="6">
        <v>1.0</v>
      </c>
    </row>
    <row r="280">
      <c r="A280" s="7" t="s">
        <v>981</v>
      </c>
      <c r="B280" s="2" t="s">
        <v>17</v>
      </c>
      <c r="C280" s="13" t="s">
        <v>982</v>
      </c>
      <c r="D280" s="9">
        <v>38601.0</v>
      </c>
      <c r="E280" s="9" t="s">
        <v>1094</v>
      </c>
      <c r="F280" s="14" t="s">
        <v>1095</v>
      </c>
      <c r="G280" s="4" t="s">
        <v>1096</v>
      </c>
      <c r="H280" s="4" t="s">
        <v>1097</v>
      </c>
      <c r="I280" s="5" t="s">
        <v>23</v>
      </c>
      <c r="J280" s="5" t="s">
        <v>24</v>
      </c>
      <c r="K280" s="5" t="s">
        <v>25</v>
      </c>
      <c r="L280" s="11" t="s">
        <v>26</v>
      </c>
      <c r="M280" s="5" t="s">
        <v>27</v>
      </c>
      <c r="N280" t="str">
        <f t="shared" si="1"/>
        <v>URBS 3</v>
      </c>
      <c r="O280" s="12" t="str">
        <f t="shared" si="2"/>
        <v>https://monitoramento.pm.pr.gov.br/proxy_image_3/Interface/Cameras/GetJPEGStream?Camera=Camera129&amp;AuthUser=copom_DDTQ&amp;AuthPass=DDTQcopom&amp;Width=1024&amp;Height=768&amp;Quality=70&amp;FPS=10&amp;ResponseFormat=Text</v>
      </c>
      <c r="P280" s="6">
        <v>1.0</v>
      </c>
    </row>
    <row r="281">
      <c r="A281" s="7" t="s">
        <v>981</v>
      </c>
      <c r="B281" s="2" t="s">
        <v>17</v>
      </c>
      <c r="C281" s="13" t="s">
        <v>982</v>
      </c>
      <c r="D281" s="9">
        <v>38601.0</v>
      </c>
      <c r="E281" s="9" t="s">
        <v>1098</v>
      </c>
      <c r="F281" s="14" t="s">
        <v>1099</v>
      </c>
      <c r="G281" s="4" t="s">
        <v>1100</v>
      </c>
      <c r="H281" s="4" t="s">
        <v>1101</v>
      </c>
      <c r="I281" s="5" t="s">
        <v>23</v>
      </c>
      <c r="J281" s="5" t="s">
        <v>24</v>
      </c>
      <c r="K281" s="5" t="s">
        <v>25</v>
      </c>
      <c r="L281" s="11" t="s">
        <v>26</v>
      </c>
      <c r="M281" s="5" t="s">
        <v>27</v>
      </c>
      <c r="N281" t="str">
        <f t="shared" si="1"/>
        <v>URBS 3</v>
      </c>
      <c r="O281" s="12" t="str">
        <f t="shared" si="2"/>
        <v>https://monitoramento.pm.pr.gov.br/proxy_image_3/Interface/Cameras/GetJPEGStream?Camera=Camera130&amp;AuthUser=copom_DDTQ&amp;AuthPass=DDTQcopom&amp;Width=1024&amp;Height=768&amp;Quality=70&amp;FPS=10&amp;ResponseFormat=Text</v>
      </c>
      <c r="P281" s="6">
        <v>1.0</v>
      </c>
    </row>
    <row r="282">
      <c r="A282" s="17" t="s">
        <v>981</v>
      </c>
      <c r="B282" s="2" t="s">
        <v>17</v>
      </c>
      <c r="C282" s="13" t="s">
        <v>982</v>
      </c>
      <c r="D282" s="18">
        <v>38601.0</v>
      </c>
      <c r="E282" s="18" t="s">
        <v>1102</v>
      </c>
      <c r="F282" s="19" t="s">
        <v>1103</v>
      </c>
      <c r="G282" s="4" t="s">
        <v>1104</v>
      </c>
      <c r="H282" s="4" t="s">
        <v>1105</v>
      </c>
      <c r="I282" s="20" t="s">
        <v>23</v>
      </c>
      <c r="J282" s="20" t="s">
        <v>24</v>
      </c>
      <c r="K282" s="5" t="s">
        <v>25</v>
      </c>
      <c r="L282" s="20" t="s">
        <v>26</v>
      </c>
      <c r="M282" s="20" t="s">
        <v>27</v>
      </c>
      <c r="N282" s="21" t="str">
        <f t="shared" si="1"/>
        <v>URBS 3</v>
      </c>
      <c r="O282" s="12" t="str">
        <f t="shared" si="2"/>
        <v>https://monitoramento.pm.pr.gov.br/proxy_image_3/Interface/Cameras/GetJPEGStream?Camera=Camera133&amp;AuthUser=copom_DDTQ&amp;AuthPass=DDTQcopom&amp;Width=1024&amp;Height=768&amp;Quality=70&amp;FPS=10&amp;ResponseFormat=Text</v>
      </c>
      <c r="P282" s="22">
        <v>1.0</v>
      </c>
    </row>
    <row r="283">
      <c r="A283" s="7" t="s">
        <v>981</v>
      </c>
      <c r="B283" s="2" t="s">
        <v>17</v>
      </c>
      <c r="C283" s="13" t="s">
        <v>982</v>
      </c>
      <c r="D283" s="9">
        <v>38601.0</v>
      </c>
      <c r="E283" s="9" t="s">
        <v>1106</v>
      </c>
      <c r="F283" s="16" t="s">
        <v>1107</v>
      </c>
      <c r="G283" s="4" t="s">
        <v>1108</v>
      </c>
      <c r="H283" s="4" t="s">
        <v>1109</v>
      </c>
      <c r="I283" s="5" t="s">
        <v>23</v>
      </c>
      <c r="J283" s="5" t="s">
        <v>24</v>
      </c>
      <c r="K283" s="5" t="s">
        <v>25</v>
      </c>
      <c r="L283" s="11" t="s">
        <v>26</v>
      </c>
      <c r="M283" s="5" t="s">
        <v>27</v>
      </c>
      <c r="N283" t="str">
        <f t="shared" si="1"/>
        <v>URBS 3</v>
      </c>
      <c r="O283" s="12" t="str">
        <f t="shared" si="2"/>
        <v>https://monitoramento.pm.pr.gov.br/proxy_image_3/Interface/Cameras/GetJPEGStream?Camera=Camera134&amp;AuthUser=copom_DDTQ&amp;AuthPass=DDTQcopom&amp;Width=1024&amp;Height=768&amp;Quality=70&amp;FPS=10&amp;ResponseFormat=Text</v>
      </c>
      <c r="P283" s="6">
        <v>1.0</v>
      </c>
    </row>
    <row r="284">
      <c r="A284" s="17" t="s">
        <v>981</v>
      </c>
      <c r="B284" s="2" t="s">
        <v>17</v>
      </c>
      <c r="C284" s="13" t="s">
        <v>982</v>
      </c>
      <c r="D284" s="18">
        <v>38601.0</v>
      </c>
      <c r="E284" s="18" t="s">
        <v>1110</v>
      </c>
      <c r="F284" s="19" t="s">
        <v>1111</v>
      </c>
      <c r="G284" s="4" t="s">
        <v>1112</v>
      </c>
      <c r="H284" s="4" t="s">
        <v>1113</v>
      </c>
      <c r="I284" s="20" t="s">
        <v>23</v>
      </c>
      <c r="J284" s="20" t="s">
        <v>24</v>
      </c>
      <c r="K284" s="5" t="s">
        <v>25</v>
      </c>
      <c r="L284" s="20" t="s">
        <v>26</v>
      </c>
      <c r="M284" s="20" t="s">
        <v>27</v>
      </c>
      <c r="N284" s="21" t="str">
        <f t="shared" si="1"/>
        <v>URBS 3</v>
      </c>
      <c r="O284" s="12" t="str">
        <f t="shared" si="2"/>
        <v>https://monitoramento.pm.pr.gov.br/proxy_image_3/Interface/Cameras/GetJPEGStream?Camera=Camera135&amp;AuthUser=copom_DDTQ&amp;AuthPass=DDTQcopom&amp;Width=1024&amp;Height=768&amp;Quality=70&amp;FPS=10&amp;ResponseFormat=Text</v>
      </c>
      <c r="P284" s="22">
        <v>1.0</v>
      </c>
    </row>
    <row r="285">
      <c r="A285" s="7" t="s">
        <v>981</v>
      </c>
      <c r="B285" s="2" t="s">
        <v>17</v>
      </c>
      <c r="C285" s="13" t="s">
        <v>982</v>
      </c>
      <c r="D285" s="9">
        <v>38601.0</v>
      </c>
      <c r="E285" s="9" t="s">
        <v>1114</v>
      </c>
      <c r="F285" s="14" t="s">
        <v>1115</v>
      </c>
      <c r="G285" s="4" t="s">
        <v>1116</v>
      </c>
      <c r="H285" s="4" t="s">
        <v>1117</v>
      </c>
      <c r="I285" s="5" t="s">
        <v>23</v>
      </c>
      <c r="J285" s="5" t="s">
        <v>24</v>
      </c>
      <c r="K285" s="5" t="s">
        <v>25</v>
      </c>
      <c r="L285" s="11" t="s">
        <v>26</v>
      </c>
      <c r="M285" s="5" t="s">
        <v>27</v>
      </c>
      <c r="N285" t="str">
        <f t="shared" si="1"/>
        <v>URBS 3</v>
      </c>
      <c r="O285" s="12" t="str">
        <f t="shared" si="2"/>
        <v>https://monitoramento.pm.pr.gov.br/proxy_image_3/Interface/Cameras/GetJPEGStream?Camera=Camera136&amp;AuthUser=copom_DDTQ&amp;AuthPass=DDTQcopom&amp;Width=1024&amp;Height=768&amp;Quality=70&amp;FPS=10&amp;ResponseFormat=Text</v>
      </c>
      <c r="P285" s="6">
        <v>1.0</v>
      </c>
    </row>
    <row r="286">
      <c r="A286" s="7" t="s">
        <v>981</v>
      </c>
      <c r="B286" s="2" t="s">
        <v>17</v>
      </c>
      <c r="C286" s="13" t="s">
        <v>982</v>
      </c>
      <c r="D286" s="9">
        <v>38601.0</v>
      </c>
      <c r="E286" s="9" t="s">
        <v>1118</v>
      </c>
      <c r="F286" s="14" t="s">
        <v>1119</v>
      </c>
      <c r="G286" s="4" t="s">
        <v>1120</v>
      </c>
      <c r="H286" s="4" t="s">
        <v>1121</v>
      </c>
      <c r="I286" s="5" t="s">
        <v>23</v>
      </c>
      <c r="J286" s="5" t="s">
        <v>24</v>
      </c>
      <c r="K286" s="5" t="s">
        <v>25</v>
      </c>
      <c r="L286" s="11" t="s">
        <v>26</v>
      </c>
      <c r="M286" s="5" t="s">
        <v>27</v>
      </c>
      <c r="N286" t="str">
        <f t="shared" si="1"/>
        <v>URBS 3</v>
      </c>
      <c r="O286" s="12" t="str">
        <f t="shared" si="2"/>
        <v>https://monitoramento.pm.pr.gov.br/proxy_image_3/Interface/Cameras/GetJPEGStream?Camera=EX038CFTV01&amp;AuthUser=copom_DDTQ&amp;AuthPass=DDTQcopom&amp;Width=1024&amp;Height=768&amp;Quality=70&amp;FPS=10&amp;ResponseFormat=Text</v>
      </c>
      <c r="P286" s="6">
        <v>1.0</v>
      </c>
    </row>
    <row r="287">
      <c r="A287" s="7" t="s">
        <v>981</v>
      </c>
      <c r="B287" s="2" t="s">
        <v>17</v>
      </c>
      <c r="C287" s="13" t="s">
        <v>982</v>
      </c>
      <c r="D287" s="9">
        <v>38601.0</v>
      </c>
      <c r="E287" s="9" t="s">
        <v>1122</v>
      </c>
      <c r="F287" s="14" t="s">
        <v>1123</v>
      </c>
      <c r="G287" s="4" t="s">
        <v>1124</v>
      </c>
      <c r="H287" s="4" t="s">
        <v>1125</v>
      </c>
      <c r="I287" s="5" t="s">
        <v>23</v>
      </c>
      <c r="J287" s="5" t="s">
        <v>24</v>
      </c>
      <c r="K287" s="5" t="s">
        <v>25</v>
      </c>
      <c r="L287" s="11" t="s">
        <v>26</v>
      </c>
      <c r="M287" s="5" t="s">
        <v>27</v>
      </c>
      <c r="N287" t="str">
        <f t="shared" si="1"/>
        <v>URBS 3</v>
      </c>
      <c r="O287" s="12" t="str">
        <f t="shared" si="2"/>
        <v>https://monitoramento.pm.pr.gov.br/proxy_image_3/Interface/Cameras/GetJPEGStream?Camera=EX039CFTV01&amp;AuthUser=copom_DDTQ&amp;AuthPass=DDTQcopom&amp;Width=1024&amp;Height=768&amp;Quality=70&amp;FPS=10&amp;ResponseFormat=Text</v>
      </c>
      <c r="P287" s="6">
        <v>1.0</v>
      </c>
    </row>
    <row r="288">
      <c r="A288" s="7" t="s">
        <v>981</v>
      </c>
      <c r="B288" s="2" t="s">
        <v>17</v>
      </c>
      <c r="C288" s="13" t="s">
        <v>982</v>
      </c>
      <c r="D288" s="9">
        <v>38601.0</v>
      </c>
      <c r="E288" s="9" t="s">
        <v>1126</v>
      </c>
      <c r="F288" s="14" t="s">
        <v>1127</v>
      </c>
      <c r="G288" s="4" t="s">
        <v>1128</v>
      </c>
      <c r="H288" s="4" t="s">
        <v>1129</v>
      </c>
      <c r="I288" s="5" t="s">
        <v>23</v>
      </c>
      <c r="J288" s="5" t="s">
        <v>24</v>
      </c>
      <c r="K288" s="5" t="s">
        <v>25</v>
      </c>
      <c r="L288" s="11" t="s">
        <v>26</v>
      </c>
      <c r="M288" s="5" t="s">
        <v>27</v>
      </c>
      <c r="N288" t="str">
        <f t="shared" si="1"/>
        <v>URBS 3</v>
      </c>
      <c r="O288" s="12" t="str">
        <f t="shared" si="2"/>
        <v>https://monitoramento.pm.pr.gov.br/proxy_image_3/Interface/Cameras/GetJPEGStream?Camera=EX099CFTV01&amp;AuthUser=copom_DDTQ&amp;AuthPass=DDTQcopom&amp;Width=1024&amp;Height=768&amp;Quality=70&amp;FPS=10&amp;ResponseFormat=Text</v>
      </c>
      <c r="P288" s="6">
        <v>1.0</v>
      </c>
    </row>
    <row r="289">
      <c r="A289" s="7" t="s">
        <v>981</v>
      </c>
      <c r="B289" s="2" t="s">
        <v>17</v>
      </c>
      <c r="C289" s="13" t="s">
        <v>982</v>
      </c>
      <c r="D289" s="9">
        <v>38601.0</v>
      </c>
      <c r="E289" s="9" t="s">
        <v>1130</v>
      </c>
      <c r="F289" s="14" t="s">
        <v>1131</v>
      </c>
      <c r="G289" s="4" t="s">
        <v>1132</v>
      </c>
      <c r="H289" s="4" t="s">
        <v>1133</v>
      </c>
      <c r="I289" s="5" t="s">
        <v>23</v>
      </c>
      <c r="J289" s="5" t="s">
        <v>24</v>
      </c>
      <c r="K289" s="5" t="s">
        <v>25</v>
      </c>
      <c r="L289" s="11" t="s">
        <v>26</v>
      </c>
      <c r="M289" s="5" t="s">
        <v>27</v>
      </c>
      <c r="N289" t="str">
        <f t="shared" si="1"/>
        <v>URBS 3</v>
      </c>
      <c r="O289" s="12" t="str">
        <f t="shared" si="2"/>
        <v>https://monitoramento.pm.pr.gov.br/proxy_image_3/Interface/Cameras/GetJPEGStream?Camera=EX132CFTV03&amp;AuthUser=copom_DDTQ&amp;AuthPass=DDTQcopom&amp;Width=1024&amp;Height=768&amp;Quality=70&amp;FPS=10&amp;ResponseFormat=Text</v>
      </c>
      <c r="P289" s="6">
        <v>1.0</v>
      </c>
    </row>
    <row r="290">
      <c r="A290" s="7" t="s">
        <v>981</v>
      </c>
      <c r="B290" s="2" t="s">
        <v>17</v>
      </c>
      <c r="C290" s="13" t="s">
        <v>982</v>
      </c>
      <c r="D290" s="9">
        <v>38601.0</v>
      </c>
      <c r="E290" s="9" t="s">
        <v>1134</v>
      </c>
      <c r="F290" s="14" t="s">
        <v>1135</v>
      </c>
      <c r="G290" s="4" t="s">
        <v>1136</v>
      </c>
      <c r="H290" s="4" t="s">
        <v>1137</v>
      </c>
      <c r="I290" s="5" t="s">
        <v>23</v>
      </c>
      <c r="J290" s="5" t="s">
        <v>24</v>
      </c>
      <c r="K290" s="5" t="s">
        <v>25</v>
      </c>
      <c r="L290" s="11" t="s">
        <v>26</v>
      </c>
      <c r="M290" s="5" t="s">
        <v>27</v>
      </c>
      <c r="N290" t="str">
        <f t="shared" si="1"/>
        <v>URBS 3</v>
      </c>
      <c r="O290" s="12" t="str">
        <f t="shared" si="2"/>
        <v>https://monitoramento.pm.pr.gov.br/proxy_image_3/Interface/Cameras/GetJPEGStream?Camera=EX132CFTV04&amp;AuthUser=copom_DDTQ&amp;AuthPass=DDTQcopom&amp;Width=1024&amp;Height=768&amp;Quality=70&amp;FPS=10&amp;ResponseFormat=Text</v>
      </c>
      <c r="P290" s="6">
        <v>1.0</v>
      </c>
    </row>
    <row r="291">
      <c r="A291" s="7" t="s">
        <v>981</v>
      </c>
      <c r="B291" s="2" t="s">
        <v>17</v>
      </c>
      <c r="C291" s="13" t="s">
        <v>982</v>
      </c>
      <c r="D291" s="9">
        <v>38601.0</v>
      </c>
      <c r="E291" s="9" t="s">
        <v>1138</v>
      </c>
      <c r="F291" s="14" t="s">
        <v>1139</v>
      </c>
      <c r="G291" s="4" t="s">
        <v>1140</v>
      </c>
      <c r="H291" s="4" t="s">
        <v>1141</v>
      </c>
      <c r="I291" s="5" t="s">
        <v>23</v>
      </c>
      <c r="J291" s="5" t="s">
        <v>24</v>
      </c>
      <c r="K291" s="5" t="s">
        <v>25</v>
      </c>
      <c r="L291" s="11" t="s">
        <v>26</v>
      </c>
      <c r="M291" s="5" t="s">
        <v>27</v>
      </c>
      <c r="N291" t="str">
        <f t="shared" si="1"/>
        <v>URBS 3</v>
      </c>
      <c r="O291" s="12" t="str">
        <f t="shared" si="2"/>
        <v>https://monitoramento.pm.pr.gov.br/proxy_image_3/Interface/Cameras/GetJPEGStream?Camera=EX133CFTV01&amp;AuthUser=copom_DDTQ&amp;AuthPass=DDTQcopom&amp;Width=1024&amp;Height=768&amp;Quality=70&amp;FPS=10&amp;ResponseFormat=Text</v>
      </c>
      <c r="P291" s="6">
        <v>1.0</v>
      </c>
    </row>
    <row r="292">
      <c r="A292" s="7" t="s">
        <v>981</v>
      </c>
      <c r="B292" s="2" t="s">
        <v>17</v>
      </c>
      <c r="C292" s="13" t="s">
        <v>982</v>
      </c>
      <c r="D292" s="9">
        <v>38601.0</v>
      </c>
      <c r="E292" s="9" t="s">
        <v>1142</v>
      </c>
      <c r="F292" s="14" t="s">
        <v>1143</v>
      </c>
      <c r="G292" s="4" t="s">
        <v>1144</v>
      </c>
      <c r="H292" s="4" t="s">
        <v>1145</v>
      </c>
      <c r="I292" s="5" t="s">
        <v>23</v>
      </c>
      <c r="J292" s="5" t="s">
        <v>24</v>
      </c>
      <c r="K292" s="5" t="s">
        <v>25</v>
      </c>
      <c r="L292" s="11" t="s">
        <v>26</v>
      </c>
      <c r="M292" s="5" t="s">
        <v>27</v>
      </c>
      <c r="N292" t="str">
        <f t="shared" si="1"/>
        <v>URBS 3</v>
      </c>
      <c r="O292" s="12" t="str">
        <f t="shared" si="2"/>
        <v>https://monitoramento.pm.pr.gov.br/proxy_image_3/Interface/Cameras/GetJPEGStream?Camera=EX133CFTV02&amp;AuthUser=copom_DDTQ&amp;AuthPass=DDTQcopom&amp;Width=1024&amp;Height=768&amp;Quality=70&amp;FPS=10&amp;ResponseFormat=Text</v>
      </c>
      <c r="P292" s="6">
        <v>1.0</v>
      </c>
    </row>
    <row r="293">
      <c r="A293" s="7" t="s">
        <v>981</v>
      </c>
      <c r="B293" s="2" t="s">
        <v>17</v>
      </c>
      <c r="C293" s="13" t="s">
        <v>982</v>
      </c>
      <c r="D293" s="9">
        <v>38601.0</v>
      </c>
      <c r="E293" s="9" t="s">
        <v>1146</v>
      </c>
      <c r="F293" s="14" t="s">
        <v>1147</v>
      </c>
      <c r="G293" s="4" t="s">
        <v>1148</v>
      </c>
      <c r="H293" s="4" t="s">
        <v>1149</v>
      </c>
      <c r="I293" s="5" t="s">
        <v>23</v>
      </c>
      <c r="J293" s="5" t="s">
        <v>24</v>
      </c>
      <c r="K293" s="5" t="s">
        <v>25</v>
      </c>
      <c r="L293" s="11" t="s">
        <v>26</v>
      </c>
      <c r="M293" s="5" t="s">
        <v>27</v>
      </c>
      <c r="N293" t="str">
        <f t="shared" si="1"/>
        <v>URBS 3</v>
      </c>
      <c r="O293" s="12" t="str">
        <f t="shared" si="2"/>
        <v>https://monitoramento.pm.pr.gov.br/proxy_image_3/Interface/Cameras/GetJPEGStream?Camera=EX133CFTV03&amp;AuthUser=copom_DDTQ&amp;AuthPass=DDTQcopom&amp;Width=1024&amp;Height=768&amp;Quality=70&amp;FPS=10&amp;ResponseFormat=Text</v>
      </c>
      <c r="P293" s="6">
        <v>1.0</v>
      </c>
    </row>
    <row r="294">
      <c r="A294" s="7" t="s">
        <v>981</v>
      </c>
      <c r="B294" s="2" t="s">
        <v>17</v>
      </c>
      <c r="C294" s="13" t="s">
        <v>982</v>
      </c>
      <c r="D294" s="9">
        <v>38601.0</v>
      </c>
      <c r="E294" s="9" t="s">
        <v>1150</v>
      </c>
      <c r="F294" s="14" t="s">
        <v>1151</v>
      </c>
      <c r="G294" s="4" t="s">
        <v>1152</v>
      </c>
      <c r="H294" s="4" t="s">
        <v>1153</v>
      </c>
      <c r="I294" s="5" t="s">
        <v>23</v>
      </c>
      <c r="J294" s="5" t="s">
        <v>24</v>
      </c>
      <c r="K294" s="5" t="s">
        <v>25</v>
      </c>
      <c r="L294" s="11" t="s">
        <v>26</v>
      </c>
      <c r="M294" s="5" t="s">
        <v>27</v>
      </c>
      <c r="N294" t="str">
        <f t="shared" si="1"/>
        <v>URBS 3</v>
      </c>
      <c r="O294" s="12" t="str">
        <f t="shared" si="2"/>
        <v>https://monitoramento.pm.pr.gov.br/proxy_image_3/Interface/Cameras/GetJPEGStream?Camera=EX133CFTV04&amp;AuthUser=copom_DDTQ&amp;AuthPass=DDTQcopom&amp;Width=1024&amp;Height=768&amp;Quality=70&amp;FPS=10&amp;ResponseFormat=Text</v>
      </c>
      <c r="P294" s="6">
        <v>1.0</v>
      </c>
    </row>
    <row r="295">
      <c r="A295" s="7" t="s">
        <v>981</v>
      </c>
      <c r="B295" s="2" t="s">
        <v>17</v>
      </c>
      <c r="C295" s="13" t="s">
        <v>982</v>
      </c>
      <c r="D295" s="9">
        <v>38601.0</v>
      </c>
      <c r="E295" s="9" t="s">
        <v>1154</v>
      </c>
      <c r="F295" s="14" t="s">
        <v>1155</v>
      </c>
      <c r="G295" s="4" t="s">
        <v>1156</v>
      </c>
      <c r="H295" s="4" t="s">
        <v>1157</v>
      </c>
      <c r="I295" s="5" t="s">
        <v>23</v>
      </c>
      <c r="J295" s="5" t="s">
        <v>24</v>
      </c>
      <c r="K295" s="5" t="s">
        <v>25</v>
      </c>
      <c r="L295" s="11" t="s">
        <v>26</v>
      </c>
      <c r="M295" s="5" t="s">
        <v>27</v>
      </c>
      <c r="N295" t="str">
        <f t="shared" si="1"/>
        <v>URBS 3</v>
      </c>
      <c r="O295" s="12" t="str">
        <f t="shared" si="2"/>
        <v>https://monitoramento.pm.pr.gov.br/proxy_image_3/Interface/Cameras/GetJPEGStream?Camera=EX134CFTV01&amp;AuthUser=copom_DDTQ&amp;AuthPass=DDTQcopom&amp;Width=1024&amp;Height=768&amp;Quality=70&amp;FPS=10&amp;ResponseFormat=Text</v>
      </c>
      <c r="P295" s="6">
        <v>1.0</v>
      </c>
    </row>
    <row r="296">
      <c r="A296" s="7" t="s">
        <v>981</v>
      </c>
      <c r="B296" s="2" t="s">
        <v>17</v>
      </c>
      <c r="C296" s="13" t="s">
        <v>982</v>
      </c>
      <c r="D296" s="9">
        <v>38601.0</v>
      </c>
      <c r="E296" s="9" t="s">
        <v>1158</v>
      </c>
      <c r="F296" s="14" t="s">
        <v>1159</v>
      </c>
      <c r="G296" s="4" t="s">
        <v>1160</v>
      </c>
      <c r="H296" s="4" t="s">
        <v>1161</v>
      </c>
      <c r="I296" s="5" t="s">
        <v>23</v>
      </c>
      <c r="J296" s="5" t="s">
        <v>24</v>
      </c>
      <c r="K296" s="5" t="s">
        <v>25</v>
      </c>
      <c r="L296" s="11" t="s">
        <v>26</v>
      </c>
      <c r="M296" s="5" t="s">
        <v>27</v>
      </c>
      <c r="N296" t="str">
        <f t="shared" si="1"/>
        <v>URBS 3</v>
      </c>
      <c r="O296" s="12" t="str">
        <f t="shared" si="2"/>
        <v>https://monitoramento.pm.pr.gov.br/proxy_image_3/Interface/Cameras/GetJPEGStream?Camera=EX134CFTV02&amp;AuthUser=copom_DDTQ&amp;AuthPass=DDTQcopom&amp;Width=1024&amp;Height=768&amp;Quality=70&amp;FPS=10&amp;ResponseFormat=Text</v>
      </c>
      <c r="P296" s="6">
        <v>1.0</v>
      </c>
    </row>
    <row r="297">
      <c r="A297" s="7" t="s">
        <v>981</v>
      </c>
      <c r="B297" s="2" t="s">
        <v>17</v>
      </c>
      <c r="C297" s="13" t="s">
        <v>982</v>
      </c>
      <c r="D297" s="9">
        <v>38601.0</v>
      </c>
      <c r="E297" s="9" t="s">
        <v>1162</v>
      </c>
      <c r="F297" s="14" t="s">
        <v>1163</v>
      </c>
      <c r="G297" s="4" t="s">
        <v>1164</v>
      </c>
      <c r="H297" s="4" t="s">
        <v>1165</v>
      </c>
      <c r="I297" s="5" t="s">
        <v>23</v>
      </c>
      <c r="J297" s="5" t="s">
        <v>24</v>
      </c>
      <c r="K297" s="5" t="s">
        <v>25</v>
      </c>
      <c r="L297" s="11" t="s">
        <v>26</v>
      </c>
      <c r="M297" s="5" t="s">
        <v>27</v>
      </c>
      <c r="N297" t="str">
        <f t="shared" si="1"/>
        <v>URBS 3</v>
      </c>
      <c r="O297" s="12" t="str">
        <f t="shared" si="2"/>
        <v>https://monitoramento.pm.pr.gov.br/proxy_image_3/Interface/Cameras/GetJPEGStream?Camera=EX134CFTV03&amp;AuthUser=copom_DDTQ&amp;AuthPass=DDTQcopom&amp;Width=1024&amp;Height=768&amp;Quality=70&amp;FPS=10&amp;ResponseFormat=Text</v>
      </c>
      <c r="P297" s="6">
        <v>1.0</v>
      </c>
    </row>
    <row r="298">
      <c r="A298" s="7" t="s">
        <v>981</v>
      </c>
      <c r="B298" s="2" t="s">
        <v>17</v>
      </c>
      <c r="C298" s="13" t="s">
        <v>982</v>
      </c>
      <c r="D298" s="9">
        <v>38601.0</v>
      </c>
      <c r="E298" s="9" t="s">
        <v>1166</v>
      </c>
      <c r="F298" s="14" t="s">
        <v>1167</v>
      </c>
      <c r="G298" s="4" t="s">
        <v>1168</v>
      </c>
      <c r="H298" s="4" t="s">
        <v>1169</v>
      </c>
      <c r="I298" s="5" t="s">
        <v>23</v>
      </c>
      <c r="J298" s="5" t="s">
        <v>24</v>
      </c>
      <c r="K298" s="5" t="s">
        <v>25</v>
      </c>
      <c r="L298" s="11" t="s">
        <v>26</v>
      </c>
      <c r="M298" s="5" t="s">
        <v>27</v>
      </c>
      <c r="N298" t="str">
        <f t="shared" si="1"/>
        <v>URBS 3</v>
      </c>
      <c r="O298" s="12" t="str">
        <f t="shared" si="2"/>
        <v>https://monitoramento.pm.pr.gov.br/proxy_image_3/Interface/Cameras/GetJPEGStream?Camera=EX134CFTV04&amp;AuthUser=copom_DDTQ&amp;AuthPass=DDTQcopom&amp;Width=1024&amp;Height=768&amp;Quality=70&amp;FPS=10&amp;ResponseFormat=Text</v>
      </c>
      <c r="P298" s="6">
        <v>1.0</v>
      </c>
    </row>
    <row r="299">
      <c r="A299" s="7" t="s">
        <v>981</v>
      </c>
      <c r="B299" s="2" t="s">
        <v>17</v>
      </c>
      <c r="C299" s="13" t="s">
        <v>982</v>
      </c>
      <c r="D299" s="9">
        <v>38601.0</v>
      </c>
      <c r="E299" s="9" t="s">
        <v>1170</v>
      </c>
      <c r="F299" s="14" t="s">
        <v>1171</v>
      </c>
      <c r="G299" s="4" t="s">
        <v>1172</v>
      </c>
      <c r="H299" s="4" t="s">
        <v>1173</v>
      </c>
      <c r="I299" s="5" t="s">
        <v>23</v>
      </c>
      <c r="J299" s="5" t="s">
        <v>24</v>
      </c>
      <c r="K299" s="5" t="s">
        <v>25</v>
      </c>
      <c r="L299" s="11" t="s">
        <v>26</v>
      </c>
      <c r="M299" s="5" t="s">
        <v>27</v>
      </c>
      <c r="N299" t="str">
        <f t="shared" si="1"/>
        <v>URBS 3</v>
      </c>
      <c r="O299" s="12" t="str">
        <f t="shared" si="2"/>
        <v>https://monitoramento.pm.pr.gov.br/proxy_image_3/Interface/Cameras/GetJPEGStream?Camera=EX135ACFTV01&amp;AuthUser=copom_DDTQ&amp;AuthPass=DDTQcopom&amp;Width=1024&amp;Height=768&amp;Quality=70&amp;FPS=10&amp;ResponseFormat=Text</v>
      </c>
      <c r="P299" s="6">
        <v>1.0</v>
      </c>
    </row>
    <row r="300">
      <c r="A300" s="7" t="s">
        <v>981</v>
      </c>
      <c r="B300" s="2" t="s">
        <v>17</v>
      </c>
      <c r="C300" s="13" t="s">
        <v>982</v>
      </c>
      <c r="D300" s="9">
        <v>38601.0</v>
      </c>
      <c r="E300" s="9" t="s">
        <v>1174</v>
      </c>
      <c r="F300" s="14" t="s">
        <v>1175</v>
      </c>
      <c r="G300" s="4" t="s">
        <v>1176</v>
      </c>
      <c r="H300" s="4" t="s">
        <v>1177</v>
      </c>
      <c r="I300" s="5" t="s">
        <v>23</v>
      </c>
      <c r="J300" s="5" t="s">
        <v>24</v>
      </c>
      <c r="K300" s="5" t="s">
        <v>25</v>
      </c>
      <c r="L300" s="11" t="s">
        <v>26</v>
      </c>
      <c r="M300" s="5" t="s">
        <v>27</v>
      </c>
      <c r="N300" t="str">
        <f t="shared" si="1"/>
        <v>URBS 3</v>
      </c>
      <c r="O300" s="12" t="str">
        <f t="shared" si="2"/>
        <v>https://monitoramento.pm.pr.gov.br/proxy_image_3/Interface/Cameras/GetJPEGStream?Camera=EX135ACFTV02&amp;AuthUser=copom_DDTQ&amp;AuthPass=DDTQcopom&amp;Width=1024&amp;Height=768&amp;Quality=70&amp;FPS=10&amp;ResponseFormat=Text</v>
      </c>
      <c r="P300" s="6">
        <v>1.0</v>
      </c>
    </row>
    <row r="301">
      <c r="A301" s="7" t="s">
        <v>981</v>
      </c>
      <c r="B301" s="2" t="s">
        <v>17</v>
      </c>
      <c r="C301" s="13" t="s">
        <v>982</v>
      </c>
      <c r="D301" s="9">
        <v>38601.0</v>
      </c>
      <c r="E301" s="9" t="s">
        <v>1178</v>
      </c>
      <c r="F301" s="14" t="s">
        <v>1179</v>
      </c>
      <c r="G301" s="4" t="s">
        <v>1180</v>
      </c>
      <c r="H301" s="4" t="s">
        <v>1181</v>
      </c>
      <c r="I301" s="5" t="s">
        <v>23</v>
      </c>
      <c r="J301" s="5" t="s">
        <v>24</v>
      </c>
      <c r="K301" s="5" t="s">
        <v>25</v>
      </c>
      <c r="L301" s="11" t="s">
        <v>26</v>
      </c>
      <c r="M301" s="5" t="s">
        <v>27</v>
      </c>
      <c r="N301" t="str">
        <f t="shared" si="1"/>
        <v>URBS 3</v>
      </c>
      <c r="O301" s="12" t="str">
        <f t="shared" si="2"/>
        <v>https://monitoramento.pm.pr.gov.br/proxy_image_3/Interface/Cameras/GetJPEGStream?Camera=EX135CFTV01&amp;AuthUser=copom_DDTQ&amp;AuthPass=DDTQcopom&amp;Width=1024&amp;Height=768&amp;Quality=70&amp;FPS=10&amp;ResponseFormat=Text</v>
      </c>
      <c r="P301" s="6">
        <v>1.0</v>
      </c>
    </row>
    <row r="302">
      <c r="A302" s="7" t="s">
        <v>981</v>
      </c>
      <c r="B302" s="2" t="s">
        <v>17</v>
      </c>
      <c r="C302" s="13" t="s">
        <v>982</v>
      </c>
      <c r="D302" s="9">
        <v>38601.0</v>
      </c>
      <c r="E302" s="9" t="s">
        <v>1182</v>
      </c>
      <c r="F302" s="14" t="s">
        <v>1183</v>
      </c>
      <c r="G302" s="4" t="s">
        <v>1184</v>
      </c>
      <c r="H302" s="4" t="s">
        <v>1185</v>
      </c>
      <c r="I302" s="5" t="s">
        <v>23</v>
      </c>
      <c r="J302" s="5" t="s">
        <v>24</v>
      </c>
      <c r="K302" s="5" t="s">
        <v>25</v>
      </c>
      <c r="L302" s="11" t="s">
        <v>26</v>
      </c>
      <c r="M302" s="5" t="s">
        <v>27</v>
      </c>
      <c r="N302" t="str">
        <f t="shared" si="1"/>
        <v>URBS 3</v>
      </c>
      <c r="O302" s="12" t="str">
        <f t="shared" si="2"/>
        <v>https://monitoramento.pm.pr.gov.br/proxy_image_3/Interface/Cameras/GetJPEGStream?Camera=EX135CFTV02&amp;AuthUser=copom_DDTQ&amp;AuthPass=DDTQcopom&amp;Width=1024&amp;Height=768&amp;Quality=70&amp;FPS=10&amp;ResponseFormat=Text</v>
      </c>
      <c r="P302" s="6">
        <v>1.0</v>
      </c>
    </row>
    <row r="303">
      <c r="A303" s="7" t="s">
        <v>981</v>
      </c>
      <c r="B303" s="2" t="s">
        <v>17</v>
      </c>
      <c r="C303" s="13" t="s">
        <v>982</v>
      </c>
      <c r="D303" s="9">
        <v>38601.0</v>
      </c>
      <c r="E303" s="9" t="s">
        <v>1186</v>
      </c>
      <c r="F303" s="16" t="s">
        <v>1187</v>
      </c>
      <c r="G303" s="4" t="s">
        <v>1188</v>
      </c>
      <c r="H303" s="4" t="s">
        <v>1189</v>
      </c>
      <c r="I303" s="5" t="s">
        <v>23</v>
      </c>
      <c r="J303" s="5" t="s">
        <v>24</v>
      </c>
      <c r="K303" s="5" t="s">
        <v>25</v>
      </c>
      <c r="L303" s="11" t="s">
        <v>26</v>
      </c>
      <c r="M303" s="5" t="s">
        <v>27</v>
      </c>
      <c r="N303" t="str">
        <f t="shared" si="1"/>
        <v>URBS 3</v>
      </c>
      <c r="O303" s="12" t="str">
        <f t="shared" si="2"/>
        <v>https://monitoramento.pm.pr.gov.br/proxy_image_3/Interface/Cameras/GetJPEGStream?Camera=LD001CFTV01&amp;AuthUser=copom_DDTQ&amp;AuthPass=DDTQcopom&amp;Width=1024&amp;Height=768&amp;Quality=70&amp;FPS=10&amp;ResponseFormat=Text</v>
      </c>
      <c r="P303" s="6">
        <v>1.0</v>
      </c>
    </row>
    <row r="304">
      <c r="A304" s="7" t="s">
        <v>981</v>
      </c>
      <c r="B304" s="2" t="s">
        <v>17</v>
      </c>
      <c r="C304" s="13" t="s">
        <v>982</v>
      </c>
      <c r="D304" s="9">
        <v>38601.0</v>
      </c>
      <c r="E304" s="9" t="s">
        <v>1190</v>
      </c>
      <c r="F304" s="14" t="s">
        <v>1191</v>
      </c>
      <c r="G304" s="4" t="s">
        <v>1192</v>
      </c>
      <c r="H304" s="4" t="s">
        <v>1193</v>
      </c>
      <c r="I304" s="5" t="s">
        <v>23</v>
      </c>
      <c r="J304" s="5" t="s">
        <v>24</v>
      </c>
      <c r="K304" s="5" t="s">
        <v>25</v>
      </c>
      <c r="L304" s="11" t="s">
        <v>26</v>
      </c>
      <c r="M304" s="5" t="s">
        <v>27</v>
      </c>
      <c r="N304" t="str">
        <f t="shared" si="1"/>
        <v>URBS 3</v>
      </c>
      <c r="O304" s="12" t="str">
        <f t="shared" si="2"/>
        <v>https://monitoramento.pm.pr.gov.br/proxy_image_3/Interface/Cameras/GetJPEGStream?Camera=LD004CFTV01&amp;AuthUser=copom_DDTQ&amp;AuthPass=DDTQcopom&amp;Width=1024&amp;Height=768&amp;Quality=70&amp;FPS=10&amp;ResponseFormat=Text</v>
      </c>
      <c r="P304" s="6">
        <v>1.0</v>
      </c>
    </row>
    <row r="305">
      <c r="A305" s="7" t="s">
        <v>981</v>
      </c>
      <c r="B305" s="2" t="s">
        <v>17</v>
      </c>
      <c r="C305" s="13" t="s">
        <v>982</v>
      </c>
      <c r="D305" s="9">
        <v>38601.0</v>
      </c>
      <c r="E305" s="9" t="s">
        <v>1194</v>
      </c>
      <c r="F305" s="16" t="s">
        <v>1195</v>
      </c>
      <c r="G305" s="4" t="s">
        <v>1196</v>
      </c>
      <c r="H305" s="4" t="s">
        <v>1197</v>
      </c>
      <c r="I305" s="5" t="s">
        <v>23</v>
      </c>
      <c r="J305" s="5" t="s">
        <v>24</v>
      </c>
      <c r="K305" s="5" t="s">
        <v>25</v>
      </c>
      <c r="L305" s="11" t="s">
        <v>26</v>
      </c>
      <c r="M305" s="5" t="s">
        <v>27</v>
      </c>
      <c r="N305" t="str">
        <f t="shared" si="1"/>
        <v>URBS 3</v>
      </c>
      <c r="O305" s="12" t="str">
        <f t="shared" si="2"/>
        <v>https://monitoramento.pm.pr.gov.br/proxy_image_3/Interface/Cameras/GetJPEGStream?Camera=LD005CFTV01&amp;AuthUser=copom_DDTQ&amp;AuthPass=DDTQcopom&amp;Width=1024&amp;Height=768&amp;Quality=70&amp;FPS=10&amp;ResponseFormat=Text</v>
      </c>
      <c r="P305" s="6">
        <v>1.0</v>
      </c>
    </row>
    <row r="306">
      <c r="A306" s="7" t="s">
        <v>981</v>
      </c>
      <c r="B306" s="2" t="s">
        <v>17</v>
      </c>
      <c r="C306" s="13" t="s">
        <v>982</v>
      </c>
      <c r="D306" s="9">
        <v>38601.0</v>
      </c>
      <c r="E306" s="9" t="s">
        <v>1198</v>
      </c>
      <c r="F306" s="16" t="s">
        <v>1199</v>
      </c>
      <c r="G306" s="4" t="s">
        <v>1200</v>
      </c>
      <c r="H306" s="4" t="s">
        <v>1201</v>
      </c>
      <c r="I306" s="5" t="s">
        <v>23</v>
      </c>
      <c r="J306" s="5" t="s">
        <v>24</v>
      </c>
      <c r="K306" s="5" t="s">
        <v>25</v>
      </c>
      <c r="L306" s="11" t="s">
        <v>26</v>
      </c>
      <c r="M306" s="5" t="s">
        <v>27</v>
      </c>
      <c r="N306" t="str">
        <f t="shared" si="1"/>
        <v>URBS 3</v>
      </c>
      <c r="O306" s="12" t="str">
        <f t="shared" si="2"/>
        <v>https://monitoramento.pm.pr.gov.br/proxy_image_3/Interface/Cameras/GetJPEGStream?Camera=LD007CFTV01&amp;AuthUser=copom_DDTQ&amp;AuthPass=DDTQcopom&amp;Width=1024&amp;Height=768&amp;Quality=70&amp;FPS=10&amp;ResponseFormat=Text</v>
      </c>
      <c r="P306" s="6">
        <v>1.0</v>
      </c>
    </row>
    <row r="307">
      <c r="A307" s="7" t="s">
        <v>981</v>
      </c>
      <c r="B307" s="2" t="s">
        <v>17</v>
      </c>
      <c r="C307" s="13" t="s">
        <v>982</v>
      </c>
      <c r="D307" s="9">
        <v>38601.0</v>
      </c>
      <c r="E307" s="9" t="s">
        <v>1202</v>
      </c>
      <c r="F307" s="16" t="s">
        <v>1203</v>
      </c>
      <c r="G307" s="4" t="s">
        <v>1204</v>
      </c>
      <c r="H307" s="4" t="s">
        <v>1205</v>
      </c>
      <c r="I307" s="5" t="s">
        <v>23</v>
      </c>
      <c r="J307" s="5" t="s">
        <v>24</v>
      </c>
      <c r="K307" s="5" t="s">
        <v>25</v>
      </c>
      <c r="L307" s="11" t="s">
        <v>26</v>
      </c>
      <c r="M307" s="5" t="s">
        <v>27</v>
      </c>
      <c r="N307" t="str">
        <f t="shared" si="1"/>
        <v>URBS 3</v>
      </c>
      <c r="O307" s="12" t="str">
        <f t="shared" si="2"/>
        <v>https://monitoramento.pm.pr.gov.br/proxy_image_3/Interface/Cameras/GetJPEGStream?Camera=LD010CFTV01&amp;AuthUser=copom_DDTQ&amp;AuthPass=DDTQcopom&amp;Width=1024&amp;Height=768&amp;Quality=70&amp;FPS=10&amp;ResponseFormat=Text</v>
      </c>
      <c r="P307" s="6">
        <v>1.0</v>
      </c>
    </row>
    <row r="308">
      <c r="A308" s="7" t="s">
        <v>981</v>
      </c>
      <c r="B308" s="2" t="s">
        <v>17</v>
      </c>
      <c r="C308" s="13" t="s">
        <v>982</v>
      </c>
      <c r="D308" s="9">
        <v>38601.0</v>
      </c>
      <c r="E308" s="9" t="s">
        <v>1206</v>
      </c>
      <c r="F308" s="14" t="s">
        <v>1207</v>
      </c>
      <c r="G308" s="4" t="s">
        <v>1208</v>
      </c>
      <c r="H308" s="4" t="s">
        <v>1209</v>
      </c>
      <c r="I308" s="5" t="s">
        <v>23</v>
      </c>
      <c r="J308" s="5" t="s">
        <v>24</v>
      </c>
      <c r="K308" s="5" t="s">
        <v>25</v>
      </c>
      <c r="L308" s="11" t="s">
        <v>26</v>
      </c>
      <c r="M308" s="5" t="s">
        <v>27</v>
      </c>
      <c r="N308" t="str">
        <f t="shared" si="1"/>
        <v>URBS 3</v>
      </c>
      <c r="O308" s="12" t="str">
        <f t="shared" si="2"/>
        <v>https://monitoramento.pm.pr.gov.br/proxy_image_3/Interface/Cameras/GetJPEGStream?Camera=LD011CFTV01&amp;AuthUser=copom_DDTQ&amp;AuthPass=DDTQcopom&amp;Width=1024&amp;Height=768&amp;Quality=70&amp;FPS=10&amp;ResponseFormat=Text</v>
      </c>
      <c r="P308" s="6">
        <v>1.0</v>
      </c>
    </row>
    <row r="309">
      <c r="A309" s="7" t="s">
        <v>981</v>
      </c>
      <c r="B309" s="2" t="s">
        <v>17</v>
      </c>
      <c r="C309" s="13" t="s">
        <v>982</v>
      </c>
      <c r="D309" s="9">
        <v>38601.0</v>
      </c>
      <c r="E309" s="9" t="s">
        <v>1210</v>
      </c>
      <c r="F309" s="14" t="s">
        <v>1211</v>
      </c>
      <c r="G309" s="4" t="s">
        <v>1212</v>
      </c>
      <c r="H309" s="4" t="s">
        <v>1213</v>
      </c>
      <c r="I309" s="5" t="s">
        <v>23</v>
      </c>
      <c r="J309" s="5" t="s">
        <v>24</v>
      </c>
      <c r="K309" s="5" t="s">
        <v>25</v>
      </c>
      <c r="L309" s="11" t="s">
        <v>26</v>
      </c>
      <c r="M309" s="5" t="s">
        <v>27</v>
      </c>
      <c r="N309" t="str">
        <f t="shared" si="1"/>
        <v>URBS 3</v>
      </c>
      <c r="O309" s="12" t="str">
        <f t="shared" si="2"/>
        <v>https://monitoramento.pm.pr.gov.br/proxy_image_3/Interface/Cameras/GetJPEGStream?Camera=LD012CFTV01&amp;AuthUser=copom_DDTQ&amp;AuthPass=DDTQcopom&amp;Width=1024&amp;Height=768&amp;Quality=70&amp;FPS=10&amp;ResponseFormat=Text</v>
      </c>
      <c r="P309" s="6">
        <v>1.0</v>
      </c>
    </row>
    <row r="310">
      <c r="A310" s="7" t="s">
        <v>981</v>
      </c>
      <c r="B310" s="2" t="s">
        <v>17</v>
      </c>
      <c r="C310" s="13" t="s">
        <v>982</v>
      </c>
      <c r="D310" s="9">
        <v>38601.0</v>
      </c>
      <c r="E310" s="9" t="s">
        <v>1214</v>
      </c>
      <c r="F310" s="14" t="s">
        <v>1215</v>
      </c>
      <c r="G310" s="4" t="s">
        <v>1216</v>
      </c>
      <c r="H310" s="4" t="s">
        <v>1217</v>
      </c>
      <c r="I310" s="5" t="s">
        <v>23</v>
      </c>
      <c r="J310" s="5" t="s">
        <v>24</v>
      </c>
      <c r="K310" s="5" t="s">
        <v>25</v>
      </c>
      <c r="L310" s="11" t="s">
        <v>26</v>
      </c>
      <c r="M310" s="5" t="s">
        <v>27</v>
      </c>
      <c r="N310" t="str">
        <f t="shared" si="1"/>
        <v>URBS 3</v>
      </c>
      <c r="O310" s="12" t="str">
        <f t="shared" si="2"/>
        <v>https://monitoramento.pm.pr.gov.br/proxy_image_3/Interface/Cameras/GetJPEGStream?Camera=LD013CFTV01&amp;AuthUser=copom_DDTQ&amp;AuthPass=DDTQcopom&amp;Width=1024&amp;Height=768&amp;Quality=70&amp;FPS=10&amp;ResponseFormat=Text</v>
      </c>
      <c r="P310" s="6">
        <v>1.0</v>
      </c>
    </row>
    <row r="311">
      <c r="A311" s="7" t="s">
        <v>981</v>
      </c>
      <c r="B311" s="2" t="s">
        <v>17</v>
      </c>
      <c r="C311" s="13" t="s">
        <v>982</v>
      </c>
      <c r="D311" s="9">
        <v>38601.0</v>
      </c>
      <c r="E311" s="9" t="s">
        <v>1218</v>
      </c>
      <c r="F311" s="14" t="s">
        <v>1219</v>
      </c>
      <c r="G311" s="4" t="s">
        <v>1216</v>
      </c>
      <c r="H311" s="4" t="s">
        <v>1217</v>
      </c>
      <c r="I311" s="5" t="s">
        <v>23</v>
      </c>
      <c r="J311" s="5" t="s">
        <v>24</v>
      </c>
      <c r="K311" s="5" t="s">
        <v>25</v>
      </c>
      <c r="L311" s="11" t="s">
        <v>26</v>
      </c>
      <c r="M311" s="5" t="s">
        <v>27</v>
      </c>
      <c r="N311" t="str">
        <f t="shared" si="1"/>
        <v>URBS 3</v>
      </c>
      <c r="O311" s="12" t="str">
        <f t="shared" si="2"/>
        <v>https://monitoramento.pm.pr.gov.br/proxy_image_3/Interface/Cameras/GetJPEGStream?Camera=LD014CFTV01&amp;AuthUser=copom_DDTQ&amp;AuthPass=DDTQcopom&amp;Width=1024&amp;Height=768&amp;Quality=70&amp;FPS=10&amp;ResponseFormat=Text</v>
      </c>
      <c r="P311" s="6">
        <v>1.0</v>
      </c>
    </row>
    <row r="312">
      <c r="A312" s="7" t="s">
        <v>981</v>
      </c>
      <c r="B312" s="2" t="s">
        <v>17</v>
      </c>
      <c r="C312" s="13" t="s">
        <v>982</v>
      </c>
      <c r="D312" s="9">
        <v>38601.0</v>
      </c>
      <c r="E312" s="9" t="s">
        <v>1220</v>
      </c>
      <c r="F312" s="14" t="s">
        <v>1221</v>
      </c>
      <c r="G312" s="4" t="s">
        <v>1222</v>
      </c>
      <c r="H312" s="4" t="s">
        <v>1223</v>
      </c>
      <c r="I312" s="5" t="s">
        <v>23</v>
      </c>
      <c r="J312" s="5" t="s">
        <v>24</v>
      </c>
      <c r="K312" s="5" t="s">
        <v>25</v>
      </c>
      <c r="L312" s="11" t="s">
        <v>26</v>
      </c>
      <c r="M312" s="5" t="s">
        <v>27</v>
      </c>
      <c r="N312" t="str">
        <f t="shared" si="1"/>
        <v>URBS 3</v>
      </c>
      <c r="O312" s="12" t="str">
        <f t="shared" si="2"/>
        <v>https://monitoramento.pm.pr.gov.br/proxy_image_3/Interface/Cameras/GetJPEGStream?Camera=LD016CFTV01&amp;AuthUser=copom_DDTQ&amp;AuthPass=DDTQcopom&amp;Width=1024&amp;Height=768&amp;Quality=70&amp;FPS=10&amp;ResponseFormat=Text</v>
      </c>
      <c r="P312" s="6">
        <v>1.0</v>
      </c>
    </row>
    <row r="313">
      <c r="A313" s="7" t="s">
        <v>981</v>
      </c>
      <c r="B313" s="2" t="s">
        <v>17</v>
      </c>
      <c r="C313" s="13" t="s">
        <v>982</v>
      </c>
      <c r="D313" s="9">
        <v>38601.0</v>
      </c>
      <c r="E313" s="9" t="s">
        <v>1224</v>
      </c>
      <c r="F313" s="14" t="s">
        <v>1225</v>
      </c>
      <c r="G313" s="4" t="s">
        <v>1226</v>
      </c>
      <c r="H313" s="4" t="s">
        <v>1227</v>
      </c>
      <c r="I313" s="5" t="s">
        <v>23</v>
      </c>
      <c r="J313" s="5" t="s">
        <v>24</v>
      </c>
      <c r="K313" s="5" t="s">
        <v>25</v>
      </c>
      <c r="L313" s="11" t="s">
        <v>26</v>
      </c>
      <c r="M313" s="5" t="s">
        <v>27</v>
      </c>
      <c r="N313" t="str">
        <f t="shared" si="1"/>
        <v>URBS 3</v>
      </c>
      <c r="O313" s="12" t="str">
        <f t="shared" si="2"/>
        <v>https://monitoramento.pm.pr.gov.br/proxy_image_3/Interface/Cameras/GetJPEGStream?Camera=LD017CFTV01&amp;AuthUser=copom_DDTQ&amp;AuthPass=DDTQcopom&amp;Width=1024&amp;Height=768&amp;Quality=70&amp;FPS=10&amp;ResponseFormat=Text</v>
      </c>
      <c r="P313" s="6">
        <v>1.0</v>
      </c>
    </row>
    <row r="314">
      <c r="A314" s="7" t="s">
        <v>981</v>
      </c>
      <c r="B314" s="2" t="s">
        <v>17</v>
      </c>
      <c r="C314" s="13" t="s">
        <v>982</v>
      </c>
      <c r="D314" s="9">
        <v>38601.0</v>
      </c>
      <c r="E314" s="9" t="s">
        <v>1228</v>
      </c>
      <c r="F314" s="14" t="s">
        <v>1229</v>
      </c>
      <c r="G314" s="4" t="s">
        <v>1230</v>
      </c>
      <c r="H314" s="4" t="s">
        <v>1231</v>
      </c>
      <c r="I314" s="5" t="s">
        <v>23</v>
      </c>
      <c r="J314" s="5" t="s">
        <v>24</v>
      </c>
      <c r="K314" s="5" t="s">
        <v>25</v>
      </c>
      <c r="L314" s="11" t="s">
        <v>26</v>
      </c>
      <c r="M314" s="5" t="s">
        <v>27</v>
      </c>
      <c r="N314" t="str">
        <f t="shared" si="1"/>
        <v>URBS 3</v>
      </c>
      <c r="O314" s="12" t="str">
        <f t="shared" si="2"/>
        <v>https://monitoramento.pm.pr.gov.br/proxy_image_3/Interface/Cameras/GetJPEGStream?Camera=LD020CFTV01&amp;AuthUser=copom_DDTQ&amp;AuthPass=DDTQcopom&amp;Width=1024&amp;Height=768&amp;Quality=70&amp;FPS=10&amp;ResponseFormat=Text</v>
      </c>
      <c r="P314" s="6">
        <v>1.0</v>
      </c>
    </row>
    <row r="315">
      <c r="A315" s="7" t="s">
        <v>981</v>
      </c>
      <c r="B315" s="2" t="s">
        <v>17</v>
      </c>
      <c r="C315" s="13" t="s">
        <v>982</v>
      </c>
      <c r="D315" s="9">
        <v>38601.0</v>
      </c>
      <c r="E315" s="9" t="s">
        <v>1232</v>
      </c>
      <c r="F315" s="14" t="s">
        <v>1233</v>
      </c>
      <c r="G315" s="4" t="s">
        <v>1234</v>
      </c>
      <c r="H315" s="4" t="s">
        <v>1235</v>
      </c>
      <c r="I315" s="5" t="s">
        <v>23</v>
      </c>
      <c r="J315" s="5" t="s">
        <v>24</v>
      </c>
      <c r="K315" s="5" t="s">
        <v>25</v>
      </c>
      <c r="L315" s="11" t="s">
        <v>26</v>
      </c>
      <c r="M315" s="5" t="s">
        <v>27</v>
      </c>
      <c r="N315" t="str">
        <f t="shared" si="1"/>
        <v>URBS 3</v>
      </c>
      <c r="O315" s="12" t="str">
        <f t="shared" si="2"/>
        <v>https://monitoramento.pm.pr.gov.br/proxy_image_3/Interface/Cameras/GetJPEGStream?Camera=LD021CFTV01&amp;AuthUser=copom_DDTQ&amp;AuthPass=DDTQcopom&amp;Width=1024&amp;Height=768&amp;Quality=70&amp;FPS=10&amp;ResponseFormat=Text</v>
      </c>
      <c r="P315" s="6">
        <v>1.0</v>
      </c>
    </row>
    <row r="316">
      <c r="A316" s="7" t="s">
        <v>981</v>
      </c>
      <c r="B316" s="2" t="s">
        <v>17</v>
      </c>
      <c r="C316" s="13" t="s">
        <v>982</v>
      </c>
      <c r="D316" s="9">
        <v>38601.0</v>
      </c>
      <c r="E316" s="9" t="s">
        <v>1236</v>
      </c>
      <c r="F316" s="14" t="s">
        <v>1237</v>
      </c>
      <c r="G316" s="4" t="s">
        <v>1238</v>
      </c>
      <c r="H316" s="4" t="s">
        <v>1239</v>
      </c>
      <c r="I316" s="5" t="s">
        <v>23</v>
      </c>
      <c r="J316" s="5" t="s">
        <v>24</v>
      </c>
      <c r="K316" s="5" t="s">
        <v>25</v>
      </c>
      <c r="L316" s="11" t="s">
        <v>26</v>
      </c>
      <c r="M316" s="5" t="s">
        <v>27</v>
      </c>
      <c r="N316" t="str">
        <f t="shared" si="1"/>
        <v>URBS 3</v>
      </c>
      <c r="O316" s="12" t="str">
        <f t="shared" si="2"/>
        <v>https://monitoramento.pm.pr.gov.br/proxy_image_3/Interface/Cameras/GetJPEGStream?Camera=LD022CFTV01&amp;AuthUser=copom_DDTQ&amp;AuthPass=DDTQcopom&amp;Width=1024&amp;Height=768&amp;Quality=70&amp;FPS=10&amp;ResponseFormat=Text</v>
      </c>
      <c r="P316" s="6">
        <v>1.0</v>
      </c>
    </row>
    <row r="317">
      <c r="A317" s="7" t="s">
        <v>981</v>
      </c>
      <c r="B317" s="2" t="s">
        <v>17</v>
      </c>
      <c r="C317" s="13" t="s">
        <v>982</v>
      </c>
      <c r="D317" s="9">
        <v>38601.0</v>
      </c>
      <c r="E317" s="9" t="s">
        <v>1240</v>
      </c>
      <c r="F317" s="14" t="s">
        <v>1241</v>
      </c>
      <c r="G317" s="4" t="s">
        <v>1242</v>
      </c>
      <c r="H317" s="4" t="s">
        <v>1243</v>
      </c>
      <c r="I317" s="5" t="s">
        <v>23</v>
      </c>
      <c r="J317" s="5" t="s">
        <v>24</v>
      </c>
      <c r="K317" s="5" t="s">
        <v>25</v>
      </c>
      <c r="L317" s="11" t="s">
        <v>26</v>
      </c>
      <c r="M317" s="5" t="s">
        <v>27</v>
      </c>
      <c r="N317" t="str">
        <f t="shared" si="1"/>
        <v>URBS 3</v>
      </c>
      <c r="O317" s="12" t="str">
        <f t="shared" si="2"/>
        <v>https://monitoramento.pm.pr.gov.br/proxy_image_3/Interface/Cameras/GetJPEGStream?Camera=LD023CFTV01&amp;AuthUser=copom_DDTQ&amp;AuthPass=DDTQcopom&amp;Width=1024&amp;Height=768&amp;Quality=70&amp;FPS=10&amp;ResponseFormat=Text</v>
      </c>
      <c r="P317" s="6">
        <v>1.0</v>
      </c>
    </row>
    <row r="318">
      <c r="A318" s="7" t="s">
        <v>981</v>
      </c>
      <c r="B318" s="2" t="s">
        <v>17</v>
      </c>
      <c r="C318" s="13" t="s">
        <v>982</v>
      </c>
      <c r="D318" s="9">
        <v>38601.0</v>
      </c>
      <c r="E318" s="9" t="s">
        <v>1244</v>
      </c>
      <c r="F318" s="14" t="s">
        <v>1245</v>
      </c>
      <c r="G318" s="4" t="s">
        <v>1246</v>
      </c>
      <c r="H318" s="4" t="s">
        <v>1247</v>
      </c>
      <c r="I318" s="5" t="s">
        <v>23</v>
      </c>
      <c r="J318" s="5" t="s">
        <v>24</v>
      </c>
      <c r="K318" s="5" t="s">
        <v>25</v>
      </c>
      <c r="L318" s="11" t="s">
        <v>26</v>
      </c>
      <c r="M318" s="5" t="s">
        <v>27</v>
      </c>
      <c r="N318" t="str">
        <f t="shared" si="1"/>
        <v>URBS 3</v>
      </c>
      <c r="O318" s="12" t="str">
        <f t="shared" si="2"/>
        <v>https://monitoramento.pm.pr.gov.br/proxy_image_3/Interface/Cameras/GetJPEGStream?Camera=LD024CFTV01&amp;AuthUser=copom_DDTQ&amp;AuthPass=DDTQcopom&amp;Width=1024&amp;Height=768&amp;Quality=70&amp;FPS=10&amp;ResponseFormat=Text</v>
      </c>
      <c r="P318" s="6">
        <v>1.0</v>
      </c>
    </row>
    <row r="319">
      <c r="A319" s="7" t="s">
        <v>981</v>
      </c>
      <c r="B319" s="2" t="s">
        <v>17</v>
      </c>
      <c r="C319" s="13" t="s">
        <v>982</v>
      </c>
      <c r="D319" s="9">
        <v>38601.0</v>
      </c>
      <c r="E319" s="9" t="s">
        <v>1248</v>
      </c>
      <c r="F319" s="14" t="s">
        <v>1249</v>
      </c>
      <c r="G319" s="4" t="s">
        <v>1250</v>
      </c>
      <c r="H319" s="4" t="s">
        <v>1251</v>
      </c>
      <c r="I319" s="5" t="s">
        <v>23</v>
      </c>
      <c r="J319" s="5" t="s">
        <v>24</v>
      </c>
      <c r="K319" s="5" t="s">
        <v>25</v>
      </c>
      <c r="L319" s="11" t="s">
        <v>26</v>
      </c>
      <c r="M319" s="5" t="s">
        <v>27</v>
      </c>
      <c r="N319" t="str">
        <f t="shared" si="1"/>
        <v>URBS 3</v>
      </c>
      <c r="O319" s="12" t="str">
        <f t="shared" si="2"/>
        <v>https://monitoramento.pm.pr.gov.br/proxy_image_3/Interface/Cameras/GetJPEGStream?Camera=LD025CFTV01&amp;AuthUser=copom_DDTQ&amp;AuthPass=DDTQcopom&amp;Width=1024&amp;Height=768&amp;Quality=70&amp;FPS=10&amp;ResponseFormat=Text</v>
      </c>
      <c r="P319" s="6">
        <v>1.0</v>
      </c>
    </row>
    <row r="320">
      <c r="A320" s="7" t="s">
        <v>981</v>
      </c>
      <c r="B320" s="2" t="s">
        <v>17</v>
      </c>
      <c r="C320" s="13" t="s">
        <v>982</v>
      </c>
      <c r="D320" s="9">
        <v>38601.0</v>
      </c>
      <c r="E320" s="9" t="s">
        <v>1252</v>
      </c>
      <c r="F320" s="14" t="s">
        <v>1253</v>
      </c>
      <c r="G320" s="4" t="s">
        <v>1254</v>
      </c>
      <c r="H320" s="4" t="s">
        <v>1255</v>
      </c>
      <c r="I320" s="5" t="s">
        <v>23</v>
      </c>
      <c r="J320" s="5" t="s">
        <v>24</v>
      </c>
      <c r="K320" s="5" t="s">
        <v>25</v>
      </c>
      <c r="L320" s="11" t="s">
        <v>26</v>
      </c>
      <c r="M320" s="5" t="s">
        <v>27</v>
      </c>
      <c r="N320" t="str">
        <f t="shared" si="1"/>
        <v>URBS 3</v>
      </c>
      <c r="O320" s="12" t="str">
        <f t="shared" si="2"/>
        <v>https://monitoramento.pm.pr.gov.br/proxy_image_3/Interface/Cameras/GetJPEGStream?Camera=LD026CFTV01&amp;AuthUser=copom_DDTQ&amp;AuthPass=DDTQcopom&amp;Width=1024&amp;Height=768&amp;Quality=70&amp;FPS=10&amp;ResponseFormat=Text</v>
      </c>
      <c r="P320" s="6">
        <v>1.0</v>
      </c>
    </row>
    <row r="321">
      <c r="A321" s="7" t="s">
        <v>981</v>
      </c>
      <c r="B321" s="2" t="s">
        <v>17</v>
      </c>
      <c r="C321" s="13" t="s">
        <v>982</v>
      </c>
      <c r="D321" s="9">
        <v>38601.0</v>
      </c>
      <c r="E321" s="9" t="s">
        <v>1256</v>
      </c>
      <c r="F321" s="14" t="s">
        <v>1257</v>
      </c>
      <c r="G321" s="4" t="s">
        <v>1258</v>
      </c>
      <c r="H321" s="4" t="s">
        <v>1259</v>
      </c>
      <c r="I321" s="5" t="s">
        <v>23</v>
      </c>
      <c r="J321" s="5" t="s">
        <v>24</v>
      </c>
      <c r="K321" s="5" t="s">
        <v>25</v>
      </c>
      <c r="L321" s="11" t="s">
        <v>26</v>
      </c>
      <c r="M321" s="5" t="s">
        <v>27</v>
      </c>
      <c r="N321" t="str">
        <f t="shared" si="1"/>
        <v>URBS 3</v>
      </c>
      <c r="O321" s="12" t="str">
        <f t="shared" si="2"/>
        <v>https://monitoramento.pm.pr.gov.br/proxy_image_3/Interface/Cameras/GetJPEGStream?Camera=LD027CFTV01&amp;AuthUser=copom_DDTQ&amp;AuthPass=DDTQcopom&amp;Width=1024&amp;Height=768&amp;Quality=70&amp;FPS=10&amp;ResponseFormat=Text</v>
      </c>
      <c r="P321" s="6">
        <v>1.0</v>
      </c>
    </row>
    <row r="322">
      <c r="A322" s="7" t="s">
        <v>981</v>
      </c>
      <c r="B322" s="2" t="s">
        <v>17</v>
      </c>
      <c r="C322" s="13" t="s">
        <v>982</v>
      </c>
      <c r="D322" s="9">
        <v>38601.0</v>
      </c>
      <c r="E322" s="9" t="s">
        <v>1260</v>
      </c>
      <c r="F322" s="14" t="s">
        <v>1261</v>
      </c>
      <c r="G322" s="4" t="s">
        <v>1262</v>
      </c>
      <c r="H322" s="4" t="s">
        <v>1263</v>
      </c>
      <c r="I322" s="5" t="s">
        <v>23</v>
      </c>
      <c r="J322" s="5" t="s">
        <v>24</v>
      </c>
      <c r="K322" s="5" t="s">
        <v>25</v>
      </c>
      <c r="L322" s="11" t="s">
        <v>26</v>
      </c>
      <c r="M322" s="5" t="s">
        <v>27</v>
      </c>
      <c r="N322" t="str">
        <f t="shared" si="1"/>
        <v>URBS 3</v>
      </c>
      <c r="O322" s="12" t="str">
        <f t="shared" si="2"/>
        <v>https://monitoramento.pm.pr.gov.br/proxy_image_3/Interface/Cameras/GetJPEGStream?Camera=LD029CFTV01&amp;AuthUser=copom_DDTQ&amp;AuthPass=DDTQcopom&amp;Width=1024&amp;Height=768&amp;Quality=70&amp;FPS=10&amp;ResponseFormat=Text</v>
      </c>
      <c r="P322" s="6">
        <v>1.0</v>
      </c>
    </row>
    <row r="323">
      <c r="A323" s="7" t="s">
        <v>981</v>
      </c>
      <c r="B323" s="2" t="s">
        <v>17</v>
      </c>
      <c r="C323" s="13" t="s">
        <v>982</v>
      </c>
      <c r="D323" s="9">
        <v>38601.0</v>
      </c>
      <c r="E323" s="9" t="s">
        <v>1264</v>
      </c>
      <c r="F323" s="14" t="s">
        <v>1265</v>
      </c>
      <c r="G323" s="4" t="s">
        <v>1266</v>
      </c>
      <c r="H323" s="4" t="s">
        <v>1267</v>
      </c>
      <c r="I323" s="5" t="s">
        <v>23</v>
      </c>
      <c r="J323" s="5" t="s">
        <v>24</v>
      </c>
      <c r="K323" s="5" t="s">
        <v>25</v>
      </c>
      <c r="L323" s="11" t="s">
        <v>26</v>
      </c>
      <c r="M323" s="5" t="s">
        <v>27</v>
      </c>
      <c r="N323" t="str">
        <f t="shared" si="1"/>
        <v>URBS 3</v>
      </c>
      <c r="O323" s="12" t="str">
        <f t="shared" si="2"/>
        <v>https://monitoramento.pm.pr.gov.br/proxy_image_3/Interface/Cameras/GetJPEGStream?Camera=LD029CFTV02&amp;AuthUser=copom_DDTQ&amp;AuthPass=DDTQcopom&amp;Width=1024&amp;Height=768&amp;Quality=70&amp;FPS=10&amp;ResponseFormat=Text</v>
      </c>
      <c r="P323" s="6">
        <v>1.0</v>
      </c>
    </row>
    <row r="324">
      <c r="A324" s="7" t="s">
        <v>981</v>
      </c>
      <c r="B324" s="2" t="s">
        <v>17</v>
      </c>
      <c r="C324" s="13" t="s">
        <v>982</v>
      </c>
      <c r="D324" s="9">
        <v>38601.0</v>
      </c>
      <c r="E324" s="9" t="s">
        <v>1268</v>
      </c>
      <c r="F324" s="14" t="s">
        <v>1269</v>
      </c>
      <c r="G324" s="4" t="s">
        <v>1270</v>
      </c>
      <c r="H324" s="4" t="s">
        <v>1271</v>
      </c>
      <c r="I324" s="5" t="s">
        <v>23</v>
      </c>
      <c r="J324" s="5" t="s">
        <v>24</v>
      </c>
      <c r="K324" s="5" t="s">
        <v>25</v>
      </c>
      <c r="L324" s="11" t="s">
        <v>26</v>
      </c>
      <c r="M324" s="5" t="s">
        <v>27</v>
      </c>
      <c r="N324" t="str">
        <f t="shared" si="1"/>
        <v>URBS 3</v>
      </c>
      <c r="O324" s="12" t="str">
        <f t="shared" si="2"/>
        <v>https://monitoramento.pm.pr.gov.br/proxy_image_3/Interface/Cameras/GetJPEGStream?Camera=LD030CFTV01&amp;AuthUser=copom_DDTQ&amp;AuthPass=DDTQcopom&amp;Width=1024&amp;Height=768&amp;Quality=70&amp;FPS=10&amp;ResponseFormat=Text</v>
      </c>
      <c r="P324" s="6">
        <v>1.0</v>
      </c>
    </row>
    <row r="325">
      <c r="A325" s="7" t="s">
        <v>981</v>
      </c>
      <c r="B325" s="2" t="s">
        <v>17</v>
      </c>
      <c r="C325" s="13" t="s">
        <v>982</v>
      </c>
      <c r="D325" s="9">
        <v>38601.0</v>
      </c>
      <c r="E325" s="9" t="s">
        <v>1272</v>
      </c>
      <c r="F325" s="14" t="s">
        <v>1273</v>
      </c>
      <c r="G325" s="4" t="s">
        <v>1274</v>
      </c>
      <c r="H325" s="4" t="s">
        <v>1275</v>
      </c>
      <c r="I325" s="5" t="s">
        <v>23</v>
      </c>
      <c r="J325" s="5" t="s">
        <v>24</v>
      </c>
      <c r="K325" s="5" t="s">
        <v>25</v>
      </c>
      <c r="L325" s="11" t="s">
        <v>26</v>
      </c>
      <c r="M325" s="5" t="s">
        <v>27</v>
      </c>
      <c r="N325" t="str">
        <f t="shared" si="1"/>
        <v>URBS 3</v>
      </c>
      <c r="O325" s="12" t="str">
        <f t="shared" si="2"/>
        <v>https://monitoramento.pm.pr.gov.br/proxy_image_3/Interface/Cameras/GetJPEGStream?Camera=LD030CFTV02&amp;AuthUser=copom_DDTQ&amp;AuthPass=DDTQcopom&amp;Width=1024&amp;Height=768&amp;Quality=70&amp;FPS=10&amp;ResponseFormat=Text</v>
      </c>
      <c r="P325" s="6">
        <v>1.0</v>
      </c>
    </row>
    <row r="326">
      <c r="A326" s="7" t="s">
        <v>981</v>
      </c>
      <c r="B326" s="2" t="s">
        <v>17</v>
      </c>
      <c r="C326" s="13" t="s">
        <v>982</v>
      </c>
      <c r="D326" s="9">
        <v>38601.0</v>
      </c>
      <c r="E326" s="9" t="s">
        <v>1276</v>
      </c>
      <c r="F326" s="14" t="s">
        <v>1277</v>
      </c>
      <c r="G326" s="4" t="s">
        <v>1278</v>
      </c>
      <c r="H326" s="4" t="s">
        <v>1279</v>
      </c>
      <c r="I326" s="5" t="s">
        <v>23</v>
      </c>
      <c r="J326" s="5" t="s">
        <v>24</v>
      </c>
      <c r="K326" s="5" t="s">
        <v>25</v>
      </c>
      <c r="L326" s="11" t="s">
        <v>26</v>
      </c>
      <c r="M326" s="5" t="s">
        <v>27</v>
      </c>
      <c r="N326" t="str">
        <f t="shared" si="1"/>
        <v>URBS 3</v>
      </c>
      <c r="O326" s="12" t="str">
        <f t="shared" si="2"/>
        <v>https://monitoramento.pm.pr.gov.br/proxy_image_3/Interface/Cameras/GetJPEGStream?Camera=LD031CFTV01&amp;AuthUser=copom_DDTQ&amp;AuthPass=DDTQcopom&amp;Width=1024&amp;Height=768&amp;Quality=70&amp;FPS=10&amp;ResponseFormat=Text</v>
      </c>
      <c r="P326" s="6">
        <v>1.0</v>
      </c>
    </row>
    <row r="327">
      <c r="A327" s="7" t="s">
        <v>981</v>
      </c>
      <c r="B327" s="2" t="s">
        <v>17</v>
      </c>
      <c r="C327" s="13" t="s">
        <v>982</v>
      </c>
      <c r="D327" s="9">
        <v>38601.0</v>
      </c>
      <c r="E327" s="9" t="s">
        <v>1280</v>
      </c>
      <c r="F327" s="14" t="s">
        <v>1281</v>
      </c>
      <c r="G327" s="4" t="s">
        <v>1282</v>
      </c>
      <c r="H327" s="4" t="s">
        <v>1283</v>
      </c>
      <c r="I327" s="5" t="s">
        <v>23</v>
      </c>
      <c r="J327" s="5" t="s">
        <v>24</v>
      </c>
      <c r="K327" s="5" t="s">
        <v>25</v>
      </c>
      <c r="L327" s="11" t="s">
        <v>26</v>
      </c>
      <c r="M327" s="5" t="s">
        <v>27</v>
      </c>
      <c r="N327" t="str">
        <f t="shared" si="1"/>
        <v>URBS 3</v>
      </c>
      <c r="O327" s="12" t="str">
        <f t="shared" si="2"/>
        <v>https://monitoramento.pm.pr.gov.br/proxy_image_3/Interface/Cameras/GetJPEGStream?Camera=LD032CFTV01&amp;AuthUser=copom_DDTQ&amp;AuthPass=DDTQcopom&amp;Width=1024&amp;Height=768&amp;Quality=70&amp;FPS=10&amp;ResponseFormat=Text</v>
      </c>
      <c r="P327" s="6">
        <v>1.0</v>
      </c>
    </row>
    <row r="328">
      <c r="A328" s="7" t="s">
        <v>981</v>
      </c>
      <c r="B328" s="2" t="s">
        <v>17</v>
      </c>
      <c r="C328" s="13" t="s">
        <v>982</v>
      </c>
      <c r="D328" s="9">
        <v>38601.0</v>
      </c>
      <c r="E328" s="9" t="s">
        <v>1284</v>
      </c>
      <c r="F328" s="14" t="s">
        <v>1285</v>
      </c>
      <c r="G328" s="4" t="s">
        <v>1286</v>
      </c>
      <c r="H328" s="4" t="s">
        <v>1287</v>
      </c>
      <c r="I328" s="5" t="s">
        <v>23</v>
      </c>
      <c r="J328" s="5" t="s">
        <v>24</v>
      </c>
      <c r="K328" s="5" t="s">
        <v>25</v>
      </c>
      <c r="L328" s="11" t="s">
        <v>26</v>
      </c>
      <c r="M328" s="5" t="s">
        <v>27</v>
      </c>
      <c r="N328" t="str">
        <f t="shared" si="1"/>
        <v>URBS 3</v>
      </c>
      <c r="O328" s="12" t="str">
        <f t="shared" si="2"/>
        <v>https://monitoramento.pm.pr.gov.br/proxy_image_3/Interface/Cameras/GetJPEGStream?Camera=LD033CFTV01&amp;AuthUser=copom_DDTQ&amp;AuthPass=DDTQcopom&amp;Width=1024&amp;Height=768&amp;Quality=70&amp;FPS=10&amp;ResponseFormat=Text</v>
      </c>
      <c r="P328" s="6">
        <v>1.0</v>
      </c>
    </row>
    <row r="329">
      <c r="A329" s="7" t="s">
        <v>981</v>
      </c>
      <c r="B329" s="2" t="s">
        <v>17</v>
      </c>
      <c r="C329" s="13" t="s">
        <v>982</v>
      </c>
      <c r="D329" s="9">
        <v>38601.0</v>
      </c>
      <c r="E329" s="9" t="s">
        <v>1288</v>
      </c>
      <c r="F329" s="14" t="s">
        <v>1289</v>
      </c>
      <c r="G329" s="4" t="s">
        <v>1290</v>
      </c>
      <c r="H329" s="4" t="s">
        <v>1291</v>
      </c>
      <c r="I329" s="5" t="s">
        <v>23</v>
      </c>
      <c r="J329" s="5" t="s">
        <v>24</v>
      </c>
      <c r="K329" s="5" t="s">
        <v>25</v>
      </c>
      <c r="L329" s="11" t="s">
        <v>26</v>
      </c>
      <c r="M329" s="5" t="s">
        <v>27</v>
      </c>
      <c r="N329" t="str">
        <f t="shared" si="1"/>
        <v>URBS 3</v>
      </c>
      <c r="O329" s="12" t="str">
        <f t="shared" si="2"/>
        <v>https://monitoramento.pm.pr.gov.br/proxy_image_3/Interface/Cameras/GetJPEGStream?Camera=LD035CFTV01&amp;AuthUser=copom_DDTQ&amp;AuthPass=DDTQcopom&amp;Width=1024&amp;Height=768&amp;Quality=70&amp;FPS=10&amp;ResponseFormat=Text</v>
      </c>
      <c r="P329" s="6">
        <v>1.0</v>
      </c>
    </row>
    <row r="330">
      <c r="A330" s="7" t="s">
        <v>981</v>
      </c>
      <c r="B330" s="2" t="s">
        <v>17</v>
      </c>
      <c r="C330" s="13" t="s">
        <v>982</v>
      </c>
      <c r="D330" s="9">
        <v>38601.0</v>
      </c>
      <c r="E330" s="9" t="s">
        <v>1292</v>
      </c>
      <c r="F330" s="14" t="s">
        <v>1293</v>
      </c>
      <c r="G330" s="4" t="s">
        <v>1294</v>
      </c>
      <c r="H330" s="4" t="s">
        <v>1295</v>
      </c>
      <c r="I330" s="5" t="s">
        <v>23</v>
      </c>
      <c r="J330" s="5" t="s">
        <v>24</v>
      </c>
      <c r="K330" s="5" t="s">
        <v>25</v>
      </c>
      <c r="L330" s="11" t="s">
        <v>26</v>
      </c>
      <c r="M330" s="5" t="s">
        <v>27</v>
      </c>
      <c r="N330" t="str">
        <f t="shared" si="1"/>
        <v>URBS 3</v>
      </c>
      <c r="O330" s="12" t="str">
        <f t="shared" si="2"/>
        <v>https://monitoramento.pm.pr.gov.br/proxy_image_3/Interface/Cameras/GetJPEGStream?Camera=LD035CFTV02&amp;AuthUser=copom_DDTQ&amp;AuthPass=DDTQcopom&amp;Width=1024&amp;Height=768&amp;Quality=70&amp;FPS=10&amp;ResponseFormat=Text</v>
      </c>
      <c r="P330" s="6">
        <v>1.0</v>
      </c>
    </row>
    <row r="331">
      <c r="A331" s="7" t="s">
        <v>981</v>
      </c>
      <c r="B331" s="2" t="s">
        <v>17</v>
      </c>
      <c r="C331" s="13" t="s">
        <v>982</v>
      </c>
      <c r="D331" s="9">
        <v>38601.0</v>
      </c>
      <c r="E331" s="9" t="s">
        <v>1296</v>
      </c>
      <c r="F331" s="16" t="s">
        <v>1297</v>
      </c>
      <c r="G331" s="4" t="s">
        <v>1298</v>
      </c>
      <c r="H331" s="4" t="s">
        <v>1299</v>
      </c>
      <c r="I331" s="5" t="s">
        <v>23</v>
      </c>
      <c r="J331" s="5" t="s">
        <v>24</v>
      </c>
      <c r="K331" s="5" t="s">
        <v>25</v>
      </c>
      <c r="L331" s="11" t="s">
        <v>26</v>
      </c>
      <c r="M331" s="5" t="s">
        <v>27</v>
      </c>
      <c r="N331" t="str">
        <f t="shared" si="1"/>
        <v>URBS 3</v>
      </c>
      <c r="O331" s="12" t="str">
        <f t="shared" si="2"/>
        <v>https://monitoramento.pm.pr.gov.br/proxy_image_3/Interface/Cameras/GetJPEGStream?Camera=LD041CFTV01&amp;AuthUser=copom_DDTQ&amp;AuthPass=DDTQcopom&amp;Width=1024&amp;Height=768&amp;Quality=70&amp;FPS=10&amp;ResponseFormat=Text</v>
      </c>
      <c r="P331" s="6">
        <v>1.0</v>
      </c>
    </row>
    <row r="332">
      <c r="A332" s="7" t="s">
        <v>981</v>
      </c>
      <c r="B332" s="2" t="s">
        <v>17</v>
      </c>
      <c r="C332" s="13" t="s">
        <v>982</v>
      </c>
      <c r="D332" s="9">
        <v>38601.0</v>
      </c>
      <c r="E332" s="9" t="s">
        <v>1300</v>
      </c>
      <c r="F332" s="16" t="s">
        <v>1301</v>
      </c>
      <c r="G332" s="4" t="s">
        <v>1302</v>
      </c>
      <c r="H332" s="4" t="s">
        <v>1303</v>
      </c>
      <c r="I332" s="5" t="s">
        <v>23</v>
      </c>
      <c r="J332" s="5" t="s">
        <v>24</v>
      </c>
      <c r="K332" s="5" t="s">
        <v>25</v>
      </c>
      <c r="L332" s="11" t="s">
        <v>26</v>
      </c>
      <c r="M332" s="5" t="s">
        <v>27</v>
      </c>
      <c r="N332" t="str">
        <f t="shared" si="1"/>
        <v>URBS 3</v>
      </c>
      <c r="O332" s="12" t="str">
        <f t="shared" si="2"/>
        <v>https://monitoramento.pm.pr.gov.br/proxy_image_3/Interface/Cameras/GetJPEGStream?Camera=LD041CFTV02&amp;AuthUser=copom_DDTQ&amp;AuthPass=DDTQcopom&amp;Width=1024&amp;Height=768&amp;Quality=70&amp;FPS=10&amp;ResponseFormat=Text</v>
      </c>
      <c r="P332" s="6">
        <v>1.0</v>
      </c>
    </row>
    <row r="333">
      <c r="A333" s="7" t="s">
        <v>981</v>
      </c>
      <c r="B333" s="2" t="s">
        <v>17</v>
      </c>
      <c r="C333" s="13" t="s">
        <v>982</v>
      </c>
      <c r="D333" s="9">
        <v>38601.0</v>
      </c>
      <c r="E333" s="9" t="s">
        <v>1304</v>
      </c>
      <c r="F333" s="14" t="s">
        <v>1305</v>
      </c>
      <c r="G333" s="4" t="s">
        <v>1306</v>
      </c>
      <c r="H333" s="4" t="s">
        <v>1307</v>
      </c>
      <c r="I333" s="5" t="s">
        <v>23</v>
      </c>
      <c r="J333" s="5" t="s">
        <v>24</v>
      </c>
      <c r="K333" s="5" t="s">
        <v>25</v>
      </c>
      <c r="L333" s="11" t="s">
        <v>26</v>
      </c>
      <c r="M333" s="5" t="s">
        <v>27</v>
      </c>
      <c r="N333" t="str">
        <f t="shared" si="1"/>
        <v>URBS 3</v>
      </c>
      <c r="O333" s="12" t="str">
        <f t="shared" si="2"/>
        <v>https://monitoramento.pm.pr.gov.br/proxy_image_3/Interface/Cameras/GetJPEGStream?Camera=LD042CFTV01&amp;AuthUser=copom_DDTQ&amp;AuthPass=DDTQcopom&amp;Width=1024&amp;Height=768&amp;Quality=70&amp;FPS=10&amp;ResponseFormat=Text</v>
      </c>
      <c r="P333" s="6">
        <v>1.0</v>
      </c>
    </row>
    <row r="334">
      <c r="A334" s="7" t="s">
        <v>981</v>
      </c>
      <c r="B334" s="2" t="s">
        <v>17</v>
      </c>
      <c r="C334" s="13" t="s">
        <v>982</v>
      </c>
      <c r="D334" s="9">
        <v>38601.0</v>
      </c>
      <c r="E334" s="9" t="s">
        <v>1308</v>
      </c>
      <c r="F334" s="14" t="s">
        <v>1309</v>
      </c>
      <c r="G334" s="4" t="s">
        <v>1310</v>
      </c>
      <c r="H334" s="4" t="s">
        <v>1311</v>
      </c>
      <c r="I334" s="5" t="s">
        <v>23</v>
      </c>
      <c r="J334" s="5" t="s">
        <v>24</v>
      </c>
      <c r="K334" s="5" t="s">
        <v>25</v>
      </c>
      <c r="L334" s="11" t="s">
        <v>26</v>
      </c>
      <c r="M334" s="5" t="s">
        <v>27</v>
      </c>
      <c r="N334" t="str">
        <f t="shared" si="1"/>
        <v>URBS 3</v>
      </c>
      <c r="O334" s="12" t="str">
        <f t="shared" si="2"/>
        <v>https://monitoramento.pm.pr.gov.br/proxy_image_3/Interface/Cameras/GetJPEGStream?Camera=LD042CFTV02&amp;AuthUser=copom_DDTQ&amp;AuthPass=DDTQcopom&amp;Width=1024&amp;Height=768&amp;Quality=70&amp;FPS=10&amp;ResponseFormat=Text</v>
      </c>
      <c r="P334" s="6">
        <v>1.0</v>
      </c>
    </row>
    <row r="335">
      <c r="A335" s="7" t="s">
        <v>981</v>
      </c>
      <c r="B335" s="2" t="s">
        <v>17</v>
      </c>
      <c r="C335" s="13" t="s">
        <v>982</v>
      </c>
      <c r="D335" s="9">
        <v>38601.0</v>
      </c>
      <c r="E335" s="9" t="s">
        <v>1312</v>
      </c>
      <c r="F335" s="14" t="s">
        <v>1313</v>
      </c>
      <c r="G335" s="4" t="s">
        <v>1314</v>
      </c>
      <c r="H335" s="4" t="s">
        <v>1315</v>
      </c>
      <c r="I335" s="5" t="s">
        <v>23</v>
      </c>
      <c r="J335" s="5" t="s">
        <v>24</v>
      </c>
      <c r="K335" s="5" t="s">
        <v>25</v>
      </c>
      <c r="L335" s="11" t="s">
        <v>26</v>
      </c>
      <c r="M335" s="5" t="s">
        <v>27</v>
      </c>
      <c r="N335" t="str">
        <f t="shared" si="1"/>
        <v>URBS 3</v>
      </c>
      <c r="O335" s="12" t="str">
        <f t="shared" si="2"/>
        <v>https://monitoramento.pm.pr.gov.br/proxy_image_3/Interface/Cameras/GetJPEGStream?Camera=LD043CFTV01&amp;AuthUser=copom_DDTQ&amp;AuthPass=DDTQcopom&amp;Width=1024&amp;Height=768&amp;Quality=70&amp;FPS=10&amp;ResponseFormat=Text</v>
      </c>
      <c r="P335" s="6">
        <v>1.0</v>
      </c>
    </row>
    <row r="336">
      <c r="A336" s="7" t="s">
        <v>981</v>
      </c>
      <c r="B336" s="2" t="s">
        <v>17</v>
      </c>
      <c r="C336" s="13" t="s">
        <v>982</v>
      </c>
      <c r="D336" s="9">
        <v>38601.0</v>
      </c>
      <c r="E336" s="9" t="s">
        <v>1316</v>
      </c>
      <c r="F336" s="14" t="s">
        <v>1317</v>
      </c>
      <c r="G336" s="4" t="s">
        <v>1318</v>
      </c>
      <c r="H336" s="4" t="s">
        <v>1319</v>
      </c>
      <c r="I336" s="5" t="s">
        <v>23</v>
      </c>
      <c r="J336" s="5" t="s">
        <v>24</v>
      </c>
      <c r="K336" s="5" t="s">
        <v>25</v>
      </c>
      <c r="L336" s="11" t="s">
        <v>26</v>
      </c>
      <c r="M336" s="5" t="s">
        <v>27</v>
      </c>
      <c r="N336" t="str">
        <f t="shared" si="1"/>
        <v>URBS 3</v>
      </c>
      <c r="O336" s="12" t="str">
        <f t="shared" si="2"/>
        <v>https://monitoramento.pm.pr.gov.br/proxy_image_3/Interface/Cameras/GetJPEGStream?Camera=LD043CFTV02&amp;AuthUser=copom_DDTQ&amp;AuthPass=DDTQcopom&amp;Width=1024&amp;Height=768&amp;Quality=70&amp;FPS=10&amp;ResponseFormat=Text</v>
      </c>
      <c r="P336" s="6">
        <v>1.0</v>
      </c>
    </row>
    <row r="337">
      <c r="A337" s="7" t="s">
        <v>981</v>
      </c>
      <c r="B337" s="2" t="s">
        <v>17</v>
      </c>
      <c r="C337" s="13" t="s">
        <v>982</v>
      </c>
      <c r="D337" s="9">
        <v>38601.0</v>
      </c>
      <c r="E337" s="9" t="s">
        <v>1320</v>
      </c>
      <c r="F337" s="14" t="s">
        <v>1321</v>
      </c>
      <c r="G337" s="4" t="s">
        <v>1322</v>
      </c>
      <c r="H337" s="4" t="s">
        <v>1323</v>
      </c>
      <c r="I337" s="5" t="s">
        <v>23</v>
      </c>
      <c r="J337" s="5" t="s">
        <v>24</v>
      </c>
      <c r="K337" s="5" t="s">
        <v>25</v>
      </c>
      <c r="L337" s="11" t="s">
        <v>26</v>
      </c>
      <c r="M337" s="5" t="s">
        <v>27</v>
      </c>
      <c r="N337" t="str">
        <f t="shared" si="1"/>
        <v>URBS 3</v>
      </c>
      <c r="O337" s="12" t="str">
        <f t="shared" si="2"/>
        <v>https://monitoramento.pm.pr.gov.br/proxy_image_3/Interface/Cameras/GetJPEGStream?Camera=LD044CFTV01&amp;AuthUser=copom_DDTQ&amp;AuthPass=DDTQcopom&amp;Width=1024&amp;Height=768&amp;Quality=70&amp;FPS=10&amp;ResponseFormat=Text</v>
      </c>
      <c r="P337" s="6">
        <v>1.0</v>
      </c>
    </row>
    <row r="338">
      <c r="A338" s="7" t="s">
        <v>981</v>
      </c>
      <c r="B338" s="2" t="s">
        <v>17</v>
      </c>
      <c r="C338" s="13" t="s">
        <v>982</v>
      </c>
      <c r="D338" s="9">
        <v>38601.0</v>
      </c>
      <c r="E338" s="9" t="s">
        <v>1324</v>
      </c>
      <c r="F338" s="14" t="s">
        <v>1325</v>
      </c>
      <c r="G338" s="4" t="s">
        <v>1326</v>
      </c>
      <c r="H338" s="4" t="s">
        <v>1327</v>
      </c>
      <c r="I338" s="5" t="s">
        <v>23</v>
      </c>
      <c r="J338" s="5" t="s">
        <v>24</v>
      </c>
      <c r="K338" s="5" t="s">
        <v>25</v>
      </c>
      <c r="L338" s="11" t="s">
        <v>26</v>
      </c>
      <c r="M338" s="5" t="s">
        <v>27</v>
      </c>
      <c r="N338" t="str">
        <f t="shared" si="1"/>
        <v>URBS 3</v>
      </c>
      <c r="O338" s="12" t="str">
        <f t="shared" si="2"/>
        <v>https://monitoramento.pm.pr.gov.br/proxy_image_3/Interface/Cameras/GetJPEGStream?Camera=LD044CFTV02&amp;AuthUser=copom_DDTQ&amp;AuthPass=DDTQcopom&amp;Width=1024&amp;Height=768&amp;Quality=70&amp;FPS=10&amp;ResponseFormat=Text</v>
      </c>
      <c r="P338" s="6">
        <v>1.0</v>
      </c>
    </row>
    <row r="339">
      <c r="A339" s="7" t="s">
        <v>981</v>
      </c>
      <c r="B339" s="2" t="s">
        <v>17</v>
      </c>
      <c r="C339" s="13" t="s">
        <v>982</v>
      </c>
      <c r="D339" s="9">
        <v>38601.0</v>
      </c>
      <c r="E339" s="9" t="s">
        <v>1328</v>
      </c>
      <c r="F339" s="14" t="s">
        <v>1329</v>
      </c>
      <c r="G339" s="4" t="s">
        <v>1330</v>
      </c>
      <c r="H339" s="4" t="s">
        <v>1331</v>
      </c>
      <c r="I339" s="5" t="s">
        <v>23</v>
      </c>
      <c r="J339" s="5" t="s">
        <v>24</v>
      </c>
      <c r="K339" s="5" t="s">
        <v>25</v>
      </c>
      <c r="L339" s="11" t="s">
        <v>26</v>
      </c>
      <c r="M339" s="5" t="s">
        <v>27</v>
      </c>
      <c r="N339" t="str">
        <f t="shared" si="1"/>
        <v>URBS 3</v>
      </c>
      <c r="O339" s="12" t="str">
        <f t="shared" si="2"/>
        <v>https://monitoramento.pm.pr.gov.br/proxy_image_3/Interface/Cameras/GetJPEGStream?Camera=LD045CFTV01&amp;AuthUser=copom_DDTQ&amp;AuthPass=DDTQcopom&amp;Width=1024&amp;Height=768&amp;Quality=70&amp;FPS=10&amp;ResponseFormat=Text</v>
      </c>
      <c r="P339" s="6">
        <v>1.0</v>
      </c>
    </row>
    <row r="340">
      <c r="A340" s="7" t="s">
        <v>981</v>
      </c>
      <c r="B340" s="2" t="s">
        <v>17</v>
      </c>
      <c r="C340" s="13" t="s">
        <v>982</v>
      </c>
      <c r="D340" s="9">
        <v>38601.0</v>
      </c>
      <c r="E340" s="9" t="s">
        <v>1332</v>
      </c>
      <c r="F340" s="16" t="s">
        <v>1333</v>
      </c>
      <c r="G340" s="4" t="s">
        <v>1334</v>
      </c>
      <c r="H340" s="4" t="s">
        <v>1335</v>
      </c>
      <c r="I340" s="5" t="s">
        <v>23</v>
      </c>
      <c r="J340" s="5" t="s">
        <v>24</v>
      </c>
      <c r="K340" s="5" t="s">
        <v>25</v>
      </c>
      <c r="L340" s="11" t="s">
        <v>26</v>
      </c>
      <c r="M340" s="5" t="s">
        <v>27</v>
      </c>
      <c r="N340" t="str">
        <f t="shared" si="1"/>
        <v>URBS 3</v>
      </c>
      <c r="O340" s="12" t="str">
        <f t="shared" si="2"/>
        <v>https://monitoramento.pm.pr.gov.br/proxy_image_3/Interface/Cameras/GetJPEGStream?Camera=LD045CFTV02&amp;AuthUser=copom_DDTQ&amp;AuthPass=DDTQcopom&amp;Width=1024&amp;Height=768&amp;Quality=70&amp;FPS=10&amp;ResponseFormat=Text</v>
      </c>
      <c r="P340" s="6">
        <v>1.0</v>
      </c>
    </row>
    <row r="341">
      <c r="A341" s="7" t="s">
        <v>981</v>
      </c>
      <c r="B341" s="2" t="s">
        <v>17</v>
      </c>
      <c r="C341" s="13" t="s">
        <v>982</v>
      </c>
      <c r="D341" s="9">
        <v>38601.0</v>
      </c>
      <c r="E341" s="9" t="s">
        <v>1336</v>
      </c>
      <c r="F341" s="14" t="s">
        <v>1337</v>
      </c>
      <c r="G341" s="4" t="s">
        <v>1338</v>
      </c>
      <c r="H341" s="4" t="s">
        <v>1339</v>
      </c>
      <c r="I341" s="5" t="s">
        <v>23</v>
      </c>
      <c r="J341" s="5" t="s">
        <v>24</v>
      </c>
      <c r="K341" s="5" t="s">
        <v>25</v>
      </c>
      <c r="L341" s="11" t="s">
        <v>26</v>
      </c>
      <c r="M341" s="5" t="s">
        <v>27</v>
      </c>
      <c r="N341" t="str">
        <f t="shared" si="1"/>
        <v>URBS 3</v>
      </c>
      <c r="O341" s="12" t="str">
        <f t="shared" si="2"/>
        <v>https://monitoramento.pm.pr.gov.br/proxy_image_3/Interface/Cameras/GetJPEGStream?Camera=LD046CFTV01&amp;AuthUser=copom_DDTQ&amp;AuthPass=DDTQcopom&amp;Width=1024&amp;Height=768&amp;Quality=70&amp;FPS=10&amp;ResponseFormat=Text</v>
      </c>
      <c r="P341" s="6">
        <v>1.0</v>
      </c>
    </row>
    <row r="342">
      <c r="A342" s="7" t="s">
        <v>981</v>
      </c>
      <c r="B342" s="2" t="s">
        <v>17</v>
      </c>
      <c r="C342" s="13" t="s">
        <v>982</v>
      </c>
      <c r="D342" s="9">
        <v>38601.0</v>
      </c>
      <c r="E342" s="9" t="s">
        <v>1340</v>
      </c>
      <c r="F342" s="14" t="s">
        <v>1341</v>
      </c>
      <c r="G342" s="4" t="s">
        <v>1342</v>
      </c>
      <c r="H342" s="4" t="s">
        <v>1343</v>
      </c>
      <c r="I342" s="5" t="s">
        <v>23</v>
      </c>
      <c r="J342" s="5" t="s">
        <v>24</v>
      </c>
      <c r="K342" s="5" t="s">
        <v>25</v>
      </c>
      <c r="L342" s="11" t="s">
        <v>26</v>
      </c>
      <c r="M342" s="5" t="s">
        <v>27</v>
      </c>
      <c r="N342" t="str">
        <f t="shared" si="1"/>
        <v>URBS 3</v>
      </c>
      <c r="O342" s="12" t="str">
        <f t="shared" si="2"/>
        <v>https://monitoramento.pm.pr.gov.br/proxy_image_3/Interface/Cameras/GetJPEGStream?Camera=LD046CFTV02&amp;AuthUser=copom_DDTQ&amp;AuthPass=DDTQcopom&amp;Width=1024&amp;Height=768&amp;Quality=70&amp;FPS=10&amp;ResponseFormat=Text</v>
      </c>
      <c r="P342" s="6">
        <v>1.0</v>
      </c>
    </row>
    <row r="343">
      <c r="A343" s="7" t="s">
        <v>981</v>
      </c>
      <c r="B343" s="2" t="s">
        <v>17</v>
      </c>
      <c r="C343" s="13" t="s">
        <v>982</v>
      </c>
      <c r="D343" s="9">
        <v>38601.0</v>
      </c>
      <c r="E343" s="9" t="s">
        <v>1344</v>
      </c>
      <c r="F343" s="16" t="s">
        <v>1345</v>
      </c>
      <c r="G343" s="4" t="s">
        <v>1346</v>
      </c>
      <c r="H343" s="4" t="s">
        <v>1347</v>
      </c>
      <c r="I343" s="5" t="s">
        <v>23</v>
      </c>
      <c r="J343" s="5" t="s">
        <v>24</v>
      </c>
      <c r="K343" s="5" t="s">
        <v>25</v>
      </c>
      <c r="L343" s="11" t="s">
        <v>26</v>
      </c>
      <c r="M343" s="5" t="s">
        <v>27</v>
      </c>
      <c r="N343" t="str">
        <f t="shared" si="1"/>
        <v>URBS 3</v>
      </c>
      <c r="O343" s="12" t="str">
        <f t="shared" si="2"/>
        <v>https://monitoramento.pm.pr.gov.br/proxy_image_3/Interface/Cameras/GetJPEGStream?Camera=LD047CFTV01&amp;AuthUser=copom_DDTQ&amp;AuthPass=DDTQcopom&amp;Width=1024&amp;Height=768&amp;Quality=70&amp;FPS=10&amp;ResponseFormat=Text</v>
      </c>
      <c r="P343" s="6">
        <v>1.0</v>
      </c>
    </row>
    <row r="344">
      <c r="A344" s="7" t="s">
        <v>981</v>
      </c>
      <c r="B344" s="2" t="s">
        <v>17</v>
      </c>
      <c r="C344" s="13" t="s">
        <v>982</v>
      </c>
      <c r="D344" s="9">
        <v>38601.0</v>
      </c>
      <c r="E344" s="9" t="s">
        <v>1348</v>
      </c>
      <c r="F344" s="16" t="s">
        <v>1349</v>
      </c>
      <c r="G344" s="4" t="s">
        <v>1350</v>
      </c>
      <c r="H344" s="4" t="s">
        <v>1351</v>
      </c>
      <c r="I344" s="5" t="s">
        <v>23</v>
      </c>
      <c r="J344" s="5" t="s">
        <v>24</v>
      </c>
      <c r="K344" s="5" t="s">
        <v>25</v>
      </c>
      <c r="L344" s="11" t="s">
        <v>26</v>
      </c>
      <c r="M344" s="5" t="s">
        <v>27</v>
      </c>
      <c r="N344" t="str">
        <f t="shared" si="1"/>
        <v>URBS 3</v>
      </c>
      <c r="O344" s="12" t="str">
        <f t="shared" si="2"/>
        <v>https://monitoramento.pm.pr.gov.br/proxy_image_3/Interface/Cameras/GetJPEGStream?Camera=LD047CFTV02&amp;AuthUser=copom_DDTQ&amp;AuthPass=DDTQcopom&amp;Width=1024&amp;Height=768&amp;Quality=70&amp;FPS=10&amp;ResponseFormat=Text</v>
      </c>
      <c r="P344" s="6">
        <v>1.0</v>
      </c>
    </row>
    <row r="345">
      <c r="A345" s="7" t="s">
        <v>981</v>
      </c>
      <c r="B345" s="2" t="s">
        <v>17</v>
      </c>
      <c r="C345" s="13" t="s">
        <v>982</v>
      </c>
      <c r="D345" s="9">
        <v>38601.0</v>
      </c>
      <c r="E345" s="9" t="s">
        <v>1352</v>
      </c>
      <c r="F345" s="14" t="s">
        <v>1353</v>
      </c>
      <c r="G345" s="4" t="s">
        <v>1354</v>
      </c>
      <c r="H345" s="4" t="s">
        <v>1355</v>
      </c>
      <c r="I345" s="5" t="s">
        <v>23</v>
      </c>
      <c r="J345" s="5" t="s">
        <v>24</v>
      </c>
      <c r="K345" s="5" t="s">
        <v>25</v>
      </c>
      <c r="L345" s="11" t="s">
        <v>26</v>
      </c>
      <c r="M345" s="5" t="s">
        <v>27</v>
      </c>
      <c r="N345" t="str">
        <f t="shared" si="1"/>
        <v>URBS 3</v>
      </c>
      <c r="O345" s="12" t="str">
        <f t="shared" si="2"/>
        <v>https://monitoramento.pm.pr.gov.br/proxy_image_3/Interface/Cameras/GetJPEGStream?Camera=LD048CFTV01&amp;AuthUser=copom_DDTQ&amp;AuthPass=DDTQcopom&amp;Width=1024&amp;Height=768&amp;Quality=70&amp;FPS=10&amp;ResponseFormat=Text</v>
      </c>
      <c r="P345" s="6">
        <v>1.0</v>
      </c>
    </row>
    <row r="346">
      <c r="A346" s="7" t="s">
        <v>981</v>
      </c>
      <c r="B346" s="2" t="s">
        <v>17</v>
      </c>
      <c r="C346" s="13" t="s">
        <v>982</v>
      </c>
      <c r="D346" s="9">
        <v>38601.0</v>
      </c>
      <c r="E346" s="9" t="s">
        <v>1356</v>
      </c>
      <c r="F346" s="14" t="s">
        <v>1357</v>
      </c>
      <c r="G346" s="4" t="s">
        <v>1358</v>
      </c>
      <c r="H346" s="4" t="s">
        <v>1359</v>
      </c>
      <c r="I346" s="5" t="s">
        <v>23</v>
      </c>
      <c r="J346" s="5" t="s">
        <v>24</v>
      </c>
      <c r="K346" s="5" t="s">
        <v>25</v>
      </c>
      <c r="L346" s="11" t="s">
        <v>26</v>
      </c>
      <c r="M346" s="5" t="s">
        <v>27</v>
      </c>
      <c r="N346" t="str">
        <f t="shared" si="1"/>
        <v>URBS 3</v>
      </c>
      <c r="O346" s="12" t="str">
        <f t="shared" si="2"/>
        <v>https://monitoramento.pm.pr.gov.br/proxy_image_3/Interface/Cameras/GetJPEGStream?Camera=LD048CFTV02&amp;AuthUser=copom_DDTQ&amp;AuthPass=DDTQcopom&amp;Width=1024&amp;Height=768&amp;Quality=70&amp;FPS=10&amp;ResponseFormat=Text</v>
      </c>
      <c r="P346" s="6">
        <v>1.0</v>
      </c>
    </row>
    <row r="347">
      <c r="A347" s="7" t="s">
        <v>981</v>
      </c>
      <c r="B347" s="2" t="s">
        <v>17</v>
      </c>
      <c r="C347" s="13" t="s">
        <v>982</v>
      </c>
      <c r="D347" s="9">
        <v>38601.0</v>
      </c>
      <c r="E347" s="9" t="s">
        <v>1360</v>
      </c>
      <c r="F347" s="16" t="s">
        <v>1361</v>
      </c>
      <c r="G347" s="4" t="s">
        <v>1362</v>
      </c>
      <c r="H347" s="4" t="s">
        <v>1363</v>
      </c>
      <c r="I347" s="5" t="s">
        <v>23</v>
      </c>
      <c r="J347" s="5" t="s">
        <v>24</v>
      </c>
      <c r="K347" s="5" t="s">
        <v>25</v>
      </c>
      <c r="L347" s="11" t="s">
        <v>26</v>
      </c>
      <c r="M347" s="5" t="s">
        <v>27</v>
      </c>
      <c r="N347" t="str">
        <f t="shared" si="1"/>
        <v>URBS 3</v>
      </c>
      <c r="O347" s="12" t="str">
        <f t="shared" si="2"/>
        <v>https://monitoramento.pm.pr.gov.br/proxy_image_3/Interface/Cameras/GetJPEGStream?Camera=LD049CFTV01&amp;AuthUser=copom_DDTQ&amp;AuthPass=DDTQcopom&amp;Width=1024&amp;Height=768&amp;Quality=70&amp;FPS=10&amp;ResponseFormat=Text</v>
      </c>
      <c r="P347" s="6">
        <v>1.0</v>
      </c>
    </row>
    <row r="348">
      <c r="A348" s="7" t="s">
        <v>981</v>
      </c>
      <c r="B348" s="2" t="s">
        <v>17</v>
      </c>
      <c r="C348" s="13" t="s">
        <v>982</v>
      </c>
      <c r="D348" s="9">
        <v>38601.0</v>
      </c>
      <c r="E348" s="9" t="s">
        <v>1364</v>
      </c>
      <c r="F348" s="16" t="s">
        <v>1365</v>
      </c>
      <c r="G348" s="4" t="s">
        <v>1366</v>
      </c>
      <c r="H348" s="4" t="s">
        <v>1367</v>
      </c>
      <c r="I348" s="5" t="s">
        <v>23</v>
      </c>
      <c r="J348" s="5" t="s">
        <v>24</v>
      </c>
      <c r="K348" s="5" t="s">
        <v>25</v>
      </c>
      <c r="L348" s="11" t="s">
        <v>26</v>
      </c>
      <c r="M348" s="5" t="s">
        <v>27</v>
      </c>
      <c r="N348" t="str">
        <f t="shared" si="1"/>
        <v>URBS 3</v>
      </c>
      <c r="O348" s="12" t="str">
        <f t="shared" si="2"/>
        <v>https://monitoramento.pm.pr.gov.br/proxy_image_3/Interface/Cameras/GetJPEGStream?Camera=LD049CFTV03&amp;AuthUser=copom_DDTQ&amp;AuthPass=DDTQcopom&amp;Width=1024&amp;Height=768&amp;Quality=70&amp;FPS=10&amp;ResponseFormat=Text</v>
      </c>
      <c r="P348" s="6">
        <v>1.0</v>
      </c>
    </row>
    <row r="349">
      <c r="A349" s="7" t="s">
        <v>981</v>
      </c>
      <c r="B349" s="2" t="s">
        <v>17</v>
      </c>
      <c r="C349" s="13" t="s">
        <v>982</v>
      </c>
      <c r="D349" s="9">
        <v>38601.0</v>
      </c>
      <c r="E349" s="9" t="s">
        <v>1368</v>
      </c>
      <c r="F349" s="14" t="s">
        <v>1369</v>
      </c>
      <c r="G349" s="4" t="s">
        <v>1370</v>
      </c>
      <c r="H349" s="4" t="s">
        <v>1371</v>
      </c>
      <c r="I349" s="5" t="s">
        <v>23</v>
      </c>
      <c r="J349" s="5" t="s">
        <v>24</v>
      </c>
      <c r="K349" s="5" t="s">
        <v>25</v>
      </c>
      <c r="L349" s="11" t="s">
        <v>26</v>
      </c>
      <c r="M349" s="5" t="s">
        <v>27</v>
      </c>
      <c r="N349" t="str">
        <f t="shared" si="1"/>
        <v>URBS 3</v>
      </c>
      <c r="O349" s="12" t="str">
        <f t="shared" si="2"/>
        <v>https://monitoramento.pm.pr.gov.br/proxy_image_3/Interface/Cameras/GetJPEGStream?Camera=TE001CFTV05&amp;AuthUser=copom_DDTQ&amp;AuthPass=DDTQcopom&amp;Width=1024&amp;Height=768&amp;Quality=70&amp;FPS=10&amp;ResponseFormat=Text</v>
      </c>
      <c r="P349" s="6">
        <v>1.0</v>
      </c>
    </row>
    <row r="350">
      <c r="A350" s="7" t="s">
        <v>981</v>
      </c>
      <c r="B350" s="2" t="s">
        <v>17</v>
      </c>
      <c r="C350" s="13" t="s">
        <v>982</v>
      </c>
      <c r="D350" s="9">
        <v>38601.0</v>
      </c>
      <c r="E350" s="9" t="s">
        <v>1372</v>
      </c>
      <c r="F350" s="14" t="s">
        <v>1373</v>
      </c>
      <c r="G350" s="4" t="s">
        <v>1374</v>
      </c>
      <c r="H350" s="4" t="s">
        <v>1375</v>
      </c>
      <c r="I350" s="5" t="s">
        <v>23</v>
      </c>
      <c r="J350" s="5" t="s">
        <v>24</v>
      </c>
      <c r="K350" s="5" t="s">
        <v>25</v>
      </c>
      <c r="L350" s="11" t="s">
        <v>26</v>
      </c>
      <c r="M350" s="5" t="s">
        <v>27</v>
      </c>
      <c r="N350" t="str">
        <f t="shared" si="1"/>
        <v>URBS 3</v>
      </c>
      <c r="O350" s="12" t="str">
        <f t="shared" si="2"/>
        <v>https://monitoramento.pm.pr.gov.br/proxy_image_3/Interface/Cameras/GetJPEGStream?Camera=TE002CFTV01&amp;AuthUser=copom_DDTQ&amp;AuthPass=DDTQcopom&amp;Width=1024&amp;Height=768&amp;Quality=70&amp;FPS=10&amp;ResponseFormat=Text</v>
      </c>
      <c r="P350" s="6">
        <v>1.0</v>
      </c>
    </row>
    <row r="351">
      <c r="A351" s="7" t="s">
        <v>981</v>
      </c>
      <c r="B351" s="2" t="s">
        <v>17</v>
      </c>
      <c r="C351" s="13" t="s">
        <v>982</v>
      </c>
      <c r="D351" s="9">
        <v>38601.0</v>
      </c>
      <c r="E351" s="9" t="s">
        <v>1376</v>
      </c>
      <c r="F351" s="14" t="s">
        <v>1377</v>
      </c>
      <c r="G351" s="4" t="s">
        <v>1378</v>
      </c>
      <c r="H351" s="4" t="s">
        <v>1379</v>
      </c>
      <c r="I351" s="5" t="s">
        <v>23</v>
      </c>
      <c r="J351" s="5" t="s">
        <v>24</v>
      </c>
      <c r="K351" s="5" t="s">
        <v>25</v>
      </c>
      <c r="L351" s="11" t="s">
        <v>26</v>
      </c>
      <c r="M351" s="5" t="s">
        <v>27</v>
      </c>
      <c r="N351" t="str">
        <f t="shared" si="1"/>
        <v>URBS 3</v>
      </c>
      <c r="O351" s="12" t="str">
        <f t="shared" si="2"/>
        <v>https://monitoramento.pm.pr.gov.br/proxy_image_3/Interface/Cameras/GetJPEGStream?Camera=TE002CFTV02&amp;AuthUser=copom_DDTQ&amp;AuthPass=DDTQcopom&amp;Width=1024&amp;Height=768&amp;Quality=70&amp;FPS=10&amp;ResponseFormat=Text</v>
      </c>
      <c r="P351" s="6">
        <v>1.0</v>
      </c>
    </row>
    <row r="352">
      <c r="A352" s="7" t="s">
        <v>981</v>
      </c>
      <c r="B352" s="2" t="s">
        <v>17</v>
      </c>
      <c r="C352" s="13" t="s">
        <v>982</v>
      </c>
      <c r="D352" s="9">
        <v>38601.0</v>
      </c>
      <c r="E352" s="9" t="s">
        <v>1380</v>
      </c>
      <c r="F352" s="14" t="s">
        <v>1381</v>
      </c>
      <c r="G352" s="4" t="s">
        <v>1382</v>
      </c>
      <c r="H352" s="4" t="s">
        <v>1383</v>
      </c>
      <c r="I352" s="5" t="s">
        <v>23</v>
      </c>
      <c r="J352" s="5" t="s">
        <v>24</v>
      </c>
      <c r="K352" s="5" t="s">
        <v>25</v>
      </c>
      <c r="L352" s="11" t="s">
        <v>26</v>
      </c>
      <c r="M352" s="5" t="s">
        <v>27</v>
      </c>
      <c r="N352" t="str">
        <f t="shared" si="1"/>
        <v>URBS 3</v>
      </c>
      <c r="O352" s="12" t="str">
        <f t="shared" si="2"/>
        <v>https://monitoramento.pm.pr.gov.br/proxy_image_3/Interface/Cameras/GetJPEGStream?Camera=TE002CFTV03&amp;AuthUser=copom_DDTQ&amp;AuthPass=DDTQcopom&amp;Width=1024&amp;Height=768&amp;Quality=70&amp;FPS=10&amp;ResponseFormat=Text</v>
      </c>
      <c r="P352" s="6">
        <v>1.0</v>
      </c>
    </row>
    <row r="353">
      <c r="A353" s="7" t="s">
        <v>981</v>
      </c>
      <c r="B353" s="2" t="s">
        <v>17</v>
      </c>
      <c r="C353" s="13" t="s">
        <v>982</v>
      </c>
      <c r="D353" s="9">
        <v>38601.0</v>
      </c>
      <c r="E353" s="9" t="s">
        <v>1384</v>
      </c>
      <c r="F353" s="14" t="s">
        <v>1385</v>
      </c>
      <c r="G353" s="4" t="s">
        <v>1386</v>
      </c>
      <c r="H353" s="4" t="s">
        <v>1387</v>
      </c>
      <c r="I353" s="5" t="s">
        <v>23</v>
      </c>
      <c r="J353" s="5" t="s">
        <v>24</v>
      </c>
      <c r="K353" s="5" t="s">
        <v>25</v>
      </c>
      <c r="L353" s="11" t="s">
        <v>26</v>
      </c>
      <c r="M353" s="5" t="s">
        <v>27</v>
      </c>
      <c r="N353" t="str">
        <f t="shared" si="1"/>
        <v>URBS 3</v>
      </c>
      <c r="O353" s="12" t="str">
        <f t="shared" si="2"/>
        <v>https://monitoramento.pm.pr.gov.br/proxy_image_3/Interface/Cameras/GetJPEGStream?Camera=TE002CFTV04&amp;AuthUser=copom_DDTQ&amp;AuthPass=DDTQcopom&amp;Width=1024&amp;Height=768&amp;Quality=70&amp;FPS=10&amp;ResponseFormat=Text</v>
      </c>
      <c r="P353" s="6">
        <v>1.0</v>
      </c>
    </row>
    <row r="354">
      <c r="A354" s="7" t="s">
        <v>981</v>
      </c>
      <c r="B354" s="2" t="s">
        <v>17</v>
      </c>
      <c r="C354" s="13" t="s">
        <v>982</v>
      </c>
      <c r="D354" s="9">
        <v>38601.0</v>
      </c>
      <c r="E354" s="9" t="s">
        <v>1388</v>
      </c>
      <c r="F354" s="14" t="s">
        <v>1389</v>
      </c>
      <c r="G354" s="4" t="s">
        <v>1390</v>
      </c>
      <c r="H354" s="4" t="s">
        <v>1391</v>
      </c>
      <c r="I354" s="5" t="s">
        <v>23</v>
      </c>
      <c r="J354" s="5" t="s">
        <v>24</v>
      </c>
      <c r="K354" s="5" t="s">
        <v>25</v>
      </c>
      <c r="L354" s="11" t="s">
        <v>26</v>
      </c>
      <c r="M354" s="5" t="s">
        <v>27</v>
      </c>
      <c r="N354" t="str">
        <f t="shared" si="1"/>
        <v>URBS 3</v>
      </c>
      <c r="O354" s="12" t="str">
        <f t="shared" si="2"/>
        <v>https://monitoramento.pm.pr.gov.br/proxy_image_3/Interface/Cameras/GetJPEGStream?Camera=TE002CFTV05&amp;AuthUser=copom_DDTQ&amp;AuthPass=DDTQcopom&amp;Width=1024&amp;Height=768&amp;Quality=70&amp;FPS=10&amp;ResponseFormat=Text</v>
      </c>
      <c r="P354" s="6">
        <v>1.0</v>
      </c>
    </row>
    <row r="355">
      <c r="A355" s="7" t="s">
        <v>981</v>
      </c>
      <c r="B355" s="2" t="s">
        <v>17</v>
      </c>
      <c r="C355" s="13" t="s">
        <v>982</v>
      </c>
      <c r="D355" s="9">
        <v>38601.0</v>
      </c>
      <c r="E355" s="9" t="s">
        <v>1392</v>
      </c>
      <c r="F355" s="14" t="s">
        <v>1393</v>
      </c>
      <c r="G355" s="4" t="s">
        <v>1394</v>
      </c>
      <c r="H355" s="4" t="s">
        <v>1395</v>
      </c>
      <c r="I355" s="5" t="s">
        <v>23</v>
      </c>
      <c r="J355" s="5" t="s">
        <v>24</v>
      </c>
      <c r="K355" s="5" t="s">
        <v>25</v>
      </c>
      <c r="L355" s="11" t="s">
        <v>26</v>
      </c>
      <c r="M355" s="5" t="s">
        <v>27</v>
      </c>
      <c r="N355" t="str">
        <f t="shared" si="1"/>
        <v>URBS 3</v>
      </c>
      <c r="O355" s="12" t="str">
        <f t="shared" si="2"/>
        <v>https://monitoramento.pm.pr.gov.br/proxy_image_3/Interface/Cameras/GetJPEGStream?Camera=TE002CFTV06&amp;AuthUser=copom_DDTQ&amp;AuthPass=DDTQcopom&amp;Width=1024&amp;Height=768&amp;Quality=70&amp;FPS=10&amp;ResponseFormat=Text</v>
      </c>
      <c r="P355" s="6">
        <v>1.0</v>
      </c>
    </row>
    <row r="356">
      <c r="A356" s="7" t="s">
        <v>981</v>
      </c>
      <c r="B356" s="2" t="s">
        <v>17</v>
      </c>
      <c r="C356" s="13" t="s">
        <v>982</v>
      </c>
      <c r="D356" s="9">
        <v>38601.0</v>
      </c>
      <c r="E356" s="9" t="s">
        <v>1396</v>
      </c>
      <c r="F356" s="16" t="s">
        <v>1397</v>
      </c>
      <c r="G356" s="4" t="s">
        <v>1398</v>
      </c>
      <c r="H356" s="4" t="s">
        <v>1399</v>
      </c>
      <c r="I356" s="5" t="s">
        <v>23</v>
      </c>
      <c r="J356" s="5" t="s">
        <v>24</v>
      </c>
      <c r="K356" s="5" t="s">
        <v>25</v>
      </c>
      <c r="L356" s="11" t="s">
        <v>26</v>
      </c>
      <c r="M356" s="5" t="s">
        <v>27</v>
      </c>
      <c r="N356" t="str">
        <f t="shared" si="1"/>
        <v>URBS 3</v>
      </c>
      <c r="O356" s="12" t="str">
        <f t="shared" si="2"/>
        <v>https://monitoramento.pm.pr.gov.br/proxy_image_3/Interface/Cameras/GetJPEGStream?Camera=TE003CFTV01&amp;AuthUser=copom_DDTQ&amp;AuthPass=DDTQcopom&amp;Width=1024&amp;Height=768&amp;Quality=70&amp;FPS=10&amp;ResponseFormat=Text</v>
      </c>
      <c r="P356" s="6">
        <v>1.0</v>
      </c>
    </row>
    <row r="357">
      <c r="A357" s="7" t="s">
        <v>981</v>
      </c>
      <c r="B357" s="2" t="s">
        <v>17</v>
      </c>
      <c r="C357" s="13" t="s">
        <v>982</v>
      </c>
      <c r="D357" s="9">
        <v>38601.0</v>
      </c>
      <c r="E357" s="9" t="s">
        <v>1400</v>
      </c>
      <c r="F357" s="16" t="s">
        <v>1401</v>
      </c>
      <c r="G357" s="4" t="s">
        <v>1402</v>
      </c>
      <c r="H357" s="4" t="s">
        <v>1403</v>
      </c>
      <c r="I357" s="5" t="s">
        <v>23</v>
      </c>
      <c r="J357" s="5" t="s">
        <v>24</v>
      </c>
      <c r="K357" s="5" t="s">
        <v>25</v>
      </c>
      <c r="L357" s="11" t="s">
        <v>26</v>
      </c>
      <c r="M357" s="5" t="s">
        <v>27</v>
      </c>
      <c r="N357" t="str">
        <f t="shared" si="1"/>
        <v>URBS 3</v>
      </c>
      <c r="O357" s="12" t="str">
        <f t="shared" si="2"/>
        <v>https://monitoramento.pm.pr.gov.br/proxy_image_3/Interface/Cameras/GetJPEGStream?Camera=TE003CFTV02&amp;AuthUser=copom_DDTQ&amp;AuthPass=DDTQcopom&amp;Width=1024&amp;Height=768&amp;Quality=70&amp;FPS=10&amp;ResponseFormat=Text</v>
      </c>
      <c r="P357" s="6">
        <v>1.0</v>
      </c>
    </row>
    <row r="358">
      <c r="A358" s="7" t="s">
        <v>981</v>
      </c>
      <c r="B358" s="2" t="s">
        <v>17</v>
      </c>
      <c r="C358" s="13" t="s">
        <v>982</v>
      </c>
      <c r="D358" s="9">
        <v>38601.0</v>
      </c>
      <c r="E358" s="9" t="s">
        <v>1404</v>
      </c>
      <c r="F358" s="16" t="s">
        <v>1405</v>
      </c>
      <c r="G358" s="4" t="s">
        <v>1406</v>
      </c>
      <c r="H358" s="4" t="s">
        <v>1407</v>
      </c>
      <c r="I358" s="5" t="s">
        <v>23</v>
      </c>
      <c r="J358" s="5" t="s">
        <v>24</v>
      </c>
      <c r="K358" s="5" t="s">
        <v>25</v>
      </c>
      <c r="L358" s="11" t="s">
        <v>26</v>
      </c>
      <c r="M358" s="5" t="s">
        <v>27</v>
      </c>
      <c r="N358" t="str">
        <f t="shared" si="1"/>
        <v>URBS 3</v>
      </c>
      <c r="O358" s="12" t="str">
        <f t="shared" si="2"/>
        <v>https://monitoramento.pm.pr.gov.br/proxy_image_3/Interface/Cameras/GetJPEGStream?Camera=TE003CFTV03&amp;AuthUser=copom_DDTQ&amp;AuthPass=DDTQcopom&amp;Width=1024&amp;Height=768&amp;Quality=70&amp;FPS=10&amp;ResponseFormat=Text</v>
      </c>
      <c r="P358" s="6">
        <v>1.0</v>
      </c>
    </row>
    <row r="359">
      <c r="A359" s="7" t="s">
        <v>981</v>
      </c>
      <c r="B359" s="2" t="s">
        <v>17</v>
      </c>
      <c r="C359" s="13" t="s">
        <v>982</v>
      </c>
      <c r="D359" s="9">
        <v>38601.0</v>
      </c>
      <c r="E359" s="9" t="s">
        <v>1408</v>
      </c>
      <c r="F359" s="14" t="s">
        <v>1409</v>
      </c>
      <c r="G359" s="4" t="s">
        <v>1410</v>
      </c>
      <c r="H359" s="4" t="s">
        <v>1411</v>
      </c>
      <c r="I359" s="5" t="s">
        <v>23</v>
      </c>
      <c r="J359" s="5" t="s">
        <v>24</v>
      </c>
      <c r="K359" s="5" t="s">
        <v>25</v>
      </c>
      <c r="L359" s="11" t="s">
        <v>26</v>
      </c>
      <c r="M359" s="5" t="s">
        <v>27</v>
      </c>
      <c r="N359" t="str">
        <f t="shared" si="1"/>
        <v>URBS 3</v>
      </c>
      <c r="O359" s="12" t="str">
        <f t="shared" si="2"/>
        <v>https://monitoramento.pm.pr.gov.br/proxy_image_3/Interface/Cameras/GetJPEGStream?Camera=TE003CFTV04&amp;AuthUser=copom_DDTQ&amp;AuthPass=DDTQcopom&amp;Width=1024&amp;Height=768&amp;Quality=70&amp;FPS=10&amp;ResponseFormat=Text</v>
      </c>
      <c r="P359" s="6">
        <v>1.0</v>
      </c>
    </row>
    <row r="360">
      <c r="A360" s="7" t="s">
        <v>981</v>
      </c>
      <c r="B360" s="2" t="s">
        <v>17</v>
      </c>
      <c r="C360" s="13" t="s">
        <v>982</v>
      </c>
      <c r="D360" s="9">
        <v>38601.0</v>
      </c>
      <c r="E360" s="9" t="s">
        <v>1412</v>
      </c>
      <c r="F360" s="14" t="s">
        <v>1413</v>
      </c>
      <c r="G360" s="4" t="s">
        <v>1410</v>
      </c>
      <c r="H360" s="4" t="s">
        <v>1411</v>
      </c>
      <c r="I360" s="5" t="s">
        <v>23</v>
      </c>
      <c r="J360" s="5" t="s">
        <v>24</v>
      </c>
      <c r="K360" s="5" t="s">
        <v>25</v>
      </c>
      <c r="L360" s="11" t="s">
        <v>26</v>
      </c>
      <c r="M360" s="5" t="s">
        <v>27</v>
      </c>
      <c r="N360" t="str">
        <f t="shared" si="1"/>
        <v>URBS 3</v>
      </c>
      <c r="O360" s="12" t="str">
        <f t="shared" si="2"/>
        <v>https://monitoramento.pm.pr.gov.br/proxy_image_3/Interface/Cameras/GetJPEGStream?Camera=TE003CFTV05&amp;AuthUser=copom_DDTQ&amp;AuthPass=DDTQcopom&amp;Width=1024&amp;Height=768&amp;Quality=70&amp;FPS=10&amp;ResponseFormat=Text</v>
      </c>
      <c r="P360" s="6">
        <v>1.0</v>
      </c>
    </row>
    <row r="361">
      <c r="A361" s="7" t="s">
        <v>981</v>
      </c>
      <c r="B361" s="2" t="s">
        <v>17</v>
      </c>
      <c r="C361" s="13" t="s">
        <v>982</v>
      </c>
      <c r="D361" s="9">
        <v>38601.0</v>
      </c>
      <c r="E361" s="9" t="s">
        <v>1414</v>
      </c>
      <c r="F361" s="14" t="s">
        <v>1415</v>
      </c>
      <c r="G361" s="4" t="s">
        <v>1416</v>
      </c>
      <c r="H361" s="4" t="s">
        <v>1417</v>
      </c>
      <c r="I361" s="5" t="s">
        <v>23</v>
      </c>
      <c r="J361" s="5" t="s">
        <v>24</v>
      </c>
      <c r="K361" s="5" t="s">
        <v>25</v>
      </c>
      <c r="L361" s="11" t="s">
        <v>26</v>
      </c>
      <c r="M361" s="5" t="s">
        <v>27</v>
      </c>
      <c r="N361" t="str">
        <f t="shared" si="1"/>
        <v>URBS 3</v>
      </c>
      <c r="O361" s="12" t="str">
        <f t="shared" si="2"/>
        <v>https://monitoramento.pm.pr.gov.br/proxy_image_3/Interface/Cameras/GetJPEGStream?Camera=TE003CFTV06&amp;AuthUser=copom_DDTQ&amp;AuthPass=DDTQcopom&amp;Width=1024&amp;Height=768&amp;Quality=70&amp;FPS=10&amp;ResponseFormat=Text</v>
      </c>
      <c r="P361" s="6">
        <v>1.0</v>
      </c>
    </row>
    <row r="362">
      <c r="A362" s="7" t="s">
        <v>981</v>
      </c>
      <c r="B362" s="2" t="s">
        <v>17</v>
      </c>
      <c r="C362" s="13" t="s">
        <v>982</v>
      </c>
      <c r="D362" s="9">
        <v>38601.0</v>
      </c>
      <c r="E362" s="9" t="s">
        <v>1418</v>
      </c>
      <c r="F362" s="14" t="s">
        <v>1419</v>
      </c>
      <c r="G362" s="4" t="s">
        <v>1420</v>
      </c>
      <c r="H362" s="4" t="s">
        <v>1421</v>
      </c>
      <c r="I362" s="5" t="s">
        <v>23</v>
      </c>
      <c r="J362" s="5" t="s">
        <v>24</v>
      </c>
      <c r="K362" s="5" t="s">
        <v>25</v>
      </c>
      <c r="L362" s="11" t="s">
        <v>26</v>
      </c>
      <c r="M362" s="5" t="s">
        <v>27</v>
      </c>
      <c r="N362" t="str">
        <f t="shared" si="1"/>
        <v>URBS 3</v>
      </c>
      <c r="O362" s="12" t="str">
        <f t="shared" si="2"/>
        <v>https://monitoramento.pm.pr.gov.br/proxy_image_3/Interface/Cameras/GetJPEGStream?Camera=TE004CFTV11&amp;AuthUser=copom_DDTQ&amp;AuthPass=DDTQcopom&amp;Width=1024&amp;Height=768&amp;Quality=70&amp;FPS=10&amp;ResponseFormat=Text</v>
      </c>
      <c r="P362" s="6">
        <v>1.0</v>
      </c>
    </row>
    <row r="363">
      <c r="A363" s="7" t="s">
        <v>981</v>
      </c>
      <c r="B363" s="2" t="s">
        <v>17</v>
      </c>
      <c r="C363" s="13" t="s">
        <v>982</v>
      </c>
      <c r="D363" s="9">
        <v>38601.0</v>
      </c>
      <c r="E363" s="9" t="s">
        <v>1422</v>
      </c>
      <c r="F363" s="14" t="s">
        <v>1423</v>
      </c>
      <c r="G363" s="4" t="s">
        <v>1424</v>
      </c>
      <c r="H363" s="4" t="s">
        <v>1425</v>
      </c>
      <c r="I363" s="5" t="s">
        <v>23</v>
      </c>
      <c r="J363" s="5" t="s">
        <v>24</v>
      </c>
      <c r="K363" s="5" t="s">
        <v>25</v>
      </c>
      <c r="L363" s="11" t="s">
        <v>26</v>
      </c>
      <c r="M363" s="5" t="s">
        <v>27</v>
      </c>
      <c r="N363" t="str">
        <f t="shared" si="1"/>
        <v>URBS 3</v>
      </c>
      <c r="O363" s="12" t="str">
        <f t="shared" si="2"/>
        <v>https://monitoramento.pm.pr.gov.br/proxy_image_3/Interface/Cameras/GetJPEGStream?Camera=TE004CFTV12&amp;AuthUser=copom_DDTQ&amp;AuthPass=DDTQcopom&amp;Width=1024&amp;Height=768&amp;Quality=70&amp;FPS=10&amp;ResponseFormat=Text</v>
      </c>
      <c r="P363" s="6">
        <v>1.0</v>
      </c>
    </row>
    <row r="364">
      <c r="A364" s="7" t="s">
        <v>981</v>
      </c>
      <c r="B364" s="2" t="s">
        <v>17</v>
      </c>
      <c r="C364" s="13" t="s">
        <v>982</v>
      </c>
      <c r="D364" s="9">
        <v>38601.0</v>
      </c>
      <c r="E364" s="9" t="s">
        <v>1426</v>
      </c>
      <c r="F364" s="14" t="s">
        <v>1427</v>
      </c>
      <c r="G364" s="4" t="s">
        <v>1428</v>
      </c>
      <c r="H364" s="4" t="s">
        <v>1429</v>
      </c>
      <c r="I364" s="5" t="s">
        <v>23</v>
      </c>
      <c r="J364" s="5" t="s">
        <v>24</v>
      </c>
      <c r="K364" s="5" t="s">
        <v>25</v>
      </c>
      <c r="L364" s="11" t="s">
        <v>26</v>
      </c>
      <c r="M364" s="5" t="s">
        <v>27</v>
      </c>
      <c r="N364" t="str">
        <f t="shared" si="1"/>
        <v>URBS 3</v>
      </c>
      <c r="O364" s="12" t="str">
        <f t="shared" si="2"/>
        <v>https://monitoramento.pm.pr.gov.br/proxy_image_3/Interface/Cameras/GetJPEGStream?Camera=TE004CFTV13&amp;AuthUser=copom_DDTQ&amp;AuthPass=DDTQcopom&amp;Width=1024&amp;Height=768&amp;Quality=70&amp;FPS=10&amp;ResponseFormat=Text</v>
      </c>
      <c r="P364" s="6">
        <v>1.0</v>
      </c>
    </row>
    <row r="365">
      <c r="A365" s="7" t="s">
        <v>981</v>
      </c>
      <c r="B365" s="2" t="s">
        <v>17</v>
      </c>
      <c r="C365" s="13" t="s">
        <v>982</v>
      </c>
      <c r="D365" s="9">
        <v>38601.0</v>
      </c>
      <c r="E365" s="9" t="s">
        <v>1430</v>
      </c>
      <c r="F365" s="14" t="s">
        <v>1431</v>
      </c>
      <c r="G365" s="4" t="s">
        <v>1432</v>
      </c>
      <c r="H365" s="4" t="s">
        <v>1433</v>
      </c>
      <c r="I365" s="5" t="s">
        <v>23</v>
      </c>
      <c r="J365" s="5" t="s">
        <v>24</v>
      </c>
      <c r="K365" s="5" t="s">
        <v>25</v>
      </c>
      <c r="L365" s="11" t="s">
        <v>26</v>
      </c>
      <c r="M365" s="5" t="s">
        <v>27</v>
      </c>
      <c r="N365" t="str">
        <f t="shared" si="1"/>
        <v>URBS 3</v>
      </c>
      <c r="O365" s="12" t="str">
        <f t="shared" si="2"/>
        <v>https://monitoramento.pm.pr.gov.br/proxy_image_3/Interface/Cameras/GetJPEGStream?Camera=TE004CFTV14&amp;AuthUser=copom_DDTQ&amp;AuthPass=DDTQcopom&amp;Width=1024&amp;Height=768&amp;Quality=70&amp;FPS=10&amp;ResponseFormat=Text</v>
      </c>
      <c r="P365" s="6">
        <v>1.0</v>
      </c>
    </row>
    <row r="366">
      <c r="A366" s="7" t="s">
        <v>981</v>
      </c>
      <c r="B366" s="2" t="s">
        <v>17</v>
      </c>
      <c r="C366" s="13" t="s">
        <v>982</v>
      </c>
      <c r="D366" s="9">
        <v>38601.0</v>
      </c>
      <c r="E366" s="9" t="s">
        <v>1434</v>
      </c>
      <c r="F366" s="14" t="s">
        <v>1435</v>
      </c>
      <c r="G366" s="4" t="s">
        <v>1436</v>
      </c>
      <c r="H366" s="4" t="s">
        <v>1437</v>
      </c>
      <c r="I366" s="5" t="s">
        <v>23</v>
      </c>
      <c r="J366" s="5" t="s">
        <v>24</v>
      </c>
      <c r="K366" s="5" t="s">
        <v>25</v>
      </c>
      <c r="L366" s="11" t="s">
        <v>26</v>
      </c>
      <c r="M366" s="5" t="s">
        <v>27</v>
      </c>
      <c r="N366" t="str">
        <f t="shared" si="1"/>
        <v>URBS 3</v>
      </c>
      <c r="O366" s="12" t="str">
        <f t="shared" si="2"/>
        <v>https://monitoramento.pm.pr.gov.br/proxy_image_3/Interface/Cameras/GetJPEGStream?Camera=TE004CFTV15&amp;AuthUser=copom_DDTQ&amp;AuthPass=DDTQcopom&amp;Width=1024&amp;Height=768&amp;Quality=70&amp;FPS=10&amp;ResponseFormat=Text</v>
      </c>
      <c r="P366" s="6">
        <v>1.0</v>
      </c>
    </row>
    <row r="367">
      <c r="A367" s="7" t="s">
        <v>981</v>
      </c>
      <c r="B367" s="2" t="s">
        <v>17</v>
      </c>
      <c r="C367" s="13" t="s">
        <v>982</v>
      </c>
      <c r="D367" s="9">
        <v>38601.0</v>
      </c>
      <c r="E367" s="9" t="s">
        <v>1438</v>
      </c>
      <c r="F367" s="14" t="s">
        <v>1439</v>
      </c>
      <c r="G367" s="4" t="s">
        <v>1440</v>
      </c>
      <c r="H367" s="4" t="s">
        <v>1441</v>
      </c>
      <c r="I367" s="5" t="s">
        <v>23</v>
      </c>
      <c r="J367" s="5" t="s">
        <v>24</v>
      </c>
      <c r="K367" s="5" t="s">
        <v>25</v>
      </c>
      <c r="L367" s="11" t="s">
        <v>26</v>
      </c>
      <c r="M367" s="5" t="s">
        <v>27</v>
      </c>
      <c r="N367" t="str">
        <f t="shared" si="1"/>
        <v>URBS 3</v>
      </c>
      <c r="O367" s="12" t="str">
        <f t="shared" si="2"/>
        <v>https://monitoramento.pm.pr.gov.br/proxy_image_3/Interface/Cameras/GetJPEGStream?Camera=TE004CFTV16&amp;AuthUser=copom_DDTQ&amp;AuthPass=DDTQcopom&amp;Width=1024&amp;Height=768&amp;Quality=70&amp;FPS=10&amp;ResponseFormat=Text</v>
      </c>
      <c r="P367" s="6">
        <v>1.0</v>
      </c>
    </row>
    <row r="368">
      <c r="A368" s="7" t="s">
        <v>981</v>
      </c>
      <c r="B368" s="2" t="s">
        <v>17</v>
      </c>
      <c r="C368" s="13" t="s">
        <v>982</v>
      </c>
      <c r="D368" s="9">
        <v>38601.0</v>
      </c>
      <c r="E368" s="9" t="s">
        <v>1442</v>
      </c>
      <c r="F368" s="14" t="s">
        <v>1443</v>
      </c>
      <c r="G368" s="4" t="s">
        <v>1444</v>
      </c>
      <c r="H368" s="4" t="s">
        <v>1445</v>
      </c>
      <c r="I368" s="5" t="s">
        <v>23</v>
      </c>
      <c r="J368" s="5" t="s">
        <v>24</v>
      </c>
      <c r="K368" s="5" t="s">
        <v>25</v>
      </c>
      <c r="L368" s="11" t="s">
        <v>26</v>
      </c>
      <c r="M368" s="5" t="s">
        <v>27</v>
      </c>
      <c r="N368" t="str">
        <f t="shared" si="1"/>
        <v>URBS 3</v>
      </c>
      <c r="O368" s="12" t="str">
        <f t="shared" si="2"/>
        <v>https://monitoramento.pm.pr.gov.br/proxy_image_3/Interface/Cameras/GetJPEGStream?Camera=TE004CFTV17&amp;AuthUser=copom_DDTQ&amp;AuthPass=DDTQcopom&amp;Width=1024&amp;Height=768&amp;Quality=70&amp;FPS=10&amp;ResponseFormat=Text</v>
      </c>
      <c r="P368" s="6">
        <v>1.0</v>
      </c>
    </row>
    <row r="369">
      <c r="A369" s="7" t="s">
        <v>981</v>
      </c>
      <c r="B369" s="2" t="s">
        <v>17</v>
      </c>
      <c r="C369" s="13" t="s">
        <v>982</v>
      </c>
      <c r="D369" s="9">
        <v>38601.0</v>
      </c>
      <c r="E369" s="9" t="s">
        <v>1446</v>
      </c>
      <c r="F369" s="14" t="s">
        <v>1447</v>
      </c>
      <c r="G369" s="4" t="s">
        <v>1448</v>
      </c>
      <c r="H369" s="4" t="s">
        <v>1449</v>
      </c>
      <c r="I369" s="5" t="s">
        <v>23</v>
      </c>
      <c r="J369" s="5" t="s">
        <v>24</v>
      </c>
      <c r="K369" s="5" t="s">
        <v>25</v>
      </c>
      <c r="L369" s="11" t="s">
        <v>26</v>
      </c>
      <c r="M369" s="5" t="s">
        <v>27</v>
      </c>
      <c r="N369" t="str">
        <f t="shared" si="1"/>
        <v>URBS 3</v>
      </c>
      <c r="O369" s="12" t="str">
        <f t="shared" si="2"/>
        <v>https://monitoramento.pm.pr.gov.br/proxy_image_3/Interface/Cameras/GetJPEGStream?Camera=TE004CFTV18&amp;AuthUser=copom_DDTQ&amp;AuthPass=DDTQcopom&amp;Width=1024&amp;Height=768&amp;Quality=70&amp;FPS=10&amp;ResponseFormat=Text</v>
      </c>
      <c r="P369" s="6">
        <v>1.0</v>
      </c>
    </row>
    <row r="370">
      <c r="A370" s="7" t="s">
        <v>981</v>
      </c>
      <c r="B370" s="2" t="s">
        <v>17</v>
      </c>
      <c r="C370" s="13" t="s">
        <v>982</v>
      </c>
      <c r="D370" s="9">
        <v>38601.0</v>
      </c>
      <c r="E370" s="9" t="s">
        <v>1450</v>
      </c>
      <c r="F370" s="14" t="s">
        <v>1451</v>
      </c>
      <c r="G370" s="4" t="s">
        <v>1452</v>
      </c>
      <c r="H370" s="4" t="s">
        <v>1453</v>
      </c>
      <c r="I370" s="5" t="s">
        <v>23</v>
      </c>
      <c r="J370" s="5" t="s">
        <v>24</v>
      </c>
      <c r="K370" s="5" t="s">
        <v>25</v>
      </c>
      <c r="L370" s="11" t="s">
        <v>26</v>
      </c>
      <c r="M370" s="5" t="s">
        <v>27</v>
      </c>
      <c r="N370" t="str">
        <f t="shared" si="1"/>
        <v>URBS 3</v>
      </c>
      <c r="O370" s="12" t="str">
        <f t="shared" si="2"/>
        <v>https://monitoramento.pm.pr.gov.br/proxy_image_3/Interface/Cameras/GetJPEGStream?Camera=TE008CFTV01&amp;AuthUser=copom_DDTQ&amp;AuthPass=DDTQcopom&amp;Width=1024&amp;Height=768&amp;Quality=70&amp;FPS=10&amp;ResponseFormat=Text</v>
      </c>
      <c r="P370" s="6">
        <v>1.0</v>
      </c>
    </row>
    <row r="371">
      <c r="A371" s="7" t="s">
        <v>981</v>
      </c>
      <c r="B371" s="2" t="s">
        <v>17</v>
      </c>
      <c r="C371" s="13" t="s">
        <v>982</v>
      </c>
      <c r="D371" s="9">
        <v>38601.0</v>
      </c>
      <c r="E371" s="9" t="s">
        <v>1454</v>
      </c>
      <c r="F371" s="14" t="s">
        <v>1455</v>
      </c>
      <c r="G371" s="4" t="s">
        <v>1456</v>
      </c>
      <c r="H371" s="4" t="s">
        <v>1457</v>
      </c>
      <c r="I371" s="5" t="s">
        <v>23</v>
      </c>
      <c r="J371" s="5" t="s">
        <v>24</v>
      </c>
      <c r="K371" s="5" t="s">
        <v>25</v>
      </c>
      <c r="L371" s="11" t="s">
        <v>26</v>
      </c>
      <c r="M371" s="5" t="s">
        <v>27</v>
      </c>
      <c r="N371" t="str">
        <f t="shared" si="1"/>
        <v>URBS 3</v>
      </c>
      <c r="O371" s="12" t="str">
        <f t="shared" si="2"/>
        <v>https://monitoramento.pm.pr.gov.br/proxy_image_3/Interface/Cameras/GetJPEGStream?Camera=TE008CFTV02&amp;AuthUser=copom_DDTQ&amp;AuthPass=DDTQcopom&amp;Width=1024&amp;Height=768&amp;Quality=70&amp;FPS=10&amp;ResponseFormat=Text</v>
      </c>
      <c r="P371" s="6">
        <v>1.0</v>
      </c>
    </row>
    <row r="372">
      <c r="A372" s="7" t="s">
        <v>981</v>
      </c>
      <c r="B372" s="2" t="s">
        <v>17</v>
      </c>
      <c r="C372" s="13" t="s">
        <v>982</v>
      </c>
      <c r="D372" s="9">
        <v>38601.0</v>
      </c>
      <c r="E372" s="9" t="s">
        <v>1458</v>
      </c>
      <c r="F372" s="14" t="s">
        <v>1459</v>
      </c>
      <c r="G372" s="4" t="s">
        <v>1460</v>
      </c>
      <c r="H372" s="4" t="s">
        <v>1461</v>
      </c>
      <c r="I372" s="5" t="s">
        <v>23</v>
      </c>
      <c r="J372" s="5" t="s">
        <v>24</v>
      </c>
      <c r="K372" s="5" t="s">
        <v>25</v>
      </c>
      <c r="L372" s="11" t="s">
        <v>26</v>
      </c>
      <c r="M372" s="5" t="s">
        <v>27</v>
      </c>
      <c r="N372" t="str">
        <f t="shared" si="1"/>
        <v>URBS 3</v>
      </c>
      <c r="O372" s="12" t="str">
        <f t="shared" si="2"/>
        <v>https://monitoramento.pm.pr.gov.br/proxy_image_3/Interface/Cameras/GetJPEGStream?Camera=TE008CFTV03&amp;AuthUser=copom_DDTQ&amp;AuthPass=DDTQcopom&amp;Width=1024&amp;Height=768&amp;Quality=70&amp;FPS=10&amp;ResponseFormat=Text</v>
      </c>
      <c r="P372" s="6">
        <v>1.0</v>
      </c>
    </row>
    <row r="373">
      <c r="A373" s="7" t="s">
        <v>981</v>
      </c>
      <c r="B373" s="2" t="s">
        <v>17</v>
      </c>
      <c r="C373" s="13" t="s">
        <v>982</v>
      </c>
      <c r="D373" s="9">
        <v>38601.0</v>
      </c>
      <c r="E373" s="9" t="s">
        <v>1462</v>
      </c>
      <c r="F373" s="14" t="s">
        <v>1463</v>
      </c>
      <c r="G373" s="4" t="s">
        <v>1464</v>
      </c>
      <c r="H373" s="4" t="s">
        <v>1465</v>
      </c>
      <c r="I373" s="5" t="s">
        <v>23</v>
      </c>
      <c r="J373" s="5" t="s">
        <v>24</v>
      </c>
      <c r="K373" s="5" t="s">
        <v>25</v>
      </c>
      <c r="L373" s="11" t="s">
        <v>26</v>
      </c>
      <c r="M373" s="5" t="s">
        <v>27</v>
      </c>
      <c r="N373" t="str">
        <f t="shared" si="1"/>
        <v>URBS 3</v>
      </c>
      <c r="O373" s="12" t="str">
        <f t="shared" si="2"/>
        <v>https://monitoramento.pm.pr.gov.br/proxy_image_3/Interface/Cameras/GetJPEGStream?Camera=TE008CFTV04&amp;AuthUser=copom_DDTQ&amp;AuthPass=DDTQcopom&amp;Width=1024&amp;Height=768&amp;Quality=70&amp;FPS=10&amp;ResponseFormat=Text</v>
      </c>
      <c r="P373" s="6">
        <v>1.0</v>
      </c>
    </row>
    <row r="374">
      <c r="A374" s="7" t="s">
        <v>981</v>
      </c>
      <c r="B374" s="2" t="s">
        <v>17</v>
      </c>
      <c r="C374" s="13" t="s">
        <v>982</v>
      </c>
      <c r="D374" s="9">
        <v>38601.0</v>
      </c>
      <c r="E374" s="9" t="s">
        <v>1466</v>
      </c>
      <c r="F374" s="14" t="s">
        <v>1467</v>
      </c>
      <c r="G374" s="4" t="s">
        <v>1468</v>
      </c>
      <c r="H374" s="4" t="s">
        <v>1469</v>
      </c>
      <c r="I374" s="5" t="s">
        <v>23</v>
      </c>
      <c r="J374" s="5" t="s">
        <v>24</v>
      </c>
      <c r="K374" s="5" t="s">
        <v>25</v>
      </c>
      <c r="L374" s="11" t="s">
        <v>26</v>
      </c>
      <c r="M374" s="5" t="s">
        <v>27</v>
      </c>
      <c r="N374" t="str">
        <f t="shared" si="1"/>
        <v>URBS 3</v>
      </c>
      <c r="O374" s="12" t="str">
        <f t="shared" si="2"/>
        <v>https://monitoramento.pm.pr.gov.br/proxy_image_3/Interface/Cameras/GetJPEGStream?Camera=TE008CFTV05&amp;AuthUser=copom_DDTQ&amp;AuthPass=DDTQcopom&amp;Width=1024&amp;Height=768&amp;Quality=70&amp;FPS=10&amp;ResponseFormat=Text</v>
      </c>
      <c r="P374" s="6">
        <v>1.0</v>
      </c>
    </row>
    <row r="375">
      <c r="A375" s="31" t="s">
        <v>981</v>
      </c>
      <c r="B375" s="2" t="s">
        <v>17</v>
      </c>
      <c r="C375" s="13" t="s">
        <v>982</v>
      </c>
      <c r="D375" s="18">
        <v>38601.0</v>
      </c>
      <c r="E375" s="18" t="s">
        <v>1470</v>
      </c>
      <c r="F375" s="19" t="s">
        <v>1471</v>
      </c>
      <c r="G375" s="4" t="s">
        <v>1472</v>
      </c>
      <c r="H375" s="4" t="s">
        <v>1473</v>
      </c>
      <c r="I375" s="20" t="s">
        <v>23</v>
      </c>
      <c r="J375" s="20" t="s">
        <v>24</v>
      </c>
      <c r="K375" s="5" t="s">
        <v>25</v>
      </c>
      <c r="L375" s="20" t="s">
        <v>26</v>
      </c>
      <c r="M375" s="20" t="s">
        <v>27</v>
      </c>
      <c r="N375" s="21" t="str">
        <f t="shared" si="1"/>
        <v>URBS 3</v>
      </c>
      <c r="O375" s="12" t="str">
        <f t="shared" si="2"/>
        <v>https://monitoramento.pm.pr.gov.br/proxy_image_3/Interface/Cameras/GetJPEGStream?Camera=TE008CFTV06&amp;AuthUser=copom_DDTQ&amp;AuthPass=DDTQcopom&amp;Width=1024&amp;Height=768&amp;Quality=70&amp;FPS=10&amp;ResponseFormat=Text</v>
      </c>
      <c r="P375" s="22">
        <v>1.0</v>
      </c>
    </row>
    <row r="376">
      <c r="A376" s="7" t="s">
        <v>981</v>
      </c>
      <c r="B376" s="2" t="s">
        <v>17</v>
      </c>
      <c r="C376" s="13" t="s">
        <v>982</v>
      </c>
      <c r="D376" s="9">
        <v>38601.0</v>
      </c>
      <c r="E376" s="9" t="s">
        <v>1474</v>
      </c>
      <c r="F376" s="14" t="s">
        <v>1475</v>
      </c>
      <c r="G376" s="4" t="s">
        <v>1476</v>
      </c>
      <c r="H376" s="4" t="s">
        <v>1477</v>
      </c>
      <c r="I376" s="5" t="s">
        <v>23</v>
      </c>
      <c r="J376" s="5" t="s">
        <v>24</v>
      </c>
      <c r="K376" s="5" t="s">
        <v>25</v>
      </c>
      <c r="L376" s="11" t="s">
        <v>26</v>
      </c>
      <c r="M376" s="5" t="s">
        <v>27</v>
      </c>
      <c r="N376" t="str">
        <f t="shared" si="1"/>
        <v>URBS 3</v>
      </c>
      <c r="O376" s="12" t="str">
        <f t="shared" si="2"/>
        <v>https://monitoramento.pm.pr.gov.br/proxy_image_3/Interface/Cameras/GetJPEGStream?Camera=TE008CFTV07&amp;AuthUser=copom_DDTQ&amp;AuthPass=DDTQcopom&amp;Width=1024&amp;Height=768&amp;Quality=70&amp;FPS=10&amp;ResponseFormat=Text</v>
      </c>
      <c r="P376" s="6">
        <v>1.0</v>
      </c>
    </row>
    <row r="377">
      <c r="A377" s="7" t="s">
        <v>981</v>
      </c>
      <c r="B377" s="2" t="s">
        <v>17</v>
      </c>
      <c r="C377" s="13" t="s">
        <v>982</v>
      </c>
      <c r="D377" s="9">
        <v>38601.0</v>
      </c>
      <c r="E377" s="9" t="s">
        <v>1478</v>
      </c>
      <c r="F377" s="14" t="s">
        <v>1479</v>
      </c>
      <c r="G377" s="4" t="s">
        <v>1480</v>
      </c>
      <c r="H377" s="4" t="s">
        <v>1481</v>
      </c>
      <c r="I377" s="5" t="s">
        <v>23</v>
      </c>
      <c r="J377" s="5" t="s">
        <v>24</v>
      </c>
      <c r="K377" s="5" t="s">
        <v>25</v>
      </c>
      <c r="L377" s="11" t="s">
        <v>26</v>
      </c>
      <c r="M377" s="5" t="s">
        <v>27</v>
      </c>
      <c r="N377" t="str">
        <f t="shared" si="1"/>
        <v>URBS 3</v>
      </c>
      <c r="O377" s="12" t="str">
        <f t="shared" si="2"/>
        <v>https://monitoramento.pm.pr.gov.br/proxy_image_3/Interface/Cameras/GetJPEGStream?Camera=TE008CFTV08&amp;AuthUser=copom_DDTQ&amp;AuthPass=DDTQcopom&amp;Width=1024&amp;Height=768&amp;Quality=70&amp;FPS=10&amp;ResponseFormat=Text</v>
      </c>
      <c r="P377" s="6">
        <v>1.0</v>
      </c>
    </row>
    <row r="378">
      <c r="A378" s="7" t="s">
        <v>981</v>
      </c>
      <c r="B378" s="2" t="s">
        <v>17</v>
      </c>
      <c r="C378" s="13" t="s">
        <v>982</v>
      </c>
      <c r="D378" s="9">
        <v>38601.0</v>
      </c>
      <c r="E378" s="9" t="s">
        <v>1482</v>
      </c>
      <c r="F378" s="14" t="s">
        <v>1483</v>
      </c>
      <c r="G378" s="4" t="s">
        <v>1484</v>
      </c>
      <c r="H378" s="4" t="s">
        <v>1485</v>
      </c>
      <c r="I378" s="5" t="s">
        <v>23</v>
      </c>
      <c r="J378" s="5" t="s">
        <v>24</v>
      </c>
      <c r="K378" s="5" t="s">
        <v>25</v>
      </c>
      <c r="L378" s="11" t="s">
        <v>26</v>
      </c>
      <c r="M378" s="5" t="s">
        <v>27</v>
      </c>
      <c r="N378" t="str">
        <f t="shared" si="1"/>
        <v>URBS 3</v>
      </c>
      <c r="O378" s="12" t="str">
        <f t="shared" si="2"/>
        <v>https://monitoramento.pm.pr.gov.br/proxy_image_3/Interface/Cameras/GetJPEGStream?Camera=TE008CFTV09&amp;AuthUser=copom_DDTQ&amp;AuthPass=DDTQcopom&amp;Width=1024&amp;Height=768&amp;Quality=70&amp;FPS=10&amp;ResponseFormat=Text</v>
      </c>
      <c r="P378" s="6">
        <v>1.0</v>
      </c>
    </row>
    <row r="379">
      <c r="A379" s="7" t="s">
        <v>981</v>
      </c>
      <c r="B379" s="2" t="s">
        <v>17</v>
      </c>
      <c r="C379" s="13" t="s">
        <v>982</v>
      </c>
      <c r="D379" s="9">
        <v>38601.0</v>
      </c>
      <c r="E379" s="9" t="s">
        <v>1486</v>
      </c>
      <c r="F379" s="14" t="s">
        <v>1487</v>
      </c>
      <c r="G379" s="4" t="s">
        <v>1488</v>
      </c>
      <c r="H379" s="4" t="s">
        <v>1489</v>
      </c>
      <c r="I379" s="5" t="s">
        <v>23</v>
      </c>
      <c r="J379" s="5" t="s">
        <v>24</v>
      </c>
      <c r="K379" s="5" t="s">
        <v>25</v>
      </c>
      <c r="L379" s="11" t="s">
        <v>26</v>
      </c>
      <c r="M379" s="5" t="s">
        <v>27</v>
      </c>
      <c r="N379" t="str">
        <f t="shared" si="1"/>
        <v>URBS 3</v>
      </c>
      <c r="O379" s="12" t="str">
        <f t="shared" si="2"/>
        <v>https://monitoramento.pm.pr.gov.br/proxy_image_3/Interface/Cameras/GetJPEGStream?Camera=TE008CFTV10&amp;AuthUser=copom_DDTQ&amp;AuthPass=DDTQcopom&amp;Width=1024&amp;Height=768&amp;Quality=70&amp;FPS=10&amp;ResponseFormat=Text</v>
      </c>
      <c r="P379" s="6">
        <v>1.0</v>
      </c>
    </row>
    <row r="380">
      <c r="A380" s="7" t="s">
        <v>981</v>
      </c>
      <c r="B380" s="2" t="s">
        <v>17</v>
      </c>
      <c r="C380" s="13" t="s">
        <v>982</v>
      </c>
      <c r="D380" s="9">
        <v>38601.0</v>
      </c>
      <c r="E380" s="9" t="s">
        <v>1490</v>
      </c>
      <c r="F380" s="14" t="s">
        <v>1491</v>
      </c>
      <c r="G380" s="4" t="s">
        <v>1492</v>
      </c>
      <c r="H380" s="4" t="s">
        <v>1493</v>
      </c>
      <c r="I380" s="5" t="s">
        <v>23</v>
      </c>
      <c r="J380" s="5" t="s">
        <v>24</v>
      </c>
      <c r="K380" s="5" t="s">
        <v>25</v>
      </c>
      <c r="L380" s="11" t="s">
        <v>26</v>
      </c>
      <c r="M380" s="5" t="s">
        <v>27</v>
      </c>
      <c r="N380" t="str">
        <f t="shared" si="1"/>
        <v>URBS 3</v>
      </c>
      <c r="O380" s="12" t="str">
        <f t="shared" si="2"/>
        <v>https://monitoramento.pm.pr.gov.br/proxy_image_3/Interface/Cameras/GetJPEGStream?Camera=TE008CFTV11&amp;AuthUser=copom_DDTQ&amp;AuthPass=DDTQcopom&amp;Width=1024&amp;Height=768&amp;Quality=70&amp;FPS=10&amp;ResponseFormat=Text</v>
      </c>
      <c r="P380" s="6">
        <v>1.0</v>
      </c>
    </row>
    <row r="381">
      <c r="A381" s="7" t="s">
        <v>981</v>
      </c>
      <c r="B381" s="2" t="s">
        <v>17</v>
      </c>
      <c r="C381" s="13" t="s">
        <v>982</v>
      </c>
      <c r="D381" s="9">
        <v>38601.0</v>
      </c>
      <c r="E381" s="9" t="s">
        <v>1494</v>
      </c>
      <c r="F381" s="14" t="s">
        <v>1495</v>
      </c>
      <c r="G381" s="4" t="s">
        <v>1496</v>
      </c>
      <c r="H381" s="4" t="s">
        <v>1497</v>
      </c>
      <c r="I381" s="5" t="s">
        <v>23</v>
      </c>
      <c r="J381" s="5" t="s">
        <v>24</v>
      </c>
      <c r="K381" s="5" t="s">
        <v>25</v>
      </c>
      <c r="L381" s="11" t="s">
        <v>26</v>
      </c>
      <c r="M381" s="5" t="s">
        <v>27</v>
      </c>
      <c r="N381" t="str">
        <f t="shared" si="1"/>
        <v>URBS 3</v>
      </c>
      <c r="O381" s="12" t="str">
        <f t="shared" si="2"/>
        <v>https://monitoramento.pm.pr.gov.br/proxy_image_3/Interface/Cameras/GetJPEGStream?Camera=TE008CFTV12&amp;AuthUser=copom_DDTQ&amp;AuthPass=DDTQcopom&amp;Width=1024&amp;Height=768&amp;Quality=70&amp;FPS=10&amp;ResponseFormat=Text</v>
      </c>
      <c r="P381" s="6">
        <v>1.0</v>
      </c>
    </row>
    <row r="382">
      <c r="A382" s="7" t="s">
        <v>981</v>
      </c>
      <c r="B382" s="2" t="s">
        <v>17</v>
      </c>
      <c r="C382" s="13" t="s">
        <v>982</v>
      </c>
      <c r="D382" s="9">
        <v>38601.0</v>
      </c>
      <c r="E382" s="9" t="s">
        <v>1498</v>
      </c>
      <c r="F382" s="14" t="s">
        <v>1499</v>
      </c>
      <c r="G382" s="4" t="s">
        <v>1500</v>
      </c>
      <c r="H382" s="4" t="s">
        <v>1501</v>
      </c>
      <c r="I382" s="5" t="s">
        <v>23</v>
      </c>
      <c r="J382" s="5" t="s">
        <v>24</v>
      </c>
      <c r="K382" s="5" t="s">
        <v>25</v>
      </c>
      <c r="L382" s="11" t="s">
        <v>26</v>
      </c>
      <c r="M382" s="5" t="s">
        <v>27</v>
      </c>
      <c r="N382" t="str">
        <f t="shared" si="1"/>
        <v>URBS 3</v>
      </c>
      <c r="O382" s="12" t="str">
        <f t="shared" si="2"/>
        <v>https://monitoramento.pm.pr.gov.br/proxy_image_3/Interface/Cameras/GetJPEGStream?Camera=TE008CFTV13&amp;AuthUser=copom_DDTQ&amp;AuthPass=DDTQcopom&amp;Width=1024&amp;Height=768&amp;Quality=70&amp;FPS=10&amp;ResponseFormat=Text</v>
      </c>
      <c r="P382" s="6">
        <v>1.0</v>
      </c>
    </row>
    <row r="383">
      <c r="A383" s="7" t="s">
        <v>981</v>
      </c>
      <c r="B383" s="2" t="s">
        <v>17</v>
      </c>
      <c r="C383" s="13" t="s">
        <v>982</v>
      </c>
      <c r="D383" s="9">
        <v>38601.0</v>
      </c>
      <c r="E383" s="9" t="s">
        <v>1502</v>
      </c>
      <c r="F383" s="14" t="s">
        <v>1503</v>
      </c>
      <c r="G383" s="4" t="s">
        <v>1504</v>
      </c>
      <c r="H383" s="4" t="s">
        <v>1505</v>
      </c>
      <c r="I383" s="5" t="s">
        <v>23</v>
      </c>
      <c r="J383" s="5" t="s">
        <v>24</v>
      </c>
      <c r="K383" s="5" t="s">
        <v>25</v>
      </c>
      <c r="L383" s="11" t="s">
        <v>26</v>
      </c>
      <c r="M383" s="5" t="s">
        <v>27</v>
      </c>
      <c r="N383" t="str">
        <f t="shared" si="1"/>
        <v>URBS 3</v>
      </c>
      <c r="O383" s="12" t="str">
        <f t="shared" si="2"/>
        <v>https://monitoramento.pm.pr.gov.br/proxy_image_3/Interface/Cameras/GetJPEGStream?Camera=TE009CFTV09&amp;AuthUser=copom_DDTQ&amp;AuthPass=DDTQcopom&amp;Width=1024&amp;Height=768&amp;Quality=70&amp;FPS=10&amp;ResponseFormat=Text</v>
      </c>
      <c r="P383" s="6">
        <v>1.0</v>
      </c>
    </row>
    <row r="384">
      <c r="A384" s="7" t="s">
        <v>981</v>
      </c>
      <c r="B384" s="2" t="s">
        <v>17</v>
      </c>
      <c r="C384" s="13" t="s">
        <v>982</v>
      </c>
      <c r="D384" s="9">
        <v>38601.0</v>
      </c>
      <c r="E384" s="9" t="s">
        <v>1506</v>
      </c>
      <c r="F384" s="14" t="s">
        <v>1507</v>
      </c>
      <c r="G384" s="4" t="s">
        <v>1508</v>
      </c>
      <c r="H384" s="4" t="s">
        <v>1509</v>
      </c>
      <c r="I384" s="5" t="s">
        <v>23</v>
      </c>
      <c r="J384" s="5" t="s">
        <v>24</v>
      </c>
      <c r="K384" s="5" t="s">
        <v>25</v>
      </c>
      <c r="L384" s="11" t="s">
        <v>26</v>
      </c>
      <c r="M384" s="5" t="s">
        <v>27</v>
      </c>
      <c r="N384" t="str">
        <f t="shared" si="1"/>
        <v>URBS 3</v>
      </c>
      <c r="O384" s="12" t="str">
        <f t="shared" si="2"/>
        <v>https://monitoramento.pm.pr.gov.br/proxy_image_3/Interface/Cameras/GetJPEGStream?Camera=TE009CFTV11&amp;AuthUser=copom_DDTQ&amp;AuthPass=DDTQcopom&amp;Width=1024&amp;Height=768&amp;Quality=70&amp;FPS=10&amp;ResponseFormat=Text</v>
      </c>
      <c r="P384" s="6">
        <v>1.0</v>
      </c>
    </row>
    <row r="385">
      <c r="A385" s="7" t="s">
        <v>981</v>
      </c>
      <c r="B385" s="2" t="s">
        <v>17</v>
      </c>
      <c r="C385" s="13" t="s">
        <v>982</v>
      </c>
      <c r="D385" s="9">
        <v>38601.0</v>
      </c>
      <c r="E385" s="9" t="s">
        <v>1510</v>
      </c>
      <c r="F385" s="14" t="s">
        <v>1511</v>
      </c>
      <c r="G385" s="4" t="s">
        <v>1512</v>
      </c>
      <c r="H385" s="4" t="s">
        <v>1513</v>
      </c>
      <c r="I385" s="5" t="s">
        <v>23</v>
      </c>
      <c r="J385" s="5" t="s">
        <v>24</v>
      </c>
      <c r="K385" s="5" t="s">
        <v>25</v>
      </c>
      <c r="L385" s="11" t="s">
        <v>26</v>
      </c>
      <c r="M385" s="5" t="s">
        <v>27</v>
      </c>
      <c r="N385" t="str">
        <f t="shared" si="1"/>
        <v>URBS 3</v>
      </c>
      <c r="O385" s="12" t="str">
        <f t="shared" si="2"/>
        <v>https://monitoramento.pm.pr.gov.br/proxy_image_3/Interface/Cameras/GetJPEGStream?Camera=TE010CFTV01&amp;AuthUser=copom_DDTQ&amp;AuthPass=DDTQcopom&amp;Width=1024&amp;Height=768&amp;Quality=70&amp;FPS=10&amp;ResponseFormat=Text</v>
      </c>
      <c r="P385" s="6">
        <v>1.0</v>
      </c>
    </row>
    <row r="386">
      <c r="A386" s="7" t="s">
        <v>981</v>
      </c>
      <c r="B386" s="2" t="s">
        <v>17</v>
      </c>
      <c r="C386" s="13" t="s">
        <v>982</v>
      </c>
      <c r="D386" s="9">
        <v>38601.0</v>
      </c>
      <c r="E386" s="9" t="s">
        <v>1514</v>
      </c>
      <c r="F386" s="14" t="s">
        <v>1515</v>
      </c>
      <c r="G386" s="4" t="s">
        <v>1516</v>
      </c>
      <c r="H386" s="4" t="s">
        <v>1517</v>
      </c>
      <c r="I386" s="5" t="s">
        <v>23</v>
      </c>
      <c r="J386" s="5" t="s">
        <v>24</v>
      </c>
      <c r="K386" s="5" t="s">
        <v>25</v>
      </c>
      <c r="L386" s="11" t="s">
        <v>26</v>
      </c>
      <c r="M386" s="5" t="s">
        <v>27</v>
      </c>
      <c r="N386" t="str">
        <f t="shared" si="1"/>
        <v>URBS 3</v>
      </c>
      <c r="O386" s="12" t="str">
        <f t="shared" si="2"/>
        <v>https://monitoramento.pm.pr.gov.br/proxy_image_3/Interface/Cameras/GetJPEGStream?Camera=TE010CFTV02&amp;AuthUser=copom_DDTQ&amp;AuthPass=DDTQcopom&amp;Width=1024&amp;Height=768&amp;Quality=70&amp;FPS=10&amp;ResponseFormat=Text</v>
      </c>
      <c r="P386" s="6">
        <v>1.0</v>
      </c>
    </row>
    <row r="387">
      <c r="A387" s="7" t="s">
        <v>981</v>
      </c>
      <c r="B387" s="2" t="s">
        <v>17</v>
      </c>
      <c r="C387" s="13" t="s">
        <v>982</v>
      </c>
      <c r="D387" s="9">
        <v>38601.0</v>
      </c>
      <c r="E387" s="9" t="s">
        <v>1518</v>
      </c>
      <c r="F387" s="14" t="s">
        <v>1519</v>
      </c>
      <c r="G387" s="4" t="s">
        <v>1520</v>
      </c>
      <c r="H387" s="4" t="s">
        <v>1521</v>
      </c>
      <c r="I387" s="5" t="s">
        <v>23</v>
      </c>
      <c r="J387" s="5" t="s">
        <v>24</v>
      </c>
      <c r="K387" s="5" t="s">
        <v>25</v>
      </c>
      <c r="L387" s="11" t="s">
        <v>26</v>
      </c>
      <c r="M387" s="5" t="s">
        <v>27</v>
      </c>
      <c r="N387" t="str">
        <f t="shared" si="1"/>
        <v>URBS 3</v>
      </c>
      <c r="O387" s="12" t="str">
        <f t="shared" si="2"/>
        <v>https://monitoramento.pm.pr.gov.br/proxy_image_3/Interface/Cameras/GetJPEGStream?Camera=TE010CFTV03&amp;AuthUser=copom_DDTQ&amp;AuthPass=DDTQcopom&amp;Width=1024&amp;Height=768&amp;Quality=70&amp;FPS=10&amp;ResponseFormat=Text</v>
      </c>
      <c r="P387" s="6">
        <v>1.0</v>
      </c>
    </row>
    <row r="388">
      <c r="A388" s="7" t="s">
        <v>981</v>
      </c>
      <c r="B388" s="2" t="s">
        <v>17</v>
      </c>
      <c r="C388" s="13" t="s">
        <v>982</v>
      </c>
      <c r="D388" s="9">
        <v>38601.0</v>
      </c>
      <c r="E388" s="9" t="s">
        <v>1522</v>
      </c>
      <c r="F388" s="14" t="s">
        <v>1523</v>
      </c>
      <c r="G388" s="4" t="s">
        <v>1524</v>
      </c>
      <c r="H388" s="4" t="s">
        <v>1525</v>
      </c>
      <c r="I388" s="5" t="s">
        <v>23</v>
      </c>
      <c r="J388" s="5" t="s">
        <v>24</v>
      </c>
      <c r="K388" s="5" t="s">
        <v>25</v>
      </c>
      <c r="L388" s="11" t="s">
        <v>26</v>
      </c>
      <c r="M388" s="5" t="s">
        <v>27</v>
      </c>
      <c r="N388" t="str">
        <f t="shared" si="1"/>
        <v>URBS 3</v>
      </c>
      <c r="O388" s="12" t="str">
        <f t="shared" si="2"/>
        <v>https://monitoramento.pm.pr.gov.br/proxy_image_3/Interface/Cameras/GetJPEGStream?Camera=TE010CFTV04&amp;AuthUser=copom_DDTQ&amp;AuthPass=DDTQcopom&amp;Width=1024&amp;Height=768&amp;Quality=70&amp;FPS=10&amp;ResponseFormat=Text</v>
      </c>
      <c r="P388" s="6">
        <v>1.0</v>
      </c>
    </row>
    <row r="389">
      <c r="A389" s="7" t="s">
        <v>981</v>
      </c>
      <c r="B389" s="2" t="s">
        <v>17</v>
      </c>
      <c r="C389" s="13" t="s">
        <v>982</v>
      </c>
      <c r="D389" s="9">
        <v>38601.0</v>
      </c>
      <c r="E389" s="9" t="s">
        <v>1526</v>
      </c>
      <c r="F389" s="14" t="s">
        <v>1527</v>
      </c>
      <c r="G389" s="4" t="s">
        <v>1528</v>
      </c>
      <c r="H389" s="4" t="s">
        <v>1529</v>
      </c>
      <c r="I389" s="5" t="s">
        <v>23</v>
      </c>
      <c r="J389" s="5" t="s">
        <v>24</v>
      </c>
      <c r="K389" s="5" t="s">
        <v>25</v>
      </c>
      <c r="L389" s="11" t="s">
        <v>26</v>
      </c>
      <c r="M389" s="5" t="s">
        <v>27</v>
      </c>
      <c r="N389" t="str">
        <f t="shared" si="1"/>
        <v>URBS 3</v>
      </c>
      <c r="O389" s="12" t="str">
        <f t="shared" si="2"/>
        <v>https://monitoramento.pm.pr.gov.br/proxy_image_3/Interface/Cameras/GetJPEGStream?Camera=TE010CFTV05&amp;AuthUser=copom_DDTQ&amp;AuthPass=DDTQcopom&amp;Width=1024&amp;Height=768&amp;Quality=70&amp;FPS=10&amp;ResponseFormat=Text</v>
      </c>
      <c r="P389" s="6">
        <v>1.0</v>
      </c>
    </row>
    <row r="390">
      <c r="A390" s="7" t="s">
        <v>981</v>
      </c>
      <c r="B390" s="2" t="s">
        <v>17</v>
      </c>
      <c r="C390" s="13" t="s">
        <v>982</v>
      </c>
      <c r="D390" s="9">
        <v>38601.0</v>
      </c>
      <c r="E390" s="9" t="s">
        <v>1530</v>
      </c>
      <c r="F390" s="14" t="s">
        <v>1531</v>
      </c>
      <c r="G390" s="4" t="s">
        <v>1532</v>
      </c>
      <c r="H390" s="4" t="s">
        <v>1533</v>
      </c>
      <c r="I390" s="5" t="s">
        <v>23</v>
      </c>
      <c r="J390" s="5" t="s">
        <v>24</v>
      </c>
      <c r="K390" s="5" t="s">
        <v>25</v>
      </c>
      <c r="L390" s="11" t="s">
        <v>26</v>
      </c>
      <c r="M390" s="5" t="s">
        <v>27</v>
      </c>
      <c r="N390" t="str">
        <f t="shared" si="1"/>
        <v>URBS 3</v>
      </c>
      <c r="O390" s="12" t="str">
        <f t="shared" si="2"/>
        <v>https://monitoramento.pm.pr.gov.br/proxy_image_3/Interface/Cameras/GetJPEGStream?Camera=TE010CFTV06&amp;AuthUser=copom_DDTQ&amp;AuthPass=DDTQcopom&amp;Width=1024&amp;Height=768&amp;Quality=70&amp;FPS=10&amp;ResponseFormat=Text</v>
      </c>
      <c r="P390" s="6">
        <v>1.0</v>
      </c>
    </row>
    <row r="391">
      <c r="A391" s="7" t="s">
        <v>981</v>
      </c>
      <c r="B391" s="2" t="s">
        <v>17</v>
      </c>
      <c r="C391" s="13" t="s">
        <v>982</v>
      </c>
      <c r="D391" s="9">
        <v>38601.0</v>
      </c>
      <c r="E391" s="9" t="s">
        <v>1534</v>
      </c>
      <c r="F391" s="14" t="s">
        <v>1535</v>
      </c>
      <c r="G391" s="4" t="s">
        <v>1536</v>
      </c>
      <c r="H391" s="4" t="s">
        <v>1537</v>
      </c>
      <c r="I391" s="5" t="s">
        <v>23</v>
      </c>
      <c r="J391" s="5" t="s">
        <v>24</v>
      </c>
      <c r="K391" s="5" t="s">
        <v>25</v>
      </c>
      <c r="L391" s="11" t="s">
        <v>26</v>
      </c>
      <c r="M391" s="5" t="s">
        <v>27</v>
      </c>
      <c r="N391" t="str">
        <f t="shared" si="1"/>
        <v>URBS 3</v>
      </c>
      <c r="O391" s="12" t="str">
        <f t="shared" si="2"/>
        <v>https://monitoramento.pm.pr.gov.br/proxy_image_3/Interface/Cameras/GetJPEGStream?Camera=TE010CFTV07&amp;AuthUser=copom_DDTQ&amp;AuthPass=DDTQcopom&amp;Width=1024&amp;Height=768&amp;Quality=70&amp;FPS=10&amp;ResponseFormat=Text</v>
      </c>
      <c r="P391" s="6">
        <v>1.0</v>
      </c>
    </row>
    <row r="392">
      <c r="A392" s="7" t="s">
        <v>981</v>
      </c>
      <c r="B392" s="2" t="s">
        <v>17</v>
      </c>
      <c r="C392" s="13" t="s">
        <v>982</v>
      </c>
      <c r="D392" s="9">
        <v>38601.0</v>
      </c>
      <c r="E392" s="9" t="s">
        <v>1538</v>
      </c>
      <c r="F392" s="14" t="s">
        <v>1539</v>
      </c>
      <c r="G392" s="4" t="s">
        <v>1540</v>
      </c>
      <c r="H392" s="4" t="s">
        <v>1541</v>
      </c>
      <c r="I392" s="5" t="s">
        <v>23</v>
      </c>
      <c r="J392" s="5" t="s">
        <v>24</v>
      </c>
      <c r="K392" s="5" t="s">
        <v>25</v>
      </c>
      <c r="L392" s="11" t="s">
        <v>26</v>
      </c>
      <c r="M392" s="5" t="s">
        <v>27</v>
      </c>
      <c r="N392" t="str">
        <f t="shared" si="1"/>
        <v>URBS 3</v>
      </c>
      <c r="O392" s="12" t="str">
        <f t="shared" si="2"/>
        <v>https://monitoramento.pm.pr.gov.br/proxy_image_3/Interface/Cameras/GetJPEGStream?Camera=TE010CFTV08&amp;AuthUser=copom_DDTQ&amp;AuthPass=DDTQcopom&amp;Width=1024&amp;Height=768&amp;Quality=70&amp;FPS=10&amp;ResponseFormat=Text</v>
      </c>
      <c r="P392" s="6">
        <v>1.0</v>
      </c>
    </row>
    <row r="393">
      <c r="A393" s="7" t="s">
        <v>981</v>
      </c>
      <c r="B393" s="2" t="s">
        <v>17</v>
      </c>
      <c r="C393" s="13" t="s">
        <v>982</v>
      </c>
      <c r="D393" s="9">
        <v>38601.0</v>
      </c>
      <c r="E393" s="9" t="s">
        <v>1542</v>
      </c>
      <c r="F393" s="14" t="s">
        <v>1543</v>
      </c>
      <c r="G393" s="4" t="s">
        <v>1544</v>
      </c>
      <c r="H393" s="4" t="s">
        <v>1545</v>
      </c>
      <c r="I393" s="5" t="s">
        <v>23</v>
      </c>
      <c r="J393" s="5" t="s">
        <v>24</v>
      </c>
      <c r="K393" s="5" t="s">
        <v>25</v>
      </c>
      <c r="L393" s="11" t="s">
        <v>26</v>
      </c>
      <c r="M393" s="5" t="s">
        <v>27</v>
      </c>
      <c r="N393" t="str">
        <f t="shared" si="1"/>
        <v>URBS 3</v>
      </c>
      <c r="O393" s="12" t="str">
        <f t="shared" si="2"/>
        <v>https://monitoramento.pm.pr.gov.br/proxy_image_3/Interface/Cameras/GetJPEGStream?Camera=TE010CFTV09&amp;AuthUser=copom_DDTQ&amp;AuthPass=DDTQcopom&amp;Width=1024&amp;Height=768&amp;Quality=70&amp;FPS=10&amp;ResponseFormat=Text</v>
      </c>
      <c r="P393" s="6">
        <v>1.0</v>
      </c>
    </row>
    <row r="394">
      <c r="A394" s="7" t="s">
        <v>981</v>
      </c>
      <c r="B394" s="2" t="s">
        <v>17</v>
      </c>
      <c r="C394" s="13" t="s">
        <v>982</v>
      </c>
      <c r="D394" s="9">
        <v>38601.0</v>
      </c>
      <c r="E394" s="9" t="s">
        <v>1546</v>
      </c>
      <c r="F394" s="14" t="s">
        <v>1547</v>
      </c>
      <c r="G394" s="4" t="s">
        <v>1548</v>
      </c>
      <c r="H394" s="4" t="s">
        <v>1549</v>
      </c>
      <c r="I394" s="5" t="s">
        <v>23</v>
      </c>
      <c r="J394" s="5" t="s">
        <v>24</v>
      </c>
      <c r="K394" s="5" t="s">
        <v>25</v>
      </c>
      <c r="L394" s="11" t="s">
        <v>26</v>
      </c>
      <c r="M394" s="5" t="s">
        <v>27</v>
      </c>
      <c r="N394" t="str">
        <f t="shared" si="1"/>
        <v>URBS 3</v>
      </c>
      <c r="O394" s="12" t="str">
        <f t="shared" si="2"/>
        <v>https://monitoramento.pm.pr.gov.br/proxy_image_3/Interface/Cameras/GetJPEGStream?Camera=TE010CFTV10&amp;AuthUser=copom_DDTQ&amp;AuthPass=DDTQcopom&amp;Width=1024&amp;Height=768&amp;Quality=70&amp;FPS=10&amp;ResponseFormat=Text</v>
      </c>
      <c r="P394" s="6">
        <v>1.0</v>
      </c>
    </row>
    <row r="395">
      <c r="A395" s="7" t="s">
        <v>981</v>
      </c>
      <c r="B395" s="2" t="s">
        <v>17</v>
      </c>
      <c r="C395" s="13" t="s">
        <v>982</v>
      </c>
      <c r="D395" s="9">
        <v>38601.0</v>
      </c>
      <c r="E395" s="9" t="s">
        <v>1550</v>
      </c>
      <c r="F395" s="14" t="s">
        <v>1551</v>
      </c>
      <c r="G395" s="4">
        <v>0.0</v>
      </c>
      <c r="H395" s="4">
        <v>0.0</v>
      </c>
      <c r="I395" s="5" t="s">
        <v>23</v>
      </c>
      <c r="J395" s="5" t="s">
        <v>24</v>
      </c>
      <c r="K395" s="5" t="s">
        <v>25</v>
      </c>
      <c r="L395" s="11" t="s">
        <v>26</v>
      </c>
      <c r="M395" s="5" t="s">
        <v>27</v>
      </c>
      <c r="N395" t="str">
        <f t="shared" si="1"/>
        <v>URBS 3</v>
      </c>
      <c r="O395" s="12" t="str">
        <f t="shared" si="2"/>
        <v>https://monitoramento.pm.pr.gov.br/proxy_image_3/Interface/Cameras/GetJPEGStream?Camera=TE010CFTV11&amp;AuthUser=copom_DDTQ&amp;AuthPass=DDTQcopom&amp;Width=1024&amp;Height=768&amp;Quality=70&amp;FPS=10&amp;ResponseFormat=Text</v>
      </c>
      <c r="P395" s="6">
        <v>1.0</v>
      </c>
    </row>
    <row r="396">
      <c r="A396" s="7" t="s">
        <v>981</v>
      </c>
      <c r="B396" s="2" t="s">
        <v>17</v>
      </c>
      <c r="C396" s="13" t="s">
        <v>982</v>
      </c>
      <c r="D396" s="9">
        <v>38601.0</v>
      </c>
      <c r="E396" s="9" t="s">
        <v>1552</v>
      </c>
      <c r="F396" s="14" t="s">
        <v>1553</v>
      </c>
      <c r="G396" s="4" t="s">
        <v>1554</v>
      </c>
      <c r="H396" s="4" t="s">
        <v>1555</v>
      </c>
      <c r="I396" s="5" t="s">
        <v>23</v>
      </c>
      <c r="J396" s="5" t="s">
        <v>24</v>
      </c>
      <c r="K396" s="5" t="s">
        <v>25</v>
      </c>
      <c r="L396" s="11" t="s">
        <v>26</v>
      </c>
      <c r="M396" s="5" t="s">
        <v>27</v>
      </c>
      <c r="N396" t="str">
        <f t="shared" si="1"/>
        <v>URBS 3</v>
      </c>
      <c r="O396" s="12" t="str">
        <f t="shared" si="2"/>
        <v>https://monitoramento.pm.pr.gov.br/proxy_image_3/Interface/Cameras/GetJPEGStream?Camera=TE010CFTV12&amp;AuthUser=copom_DDTQ&amp;AuthPass=DDTQcopom&amp;Width=1024&amp;Height=768&amp;Quality=70&amp;FPS=10&amp;ResponseFormat=Text</v>
      </c>
      <c r="P396" s="6">
        <v>1.0</v>
      </c>
    </row>
    <row r="397">
      <c r="A397" s="7" t="s">
        <v>981</v>
      </c>
      <c r="B397" s="2" t="s">
        <v>17</v>
      </c>
      <c r="C397" s="13" t="s">
        <v>982</v>
      </c>
      <c r="D397" s="9">
        <v>38601.0</v>
      </c>
      <c r="E397" s="9" t="s">
        <v>1556</v>
      </c>
      <c r="F397" s="14" t="s">
        <v>1557</v>
      </c>
      <c r="G397" s="4" t="s">
        <v>1558</v>
      </c>
      <c r="H397" s="4" t="s">
        <v>1559</v>
      </c>
      <c r="I397" s="5" t="s">
        <v>23</v>
      </c>
      <c r="J397" s="5" t="s">
        <v>24</v>
      </c>
      <c r="K397" s="5" t="s">
        <v>25</v>
      </c>
      <c r="L397" s="11" t="s">
        <v>26</v>
      </c>
      <c r="M397" s="5" t="s">
        <v>27</v>
      </c>
      <c r="N397" t="str">
        <f t="shared" si="1"/>
        <v>URBS 3</v>
      </c>
      <c r="O397" s="12" t="str">
        <f t="shared" si="2"/>
        <v>https://monitoramento.pm.pr.gov.br/proxy_image_3/Interface/Cameras/GetJPEGStream?Camera=TE010CFTV13&amp;AuthUser=copom_DDTQ&amp;AuthPass=DDTQcopom&amp;Width=1024&amp;Height=768&amp;Quality=70&amp;FPS=10&amp;ResponseFormat=Text</v>
      </c>
      <c r="P397" s="6">
        <v>1.0</v>
      </c>
    </row>
    <row r="398">
      <c r="A398" s="7" t="s">
        <v>981</v>
      </c>
      <c r="B398" s="2" t="s">
        <v>17</v>
      </c>
      <c r="C398" s="13" t="s">
        <v>982</v>
      </c>
      <c r="D398" s="9">
        <v>38601.0</v>
      </c>
      <c r="E398" s="9" t="s">
        <v>1560</v>
      </c>
      <c r="F398" s="14" t="s">
        <v>1561</v>
      </c>
      <c r="G398" s="4" t="s">
        <v>1562</v>
      </c>
      <c r="H398" s="4" t="s">
        <v>1563</v>
      </c>
      <c r="I398" s="5" t="s">
        <v>23</v>
      </c>
      <c r="J398" s="5" t="s">
        <v>24</v>
      </c>
      <c r="K398" s="5" t="s">
        <v>25</v>
      </c>
      <c r="L398" s="11" t="s">
        <v>26</v>
      </c>
      <c r="M398" s="5" t="s">
        <v>27</v>
      </c>
      <c r="N398" t="str">
        <f t="shared" si="1"/>
        <v>URBS 3</v>
      </c>
      <c r="O398" s="12" t="str">
        <f t="shared" si="2"/>
        <v>https://monitoramento.pm.pr.gov.br/proxy_image_3/Interface/Cameras/GetJPEGStream?Camera=TE010CFTV14&amp;AuthUser=copom_DDTQ&amp;AuthPass=DDTQcopom&amp;Width=1024&amp;Height=768&amp;Quality=70&amp;FPS=10&amp;ResponseFormat=Text</v>
      </c>
      <c r="P398" s="6">
        <v>1.0</v>
      </c>
    </row>
    <row r="399">
      <c r="A399" s="7" t="s">
        <v>981</v>
      </c>
      <c r="B399" s="2" t="s">
        <v>17</v>
      </c>
      <c r="C399" s="13" t="s">
        <v>982</v>
      </c>
      <c r="D399" s="9">
        <v>38601.0</v>
      </c>
      <c r="E399" s="9" t="s">
        <v>1564</v>
      </c>
      <c r="F399" s="14" t="s">
        <v>1565</v>
      </c>
      <c r="G399" s="4" t="s">
        <v>1566</v>
      </c>
      <c r="H399" s="4" t="s">
        <v>1567</v>
      </c>
      <c r="I399" s="5" t="s">
        <v>23</v>
      </c>
      <c r="J399" s="5" t="s">
        <v>24</v>
      </c>
      <c r="K399" s="5" t="s">
        <v>25</v>
      </c>
      <c r="L399" s="11" t="s">
        <v>26</v>
      </c>
      <c r="M399" s="5" t="s">
        <v>27</v>
      </c>
      <c r="N399" t="str">
        <f t="shared" si="1"/>
        <v>URBS 3</v>
      </c>
      <c r="O399" s="12" t="str">
        <f t="shared" si="2"/>
        <v>https://monitoramento.pm.pr.gov.br/proxy_image_3/Interface/Cameras/GetJPEGStream?Camera=TE010CFTV15&amp;AuthUser=copom_DDTQ&amp;AuthPass=DDTQcopom&amp;Width=1024&amp;Height=768&amp;Quality=70&amp;FPS=10&amp;ResponseFormat=Text</v>
      </c>
      <c r="P399" s="6">
        <v>1.0</v>
      </c>
    </row>
    <row r="400">
      <c r="A400" s="7" t="s">
        <v>981</v>
      </c>
      <c r="B400" s="2" t="s">
        <v>17</v>
      </c>
      <c r="C400" s="13" t="s">
        <v>982</v>
      </c>
      <c r="D400" s="9">
        <v>38601.0</v>
      </c>
      <c r="E400" s="9" t="s">
        <v>1568</v>
      </c>
      <c r="F400" s="14" t="s">
        <v>1569</v>
      </c>
      <c r="G400" s="4" t="s">
        <v>1570</v>
      </c>
      <c r="H400" s="4" t="s">
        <v>1571</v>
      </c>
      <c r="I400" s="5" t="s">
        <v>23</v>
      </c>
      <c r="J400" s="5" t="s">
        <v>24</v>
      </c>
      <c r="K400" s="5" t="s">
        <v>25</v>
      </c>
      <c r="L400" s="11" t="s">
        <v>26</v>
      </c>
      <c r="M400" s="5" t="s">
        <v>27</v>
      </c>
      <c r="N400" t="str">
        <f t="shared" si="1"/>
        <v>URBS 3</v>
      </c>
      <c r="O400" s="12" t="str">
        <f t="shared" si="2"/>
        <v>https://monitoramento.pm.pr.gov.br/proxy_image_3/Interface/Cameras/GetJPEGStream?Camera=TE010CFTV16&amp;AuthUser=copom_DDTQ&amp;AuthPass=DDTQcopom&amp;Width=1024&amp;Height=768&amp;Quality=70&amp;FPS=10&amp;ResponseFormat=Text</v>
      </c>
      <c r="P400" s="6">
        <v>1.0</v>
      </c>
    </row>
    <row r="401">
      <c r="A401" s="7" t="s">
        <v>981</v>
      </c>
      <c r="B401" s="2" t="s">
        <v>17</v>
      </c>
      <c r="C401" s="13" t="s">
        <v>982</v>
      </c>
      <c r="D401" s="9">
        <v>38601.0</v>
      </c>
      <c r="E401" s="9" t="s">
        <v>1572</v>
      </c>
      <c r="F401" s="14" t="s">
        <v>1573</v>
      </c>
      <c r="G401" s="4" t="s">
        <v>1574</v>
      </c>
      <c r="H401" s="4" t="s">
        <v>1575</v>
      </c>
      <c r="I401" s="5" t="s">
        <v>23</v>
      </c>
      <c r="J401" s="5" t="s">
        <v>24</v>
      </c>
      <c r="K401" s="5" t="s">
        <v>25</v>
      </c>
      <c r="L401" s="11" t="s">
        <v>26</v>
      </c>
      <c r="M401" s="5" t="s">
        <v>27</v>
      </c>
      <c r="N401" t="str">
        <f t="shared" si="1"/>
        <v>URBS 3</v>
      </c>
      <c r="O401" s="12" t="str">
        <f t="shared" si="2"/>
        <v>https://monitoramento.pm.pr.gov.br/proxy_image_3/Interface/Cameras/GetJPEGStream?Camera=TE010CFTV17&amp;AuthUser=copom_DDTQ&amp;AuthPass=DDTQcopom&amp;Width=1024&amp;Height=768&amp;Quality=70&amp;FPS=10&amp;ResponseFormat=Text</v>
      </c>
      <c r="P401" s="6">
        <v>1.0</v>
      </c>
    </row>
    <row r="402">
      <c r="A402" s="7" t="s">
        <v>981</v>
      </c>
      <c r="B402" s="2" t="s">
        <v>17</v>
      </c>
      <c r="C402" s="13" t="s">
        <v>982</v>
      </c>
      <c r="D402" s="9">
        <v>38601.0</v>
      </c>
      <c r="E402" s="9" t="s">
        <v>1576</v>
      </c>
      <c r="F402" s="14" t="s">
        <v>1577</v>
      </c>
      <c r="G402" s="4" t="s">
        <v>1578</v>
      </c>
      <c r="H402" s="4" t="s">
        <v>1579</v>
      </c>
      <c r="I402" s="5" t="s">
        <v>23</v>
      </c>
      <c r="J402" s="5" t="s">
        <v>24</v>
      </c>
      <c r="K402" s="5" t="s">
        <v>25</v>
      </c>
      <c r="L402" s="11" t="s">
        <v>26</v>
      </c>
      <c r="M402" s="5" t="s">
        <v>27</v>
      </c>
      <c r="N402" t="str">
        <f t="shared" si="1"/>
        <v>URBS 3</v>
      </c>
      <c r="O402" s="12" t="str">
        <f t="shared" si="2"/>
        <v>https://monitoramento.pm.pr.gov.br/proxy_image_3/Interface/Cameras/GetJPEGStream?Camera=TE011CFTV01&amp;AuthUser=copom_DDTQ&amp;AuthPass=DDTQcopom&amp;Width=1024&amp;Height=768&amp;Quality=70&amp;FPS=10&amp;ResponseFormat=Text</v>
      </c>
      <c r="P402" s="6">
        <v>1.0</v>
      </c>
    </row>
    <row r="403">
      <c r="A403" s="7" t="s">
        <v>981</v>
      </c>
      <c r="B403" s="2" t="s">
        <v>17</v>
      </c>
      <c r="C403" s="13" t="s">
        <v>982</v>
      </c>
      <c r="D403" s="9">
        <v>38601.0</v>
      </c>
      <c r="E403" s="9" t="s">
        <v>1580</v>
      </c>
      <c r="F403" s="14" t="s">
        <v>1581</v>
      </c>
      <c r="G403" s="4" t="s">
        <v>1582</v>
      </c>
      <c r="H403" s="4" t="s">
        <v>1583</v>
      </c>
      <c r="I403" s="5" t="s">
        <v>23</v>
      </c>
      <c r="J403" s="5" t="s">
        <v>24</v>
      </c>
      <c r="K403" s="5" t="s">
        <v>25</v>
      </c>
      <c r="L403" s="11" t="s">
        <v>26</v>
      </c>
      <c r="M403" s="5" t="s">
        <v>27</v>
      </c>
      <c r="N403" t="str">
        <f t="shared" si="1"/>
        <v>URBS 3</v>
      </c>
      <c r="O403" s="12" t="str">
        <f t="shared" si="2"/>
        <v>https://monitoramento.pm.pr.gov.br/proxy_image_3/Interface/Cameras/GetJPEGStream?Camera=TE011CFTV02&amp;AuthUser=copom_DDTQ&amp;AuthPass=DDTQcopom&amp;Width=1024&amp;Height=768&amp;Quality=70&amp;FPS=10&amp;ResponseFormat=Text</v>
      </c>
      <c r="P403" s="6">
        <v>1.0</v>
      </c>
    </row>
    <row r="404">
      <c r="A404" s="7" t="s">
        <v>981</v>
      </c>
      <c r="B404" s="2" t="s">
        <v>17</v>
      </c>
      <c r="C404" s="13" t="s">
        <v>982</v>
      </c>
      <c r="D404" s="9">
        <v>38601.0</v>
      </c>
      <c r="E404" s="9" t="s">
        <v>1584</v>
      </c>
      <c r="F404" s="14" t="s">
        <v>1585</v>
      </c>
      <c r="G404" s="4" t="s">
        <v>1586</v>
      </c>
      <c r="H404" s="4" t="s">
        <v>1587</v>
      </c>
      <c r="I404" s="5" t="s">
        <v>23</v>
      </c>
      <c r="J404" s="5" t="s">
        <v>24</v>
      </c>
      <c r="K404" s="5" t="s">
        <v>25</v>
      </c>
      <c r="L404" s="11" t="s">
        <v>26</v>
      </c>
      <c r="M404" s="5" t="s">
        <v>27</v>
      </c>
      <c r="N404" t="str">
        <f t="shared" si="1"/>
        <v>URBS 3</v>
      </c>
      <c r="O404" s="12" t="str">
        <f t="shared" si="2"/>
        <v>https://monitoramento.pm.pr.gov.br/proxy_image_3/Interface/Cameras/GetJPEGStream?Camera=TE011CFTV03&amp;AuthUser=copom_DDTQ&amp;AuthPass=DDTQcopom&amp;Width=1024&amp;Height=768&amp;Quality=70&amp;FPS=10&amp;ResponseFormat=Text</v>
      </c>
      <c r="P404" s="6">
        <v>1.0</v>
      </c>
    </row>
    <row r="405">
      <c r="A405" s="7" t="s">
        <v>981</v>
      </c>
      <c r="B405" s="2" t="s">
        <v>17</v>
      </c>
      <c r="C405" s="13" t="s">
        <v>982</v>
      </c>
      <c r="D405" s="9">
        <v>38601.0</v>
      </c>
      <c r="E405" s="9" t="s">
        <v>1588</v>
      </c>
      <c r="F405" s="14" t="s">
        <v>1589</v>
      </c>
      <c r="G405" s="4" t="s">
        <v>1590</v>
      </c>
      <c r="H405" s="4" t="s">
        <v>1591</v>
      </c>
      <c r="I405" s="5" t="s">
        <v>23</v>
      </c>
      <c r="J405" s="5" t="s">
        <v>24</v>
      </c>
      <c r="K405" s="5" t="s">
        <v>25</v>
      </c>
      <c r="L405" s="11" t="s">
        <v>26</v>
      </c>
      <c r="M405" s="5" t="s">
        <v>27</v>
      </c>
      <c r="N405" t="str">
        <f t="shared" si="1"/>
        <v>URBS 3</v>
      </c>
      <c r="O405" s="12" t="str">
        <f t="shared" si="2"/>
        <v>https://monitoramento.pm.pr.gov.br/proxy_image_3/Interface/Cameras/GetJPEGStream?Camera=TE011CFTV04&amp;AuthUser=copom_DDTQ&amp;AuthPass=DDTQcopom&amp;Width=1024&amp;Height=768&amp;Quality=70&amp;FPS=10&amp;ResponseFormat=Text</v>
      </c>
      <c r="P405" s="6">
        <v>1.0</v>
      </c>
    </row>
    <row r="406">
      <c r="A406" s="7" t="s">
        <v>981</v>
      </c>
      <c r="B406" s="2" t="s">
        <v>17</v>
      </c>
      <c r="C406" s="13" t="s">
        <v>982</v>
      </c>
      <c r="D406" s="9">
        <v>38601.0</v>
      </c>
      <c r="E406" s="9" t="s">
        <v>1592</v>
      </c>
      <c r="F406" s="16" t="s">
        <v>1593</v>
      </c>
      <c r="G406" s="4" t="s">
        <v>1594</v>
      </c>
      <c r="H406" s="4" t="s">
        <v>1595</v>
      </c>
      <c r="I406" s="5" t="s">
        <v>23</v>
      </c>
      <c r="J406" s="5" t="s">
        <v>24</v>
      </c>
      <c r="K406" s="5" t="s">
        <v>25</v>
      </c>
      <c r="L406" s="11" t="s">
        <v>26</v>
      </c>
      <c r="M406" s="5" t="s">
        <v>27</v>
      </c>
      <c r="N406" t="str">
        <f t="shared" si="1"/>
        <v>URBS 3</v>
      </c>
      <c r="O406" s="12" t="str">
        <f t="shared" si="2"/>
        <v>https://monitoramento.pm.pr.gov.br/proxy_image_3/Interface/Cameras/GetJPEGStream?Camera=TE011CFTV05&amp;AuthUser=copom_DDTQ&amp;AuthPass=DDTQcopom&amp;Width=1024&amp;Height=768&amp;Quality=70&amp;FPS=10&amp;ResponseFormat=Text</v>
      </c>
      <c r="P406" s="6">
        <v>1.0</v>
      </c>
    </row>
    <row r="407">
      <c r="A407" s="7" t="s">
        <v>981</v>
      </c>
      <c r="B407" s="2" t="s">
        <v>17</v>
      </c>
      <c r="C407" s="13" t="s">
        <v>982</v>
      </c>
      <c r="D407" s="9">
        <v>38601.0</v>
      </c>
      <c r="E407" s="9" t="s">
        <v>1596</v>
      </c>
      <c r="F407" s="16" t="s">
        <v>1597</v>
      </c>
      <c r="G407" s="4" t="s">
        <v>1598</v>
      </c>
      <c r="H407" s="4" t="s">
        <v>1599</v>
      </c>
      <c r="I407" s="5" t="s">
        <v>23</v>
      </c>
      <c r="J407" s="5" t="s">
        <v>24</v>
      </c>
      <c r="K407" s="5" t="s">
        <v>25</v>
      </c>
      <c r="L407" s="11" t="s">
        <v>26</v>
      </c>
      <c r="M407" s="5" t="s">
        <v>27</v>
      </c>
      <c r="N407" t="str">
        <f t="shared" si="1"/>
        <v>URBS 3</v>
      </c>
      <c r="O407" s="12" t="str">
        <f t="shared" si="2"/>
        <v>https://monitoramento.pm.pr.gov.br/proxy_image_3/Interface/Cameras/GetJPEGStream?Camera=TE011CFTV06&amp;AuthUser=copom_DDTQ&amp;AuthPass=DDTQcopom&amp;Width=1024&amp;Height=768&amp;Quality=70&amp;FPS=10&amp;ResponseFormat=Text</v>
      </c>
      <c r="P407" s="6">
        <v>1.0</v>
      </c>
    </row>
    <row r="408">
      <c r="A408" s="7" t="s">
        <v>981</v>
      </c>
      <c r="B408" s="2" t="s">
        <v>17</v>
      </c>
      <c r="C408" s="13" t="s">
        <v>982</v>
      </c>
      <c r="D408" s="9">
        <v>38601.0</v>
      </c>
      <c r="E408" s="9" t="s">
        <v>1600</v>
      </c>
      <c r="F408" s="14" t="s">
        <v>1601</v>
      </c>
      <c r="G408" s="4" t="s">
        <v>1602</v>
      </c>
      <c r="H408" s="4" t="s">
        <v>1603</v>
      </c>
      <c r="I408" s="5" t="s">
        <v>23</v>
      </c>
      <c r="J408" s="5" t="s">
        <v>24</v>
      </c>
      <c r="K408" s="5" t="s">
        <v>25</v>
      </c>
      <c r="L408" s="11" t="s">
        <v>26</v>
      </c>
      <c r="M408" s="5" t="s">
        <v>27</v>
      </c>
      <c r="N408" t="str">
        <f t="shared" si="1"/>
        <v>URBS 3</v>
      </c>
      <c r="O408" s="12" t="str">
        <f t="shared" si="2"/>
        <v>https://monitoramento.pm.pr.gov.br/proxy_image_3/Interface/Cameras/GetJPEGStream?Camera=TE011CFTV07&amp;AuthUser=copom_DDTQ&amp;AuthPass=DDTQcopom&amp;Width=1024&amp;Height=768&amp;Quality=70&amp;FPS=10&amp;ResponseFormat=Text</v>
      </c>
      <c r="P408" s="6">
        <v>1.0</v>
      </c>
    </row>
    <row r="409">
      <c r="A409" s="7" t="s">
        <v>981</v>
      </c>
      <c r="B409" s="2" t="s">
        <v>17</v>
      </c>
      <c r="C409" s="13" t="s">
        <v>982</v>
      </c>
      <c r="D409" s="9">
        <v>38601.0</v>
      </c>
      <c r="E409" s="9" t="s">
        <v>1604</v>
      </c>
      <c r="F409" s="14" t="s">
        <v>1605</v>
      </c>
      <c r="G409" s="4" t="s">
        <v>1606</v>
      </c>
      <c r="H409" s="4" t="s">
        <v>1607</v>
      </c>
      <c r="I409" s="5" t="s">
        <v>23</v>
      </c>
      <c r="J409" s="5" t="s">
        <v>24</v>
      </c>
      <c r="K409" s="5" t="s">
        <v>25</v>
      </c>
      <c r="L409" s="11" t="s">
        <v>26</v>
      </c>
      <c r="M409" s="5" t="s">
        <v>27</v>
      </c>
      <c r="N409" t="str">
        <f t="shared" si="1"/>
        <v>URBS 3</v>
      </c>
      <c r="O409" s="12" t="str">
        <f t="shared" si="2"/>
        <v>https://monitoramento.pm.pr.gov.br/proxy_image_3/Interface/Cameras/GetJPEGStream?Camera=TE011CFTV08&amp;AuthUser=copom_DDTQ&amp;AuthPass=DDTQcopom&amp;Width=1024&amp;Height=768&amp;Quality=70&amp;FPS=10&amp;ResponseFormat=Text</v>
      </c>
      <c r="P409" s="6">
        <v>1.0</v>
      </c>
    </row>
    <row r="410">
      <c r="A410" s="7" t="s">
        <v>981</v>
      </c>
      <c r="B410" s="2" t="s">
        <v>17</v>
      </c>
      <c r="C410" s="13" t="s">
        <v>982</v>
      </c>
      <c r="D410" s="9">
        <v>38601.0</v>
      </c>
      <c r="E410" s="9" t="s">
        <v>1608</v>
      </c>
      <c r="F410" s="14" t="s">
        <v>1609</v>
      </c>
      <c r="G410" s="4" t="s">
        <v>1610</v>
      </c>
      <c r="H410" s="4" t="s">
        <v>1611</v>
      </c>
      <c r="I410" s="5" t="s">
        <v>23</v>
      </c>
      <c r="J410" s="5" t="s">
        <v>24</v>
      </c>
      <c r="K410" s="5" t="s">
        <v>25</v>
      </c>
      <c r="L410" s="11" t="s">
        <v>26</v>
      </c>
      <c r="M410" s="5" t="s">
        <v>27</v>
      </c>
      <c r="N410" t="str">
        <f t="shared" si="1"/>
        <v>URBS 3</v>
      </c>
      <c r="O410" s="12" t="str">
        <f t="shared" si="2"/>
        <v>https://monitoramento.pm.pr.gov.br/proxy_image_3/Interface/Cameras/GetJPEGStream?Camera=TE011CFTV09&amp;AuthUser=copom_DDTQ&amp;AuthPass=DDTQcopom&amp;Width=1024&amp;Height=768&amp;Quality=70&amp;FPS=10&amp;ResponseFormat=Text</v>
      </c>
      <c r="P410" s="6">
        <v>1.0</v>
      </c>
    </row>
    <row r="411">
      <c r="A411" s="7" t="s">
        <v>981</v>
      </c>
      <c r="B411" s="2" t="s">
        <v>17</v>
      </c>
      <c r="C411" s="13" t="s">
        <v>982</v>
      </c>
      <c r="D411" s="9">
        <v>38601.0</v>
      </c>
      <c r="E411" s="9" t="s">
        <v>1612</v>
      </c>
      <c r="F411" s="14" t="s">
        <v>1613</v>
      </c>
      <c r="G411" s="4" t="s">
        <v>1614</v>
      </c>
      <c r="H411" s="4" t="s">
        <v>1615</v>
      </c>
      <c r="I411" s="5" t="s">
        <v>23</v>
      </c>
      <c r="J411" s="5" t="s">
        <v>24</v>
      </c>
      <c r="K411" s="5" t="s">
        <v>25</v>
      </c>
      <c r="L411" s="11" t="s">
        <v>26</v>
      </c>
      <c r="M411" s="5" t="s">
        <v>27</v>
      </c>
      <c r="N411" t="str">
        <f t="shared" si="1"/>
        <v>URBS 3</v>
      </c>
      <c r="O411" s="12" t="str">
        <f t="shared" si="2"/>
        <v>https://monitoramento.pm.pr.gov.br/proxy_image_3/Interface/Cameras/GetJPEGStream?Camera=TE012CFTV01&amp;AuthUser=copom_DDTQ&amp;AuthPass=DDTQcopom&amp;Width=1024&amp;Height=768&amp;Quality=70&amp;FPS=10&amp;ResponseFormat=Text</v>
      </c>
      <c r="P411" s="6">
        <v>1.0</v>
      </c>
    </row>
    <row r="412">
      <c r="A412" s="7" t="s">
        <v>981</v>
      </c>
      <c r="B412" s="2" t="s">
        <v>17</v>
      </c>
      <c r="C412" s="13" t="s">
        <v>982</v>
      </c>
      <c r="D412" s="9">
        <v>38601.0</v>
      </c>
      <c r="E412" s="9" t="s">
        <v>1616</v>
      </c>
      <c r="F412" s="14" t="s">
        <v>1617</v>
      </c>
      <c r="G412" s="4" t="s">
        <v>1618</v>
      </c>
      <c r="H412" s="4" t="s">
        <v>1619</v>
      </c>
      <c r="I412" s="5" t="s">
        <v>23</v>
      </c>
      <c r="J412" s="5" t="s">
        <v>24</v>
      </c>
      <c r="K412" s="5" t="s">
        <v>25</v>
      </c>
      <c r="L412" s="11" t="s">
        <v>26</v>
      </c>
      <c r="M412" s="5" t="s">
        <v>27</v>
      </c>
      <c r="N412" t="str">
        <f t="shared" si="1"/>
        <v>URBS 3</v>
      </c>
      <c r="O412" s="12" t="str">
        <f t="shared" si="2"/>
        <v>https://monitoramento.pm.pr.gov.br/proxy_image_3/Interface/Cameras/GetJPEGStream?Camera=TE012CFTV02&amp;AuthUser=copom_DDTQ&amp;AuthPass=DDTQcopom&amp;Width=1024&amp;Height=768&amp;Quality=70&amp;FPS=10&amp;ResponseFormat=Text</v>
      </c>
      <c r="P412" s="6">
        <v>1.0</v>
      </c>
    </row>
    <row r="413">
      <c r="A413" s="7" t="s">
        <v>981</v>
      </c>
      <c r="B413" s="2" t="s">
        <v>17</v>
      </c>
      <c r="C413" s="13" t="s">
        <v>982</v>
      </c>
      <c r="D413" s="9">
        <v>38601.0</v>
      </c>
      <c r="E413" s="9" t="s">
        <v>1620</v>
      </c>
      <c r="F413" s="14" t="s">
        <v>958</v>
      </c>
      <c r="G413" s="4" t="s">
        <v>1621</v>
      </c>
      <c r="H413" s="4" t="s">
        <v>1622</v>
      </c>
      <c r="I413" s="5" t="s">
        <v>23</v>
      </c>
      <c r="J413" s="5" t="s">
        <v>24</v>
      </c>
      <c r="K413" s="5" t="s">
        <v>25</v>
      </c>
      <c r="L413" s="11" t="s">
        <v>26</v>
      </c>
      <c r="M413" s="5" t="s">
        <v>27</v>
      </c>
      <c r="N413" t="str">
        <f t="shared" si="1"/>
        <v>URBS 3</v>
      </c>
      <c r="O413" s="12" t="str">
        <f t="shared" si="2"/>
        <v>https://monitoramento.pm.pr.gov.br/proxy_image_3/Interface/Cameras/GetJPEGStream?Camera=TE012CFTV03&amp;AuthUser=copom_DDTQ&amp;AuthPass=DDTQcopom&amp;Width=1024&amp;Height=768&amp;Quality=70&amp;FPS=10&amp;ResponseFormat=Text</v>
      </c>
      <c r="P413" s="6">
        <v>1.0</v>
      </c>
    </row>
    <row r="414">
      <c r="A414" s="7" t="s">
        <v>981</v>
      </c>
      <c r="B414" s="2" t="s">
        <v>17</v>
      </c>
      <c r="C414" s="13" t="s">
        <v>982</v>
      </c>
      <c r="D414" s="9">
        <v>38601.0</v>
      </c>
      <c r="E414" s="9" t="s">
        <v>1623</v>
      </c>
      <c r="F414" s="14" t="s">
        <v>1624</v>
      </c>
      <c r="G414" s="4" t="s">
        <v>1625</v>
      </c>
      <c r="H414" s="4" t="s">
        <v>1626</v>
      </c>
      <c r="I414" s="5" t="s">
        <v>23</v>
      </c>
      <c r="J414" s="5" t="s">
        <v>24</v>
      </c>
      <c r="K414" s="5" t="s">
        <v>25</v>
      </c>
      <c r="L414" s="11" t="s">
        <v>26</v>
      </c>
      <c r="M414" s="5" t="s">
        <v>27</v>
      </c>
      <c r="N414" t="str">
        <f t="shared" si="1"/>
        <v>URBS 3</v>
      </c>
      <c r="O414" s="12" t="str">
        <f t="shared" si="2"/>
        <v>https://monitoramento.pm.pr.gov.br/proxy_image_3/Interface/Cameras/GetJPEGStream?Camera=TE012CFTV04&amp;AuthUser=copom_DDTQ&amp;AuthPass=DDTQcopom&amp;Width=1024&amp;Height=768&amp;Quality=70&amp;FPS=10&amp;ResponseFormat=Text</v>
      </c>
      <c r="P414" s="6">
        <v>1.0</v>
      </c>
    </row>
    <row r="415">
      <c r="A415" s="7" t="s">
        <v>981</v>
      </c>
      <c r="B415" s="2" t="s">
        <v>17</v>
      </c>
      <c r="C415" s="13" t="s">
        <v>982</v>
      </c>
      <c r="D415" s="9">
        <v>38601.0</v>
      </c>
      <c r="E415" s="9" t="s">
        <v>1627</v>
      </c>
      <c r="F415" s="14" t="s">
        <v>1628</v>
      </c>
      <c r="G415" s="4" t="s">
        <v>1629</v>
      </c>
      <c r="H415" s="4" t="s">
        <v>1630</v>
      </c>
      <c r="I415" s="5" t="s">
        <v>23</v>
      </c>
      <c r="J415" s="5" t="s">
        <v>24</v>
      </c>
      <c r="K415" s="5" t="s">
        <v>25</v>
      </c>
      <c r="L415" s="11" t="s">
        <v>26</v>
      </c>
      <c r="M415" s="5" t="s">
        <v>27</v>
      </c>
      <c r="N415" t="str">
        <f t="shared" si="1"/>
        <v>URBS 3</v>
      </c>
      <c r="O415" s="12" t="str">
        <f t="shared" si="2"/>
        <v>https://monitoramento.pm.pr.gov.br/proxy_image_3/Interface/Cameras/GetJPEGStream?Camera=TE012CFTV05&amp;AuthUser=copom_DDTQ&amp;AuthPass=DDTQcopom&amp;Width=1024&amp;Height=768&amp;Quality=70&amp;FPS=10&amp;ResponseFormat=Text</v>
      </c>
      <c r="P415" s="6">
        <v>1.0</v>
      </c>
    </row>
    <row r="416">
      <c r="A416" s="7" t="s">
        <v>981</v>
      </c>
      <c r="B416" s="2" t="s">
        <v>17</v>
      </c>
      <c r="C416" s="13" t="s">
        <v>982</v>
      </c>
      <c r="D416" s="9">
        <v>38601.0</v>
      </c>
      <c r="E416" s="9" t="s">
        <v>1631</v>
      </c>
      <c r="F416" s="14" t="s">
        <v>1632</v>
      </c>
      <c r="G416" s="4" t="s">
        <v>1633</v>
      </c>
      <c r="H416" s="4" t="s">
        <v>1634</v>
      </c>
      <c r="I416" s="5" t="s">
        <v>23</v>
      </c>
      <c r="J416" s="5" t="s">
        <v>24</v>
      </c>
      <c r="K416" s="5" t="s">
        <v>25</v>
      </c>
      <c r="L416" s="11" t="s">
        <v>26</v>
      </c>
      <c r="M416" s="5" t="s">
        <v>27</v>
      </c>
      <c r="N416" t="str">
        <f t="shared" si="1"/>
        <v>URBS 3</v>
      </c>
      <c r="O416" s="12" t="str">
        <f t="shared" si="2"/>
        <v>https://monitoramento.pm.pr.gov.br/proxy_image_3/Interface/Cameras/GetJPEGStream?Camera=TE012CFTV06&amp;AuthUser=copom_DDTQ&amp;AuthPass=DDTQcopom&amp;Width=1024&amp;Height=768&amp;Quality=70&amp;FPS=10&amp;ResponseFormat=Text</v>
      </c>
      <c r="P416" s="6">
        <v>1.0</v>
      </c>
    </row>
    <row r="417">
      <c r="A417" s="7" t="s">
        <v>981</v>
      </c>
      <c r="B417" s="2" t="s">
        <v>17</v>
      </c>
      <c r="C417" s="13" t="s">
        <v>982</v>
      </c>
      <c r="D417" s="9">
        <v>38601.0</v>
      </c>
      <c r="E417" s="9" t="s">
        <v>1635</v>
      </c>
      <c r="F417" s="14" t="s">
        <v>1636</v>
      </c>
      <c r="G417" s="4" t="s">
        <v>1637</v>
      </c>
      <c r="H417" s="4" t="s">
        <v>1638</v>
      </c>
      <c r="I417" s="5" t="s">
        <v>23</v>
      </c>
      <c r="J417" s="5" t="s">
        <v>24</v>
      </c>
      <c r="K417" s="5" t="s">
        <v>25</v>
      </c>
      <c r="L417" s="11" t="s">
        <v>26</v>
      </c>
      <c r="M417" s="5" t="s">
        <v>27</v>
      </c>
      <c r="N417" t="str">
        <f t="shared" si="1"/>
        <v>URBS 3</v>
      </c>
      <c r="O417" s="12" t="str">
        <f t="shared" si="2"/>
        <v>https://monitoramento.pm.pr.gov.br/proxy_image_3/Interface/Cameras/GetJPEGStream?Camera=TE014CFTV01&amp;AuthUser=copom_DDTQ&amp;AuthPass=DDTQcopom&amp;Width=1024&amp;Height=768&amp;Quality=70&amp;FPS=10&amp;ResponseFormat=Text</v>
      </c>
      <c r="P417" s="6">
        <v>1.0</v>
      </c>
    </row>
    <row r="418">
      <c r="A418" s="7" t="s">
        <v>981</v>
      </c>
      <c r="B418" s="2" t="s">
        <v>17</v>
      </c>
      <c r="C418" s="13" t="s">
        <v>982</v>
      </c>
      <c r="D418" s="9">
        <v>38601.0</v>
      </c>
      <c r="E418" s="9" t="s">
        <v>1639</v>
      </c>
      <c r="F418" s="14" t="s">
        <v>1640</v>
      </c>
      <c r="G418" s="4" t="s">
        <v>1641</v>
      </c>
      <c r="H418" s="4" t="s">
        <v>1642</v>
      </c>
      <c r="I418" s="5" t="s">
        <v>23</v>
      </c>
      <c r="J418" s="5" t="s">
        <v>24</v>
      </c>
      <c r="K418" s="5" t="s">
        <v>25</v>
      </c>
      <c r="L418" s="11" t="s">
        <v>26</v>
      </c>
      <c r="M418" s="5" t="s">
        <v>27</v>
      </c>
      <c r="N418" t="str">
        <f t="shared" si="1"/>
        <v>URBS 3</v>
      </c>
      <c r="O418" s="12" t="str">
        <f t="shared" si="2"/>
        <v>https://monitoramento.pm.pr.gov.br/proxy_image_3/Interface/Cameras/GetJPEGStream?Camera=TE014CFTV02&amp;AuthUser=copom_DDTQ&amp;AuthPass=DDTQcopom&amp;Width=1024&amp;Height=768&amp;Quality=70&amp;FPS=10&amp;ResponseFormat=Text</v>
      </c>
      <c r="P418" s="6">
        <v>1.0</v>
      </c>
    </row>
    <row r="419">
      <c r="A419" s="7" t="s">
        <v>981</v>
      </c>
      <c r="B419" s="2" t="s">
        <v>17</v>
      </c>
      <c r="C419" s="13" t="s">
        <v>982</v>
      </c>
      <c r="D419" s="9">
        <v>38601.0</v>
      </c>
      <c r="E419" s="9" t="s">
        <v>1643</v>
      </c>
      <c r="F419" s="14" t="s">
        <v>1644</v>
      </c>
      <c r="G419" s="4" t="s">
        <v>1645</v>
      </c>
      <c r="H419" s="4" t="s">
        <v>1646</v>
      </c>
      <c r="I419" s="5" t="s">
        <v>23</v>
      </c>
      <c r="J419" s="5" t="s">
        <v>24</v>
      </c>
      <c r="K419" s="5" t="s">
        <v>25</v>
      </c>
      <c r="L419" s="11" t="s">
        <v>26</v>
      </c>
      <c r="M419" s="5" t="s">
        <v>27</v>
      </c>
      <c r="N419" t="str">
        <f t="shared" si="1"/>
        <v>URBS 3</v>
      </c>
      <c r="O419" s="12" t="str">
        <f t="shared" si="2"/>
        <v>https://monitoramento.pm.pr.gov.br/proxy_image_3/Interface/Cameras/GetJPEGStream?Camera=TE014CFTV03&amp;AuthUser=copom_DDTQ&amp;AuthPass=DDTQcopom&amp;Width=1024&amp;Height=768&amp;Quality=70&amp;FPS=10&amp;ResponseFormat=Text</v>
      </c>
      <c r="P419" s="6">
        <v>1.0</v>
      </c>
    </row>
    <row r="420">
      <c r="A420" s="7" t="s">
        <v>981</v>
      </c>
      <c r="B420" s="2" t="s">
        <v>17</v>
      </c>
      <c r="C420" s="13" t="s">
        <v>982</v>
      </c>
      <c r="D420" s="9">
        <v>38601.0</v>
      </c>
      <c r="E420" s="9" t="s">
        <v>1647</v>
      </c>
      <c r="F420" s="14" t="s">
        <v>1648</v>
      </c>
      <c r="G420" s="4" t="s">
        <v>1649</v>
      </c>
      <c r="H420" s="4" t="s">
        <v>1650</v>
      </c>
      <c r="I420" s="5" t="s">
        <v>23</v>
      </c>
      <c r="J420" s="5" t="s">
        <v>24</v>
      </c>
      <c r="K420" s="5" t="s">
        <v>25</v>
      </c>
      <c r="L420" s="11" t="s">
        <v>26</v>
      </c>
      <c r="M420" s="5" t="s">
        <v>27</v>
      </c>
      <c r="N420" t="str">
        <f t="shared" si="1"/>
        <v>URBS 3</v>
      </c>
      <c r="O420" s="12" t="str">
        <f t="shared" si="2"/>
        <v>https://monitoramento.pm.pr.gov.br/proxy_image_3/Interface/Cameras/GetJPEGStream?Camera=TE014CFTV04&amp;AuthUser=copom_DDTQ&amp;AuthPass=DDTQcopom&amp;Width=1024&amp;Height=768&amp;Quality=70&amp;FPS=10&amp;ResponseFormat=Text</v>
      </c>
      <c r="P420" s="6">
        <v>1.0</v>
      </c>
    </row>
    <row r="421">
      <c r="A421" s="7" t="s">
        <v>981</v>
      </c>
      <c r="B421" s="2" t="s">
        <v>17</v>
      </c>
      <c r="C421" s="13" t="s">
        <v>982</v>
      </c>
      <c r="D421" s="9">
        <v>38601.0</v>
      </c>
      <c r="E421" s="9" t="s">
        <v>1651</v>
      </c>
      <c r="F421" s="14" t="s">
        <v>1652</v>
      </c>
      <c r="G421" s="4" t="s">
        <v>1653</v>
      </c>
      <c r="H421" s="4" t="s">
        <v>1654</v>
      </c>
      <c r="I421" s="5" t="s">
        <v>23</v>
      </c>
      <c r="J421" s="5" t="s">
        <v>24</v>
      </c>
      <c r="K421" s="5" t="s">
        <v>25</v>
      </c>
      <c r="L421" s="11" t="s">
        <v>26</v>
      </c>
      <c r="M421" s="5" t="s">
        <v>27</v>
      </c>
      <c r="N421" t="str">
        <f t="shared" si="1"/>
        <v>URBS 3</v>
      </c>
      <c r="O421" s="12" t="str">
        <f t="shared" si="2"/>
        <v>https://monitoramento.pm.pr.gov.br/proxy_image_3/Interface/Cameras/GetJPEGStream?Camera=TE014CFTV05&amp;AuthUser=copom_DDTQ&amp;AuthPass=DDTQcopom&amp;Width=1024&amp;Height=768&amp;Quality=70&amp;FPS=10&amp;ResponseFormat=Text</v>
      </c>
      <c r="P421" s="6">
        <v>1.0</v>
      </c>
    </row>
    <row r="422">
      <c r="A422" s="7" t="s">
        <v>981</v>
      </c>
      <c r="B422" s="2" t="s">
        <v>17</v>
      </c>
      <c r="C422" s="13" t="s">
        <v>982</v>
      </c>
      <c r="D422" s="9">
        <v>38601.0</v>
      </c>
      <c r="E422" s="9" t="s">
        <v>1655</v>
      </c>
      <c r="F422" s="14" t="s">
        <v>1656</v>
      </c>
      <c r="G422" s="4" t="s">
        <v>1657</v>
      </c>
      <c r="H422" s="4" t="s">
        <v>1658</v>
      </c>
      <c r="I422" s="5" t="s">
        <v>23</v>
      </c>
      <c r="J422" s="5" t="s">
        <v>24</v>
      </c>
      <c r="K422" s="5" t="s">
        <v>25</v>
      </c>
      <c r="L422" s="11" t="s">
        <v>26</v>
      </c>
      <c r="M422" s="5" t="s">
        <v>27</v>
      </c>
      <c r="N422" t="str">
        <f t="shared" si="1"/>
        <v>URBS 3</v>
      </c>
      <c r="O422" s="12" t="str">
        <f t="shared" si="2"/>
        <v>https://monitoramento.pm.pr.gov.br/proxy_image_3/Interface/Cameras/GetJPEGStream?Camera=TE014CFTV06&amp;AuthUser=copom_DDTQ&amp;AuthPass=DDTQcopom&amp;Width=1024&amp;Height=768&amp;Quality=70&amp;FPS=10&amp;ResponseFormat=Text</v>
      </c>
      <c r="P422" s="6">
        <v>1.0</v>
      </c>
    </row>
    <row r="423">
      <c r="A423" s="7" t="s">
        <v>981</v>
      </c>
      <c r="B423" s="2" t="s">
        <v>17</v>
      </c>
      <c r="C423" s="13" t="s">
        <v>982</v>
      </c>
      <c r="D423" s="9">
        <v>38601.0</v>
      </c>
      <c r="E423" s="9" t="s">
        <v>1659</v>
      </c>
      <c r="F423" s="14" t="s">
        <v>1660</v>
      </c>
      <c r="G423" s="4" t="s">
        <v>1661</v>
      </c>
      <c r="H423" s="4" t="s">
        <v>1662</v>
      </c>
      <c r="I423" s="5" t="s">
        <v>23</v>
      </c>
      <c r="J423" s="5" t="s">
        <v>24</v>
      </c>
      <c r="K423" s="5" t="s">
        <v>25</v>
      </c>
      <c r="L423" s="11" t="s">
        <v>26</v>
      </c>
      <c r="M423" s="5" t="s">
        <v>27</v>
      </c>
      <c r="N423" t="str">
        <f t="shared" si="1"/>
        <v>URBS 3</v>
      </c>
      <c r="O423" s="12" t="str">
        <f t="shared" si="2"/>
        <v>https://monitoramento.pm.pr.gov.br/proxy_image_3/Interface/Cameras/GetJPEGStream?Camera=TE014CFTV07&amp;AuthUser=copom_DDTQ&amp;AuthPass=DDTQcopom&amp;Width=1024&amp;Height=768&amp;Quality=70&amp;FPS=10&amp;ResponseFormat=Text</v>
      </c>
      <c r="P423" s="6">
        <v>1.0</v>
      </c>
    </row>
    <row r="424">
      <c r="A424" s="17" t="s">
        <v>981</v>
      </c>
      <c r="B424" s="2" t="s">
        <v>17</v>
      </c>
      <c r="C424" s="13" t="s">
        <v>982</v>
      </c>
      <c r="D424" s="18">
        <v>38601.0</v>
      </c>
      <c r="E424" s="18" t="s">
        <v>1663</v>
      </c>
      <c r="F424" s="19" t="s">
        <v>1664</v>
      </c>
      <c r="G424" s="4" t="s">
        <v>1665</v>
      </c>
      <c r="H424" s="4" t="s">
        <v>1666</v>
      </c>
      <c r="I424" s="20" t="s">
        <v>23</v>
      </c>
      <c r="J424" s="20" t="s">
        <v>24</v>
      </c>
      <c r="K424" s="5" t="s">
        <v>25</v>
      </c>
      <c r="L424" s="20" t="s">
        <v>26</v>
      </c>
      <c r="M424" s="20" t="s">
        <v>27</v>
      </c>
      <c r="N424" s="21" t="str">
        <f t="shared" si="1"/>
        <v>URBS 3</v>
      </c>
      <c r="O424" s="12" t="str">
        <f t="shared" si="2"/>
        <v>https://monitoramento.pm.pr.gov.br/proxy_image_3/Interface/Cameras/GetJPEGStream?Camera=TE014CFTV08&amp;AuthUser=copom_DDTQ&amp;AuthPass=DDTQcopom&amp;Width=1024&amp;Height=768&amp;Quality=70&amp;FPS=10&amp;ResponseFormat=Text</v>
      </c>
      <c r="P424" s="22">
        <v>1.0</v>
      </c>
    </row>
    <row r="425">
      <c r="A425" s="17" t="s">
        <v>981</v>
      </c>
      <c r="B425" s="2" t="s">
        <v>17</v>
      </c>
      <c r="C425" s="13" t="s">
        <v>982</v>
      </c>
      <c r="D425" s="18">
        <v>38601.0</v>
      </c>
      <c r="E425" s="18" t="s">
        <v>1667</v>
      </c>
      <c r="F425" s="19" t="s">
        <v>1668</v>
      </c>
      <c r="G425" s="4" t="s">
        <v>1669</v>
      </c>
      <c r="H425" s="4" t="s">
        <v>1670</v>
      </c>
      <c r="I425" s="20" t="s">
        <v>23</v>
      </c>
      <c r="J425" s="20" t="s">
        <v>24</v>
      </c>
      <c r="K425" s="5" t="s">
        <v>25</v>
      </c>
      <c r="L425" s="20" t="s">
        <v>26</v>
      </c>
      <c r="M425" s="20" t="s">
        <v>27</v>
      </c>
      <c r="N425" s="21" t="str">
        <f t="shared" si="1"/>
        <v>URBS 3</v>
      </c>
      <c r="O425" s="12" t="str">
        <f t="shared" si="2"/>
        <v>https://monitoramento.pm.pr.gov.br/proxy_image_3/Interface/Cameras/GetJPEGStream?Camera=TE015CFTV12&amp;AuthUser=copom_DDTQ&amp;AuthPass=DDTQcopom&amp;Width=1024&amp;Height=768&amp;Quality=70&amp;FPS=10&amp;ResponseFormat=Text</v>
      </c>
      <c r="P425" s="22">
        <v>1.0</v>
      </c>
    </row>
    <row r="426">
      <c r="A426" s="7" t="s">
        <v>981</v>
      </c>
      <c r="B426" s="2" t="s">
        <v>17</v>
      </c>
      <c r="C426" s="13" t="s">
        <v>982</v>
      </c>
      <c r="D426" s="9">
        <v>38601.0</v>
      </c>
      <c r="E426" s="9" t="s">
        <v>1671</v>
      </c>
      <c r="F426" s="14" t="s">
        <v>1672</v>
      </c>
      <c r="G426" s="4" t="s">
        <v>1673</v>
      </c>
      <c r="H426" s="4" t="s">
        <v>1674</v>
      </c>
      <c r="I426" s="5" t="s">
        <v>23</v>
      </c>
      <c r="J426" s="5" t="s">
        <v>24</v>
      </c>
      <c r="K426" s="5" t="s">
        <v>25</v>
      </c>
      <c r="L426" s="11" t="s">
        <v>26</v>
      </c>
      <c r="M426" s="5" t="s">
        <v>27</v>
      </c>
      <c r="N426" t="str">
        <f t="shared" si="1"/>
        <v>URBS 3</v>
      </c>
      <c r="O426" s="12" t="str">
        <f t="shared" si="2"/>
        <v>https://monitoramento.pm.pr.gov.br/proxy_image_3/Interface/Cameras/GetJPEGStream?Camera=TE015CFTV14&amp;AuthUser=copom_DDTQ&amp;AuthPass=DDTQcopom&amp;Width=1024&amp;Height=768&amp;Quality=70&amp;FPS=10&amp;ResponseFormat=Text</v>
      </c>
      <c r="P426" s="6">
        <v>1.0</v>
      </c>
    </row>
    <row r="427">
      <c r="A427" s="7" t="s">
        <v>981</v>
      </c>
      <c r="B427" s="2" t="s">
        <v>17</v>
      </c>
      <c r="C427" s="13" t="s">
        <v>982</v>
      </c>
      <c r="D427" s="9">
        <v>38601.0</v>
      </c>
      <c r="E427" s="9" t="s">
        <v>1675</v>
      </c>
      <c r="F427" s="14" t="s">
        <v>1676</v>
      </c>
      <c r="G427" s="4" t="s">
        <v>1677</v>
      </c>
      <c r="H427" s="4" t="s">
        <v>1678</v>
      </c>
      <c r="I427" s="5" t="s">
        <v>23</v>
      </c>
      <c r="J427" s="5" t="s">
        <v>24</v>
      </c>
      <c r="K427" s="5" t="s">
        <v>25</v>
      </c>
      <c r="L427" s="11" t="s">
        <v>26</v>
      </c>
      <c r="M427" s="5" t="s">
        <v>27</v>
      </c>
      <c r="N427" t="str">
        <f t="shared" si="1"/>
        <v>URBS 3</v>
      </c>
      <c r="O427" s="12" t="str">
        <f t="shared" si="2"/>
        <v>https://monitoramento.pm.pr.gov.br/proxy_image_3/Interface/Cameras/GetJPEGStream?Camera=TE015CFTV13&amp;AuthUser=copom_DDTQ&amp;AuthPass=DDTQcopom&amp;Width=1024&amp;Height=768&amp;Quality=70&amp;FPS=10&amp;ResponseFormat=Text</v>
      </c>
      <c r="P427" s="6">
        <v>1.0</v>
      </c>
    </row>
    <row r="428">
      <c r="A428" s="7" t="s">
        <v>981</v>
      </c>
      <c r="B428" s="2" t="s">
        <v>17</v>
      </c>
      <c r="C428" s="13" t="s">
        <v>982</v>
      </c>
      <c r="D428" s="9">
        <v>38601.0</v>
      </c>
      <c r="E428" s="9" t="s">
        <v>1679</v>
      </c>
      <c r="F428" s="14" t="s">
        <v>1680</v>
      </c>
      <c r="G428" s="4" t="s">
        <v>1681</v>
      </c>
      <c r="H428" s="4" t="s">
        <v>1682</v>
      </c>
      <c r="I428" s="5" t="s">
        <v>23</v>
      </c>
      <c r="J428" s="5" t="s">
        <v>24</v>
      </c>
      <c r="K428" s="5" t="s">
        <v>25</v>
      </c>
      <c r="L428" s="11" t="s">
        <v>26</v>
      </c>
      <c r="M428" s="5" t="s">
        <v>27</v>
      </c>
      <c r="N428" t="str">
        <f t="shared" si="1"/>
        <v>URBS 3</v>
      </c>
      <c r="O428" s="12" t="str">
        <f t="shared" si="2"/>
        <v>https://monitoramento.pm.pr.gov.br/proxy_image_3/Interface/Cameras/GetJPEGStream?Camera=TE017CFTV01&amp;AuthUser=copom_DDTQ&amp;AuthPass=DDTQcopom&amp;Width=1024&amp;Height=768&amp;Quality=70&amp;FPS=10&amp;ResponseFormat=Text</v>
      </c>
      <c r="P428" s="6">
        <v>1.0</v>
      </c>
    </row>
    <row r="429">
      <c r="A429" s="7" t="s">
        <v>981</v>
      </c>
      <c r="B429" s="2" t="s">
        <v>17</v>
      </c>
      <c r="C429" s="13" t="s">
        <v>982</v>
      </c>
      <c r="D429" s="9">
        <v>38601.0</v>
      </c>
      <c r="E429" s="9" t="s">
        <v>1683</v>
      </c>
      <c r="F429" s="14" t="s">
        <v>1684</v>
      </c>
      <c r="G429" s="4" t="s">
        <v>1685</v>
      </c>
      <c r="H429" s="4" t="s">
        <v>1686</v>
      </c>
      <c r="I429" s="5" t="s">
        <v>23</v>
      </c>
      <c r="J429" s="5" t="s">
        <v>24</v>
      </c>
      <c r="K429" s="5" t="s">
        <v>25</v>
      </c>
      <c r="L429" s="11" t="s">
        <v>26</v>
      </c>
      <c r="M429" s="5" t="s">
        <v>27</v>
      </c>
      <c r="N429" t="str">
        <f t="shared" si="1"/>
        <v>URBS 3</v>
      </c>
      <c r="O429" s="12" t="str">
        <f t="shared" si="2"/>
        <v>https://monitoramento.pm.pr.gov.br/proxy_image_3/Interface/Cameras/GetJPEGStream?Camera=TE017CFTV02&amp;AuthUser=copom_DDTQ&amp;AuthPass=DDTQcopom&amp;Width=1024&amp;Height=768&amp;Quality=70&amp;FPS=10&amp;ResponseFormat=Text</v>
      </c>
      <c r="P429" s="6">
        <v>1.0</v>
      </c>
    </row>
    <row r="430">
      <c r="A430" s="7" t="s">
        <v>981</v>
      </c>
      <c r="B430" s="2" t="s">
        <v>17</v>
      </c>
      <c r="C430" s="13" t="s">
        <v>982</v>
      </c>
      <c r="D430" s="9">
        <v>38601.0</v>
      </c>
      <c r="E430" s="9" t="s">
        <v>1687</v>
      </c>
      <c r="F430" s="14" t="s">
        <v>1688</v>
      </c>
      <c r="G430" s="4" t="s">
        <v>1689</v>
      </c>
      <c r="H430" s="4" t="s">
        <v>1690</v>
      </c>
      <c r="I430" s="5" t="s">
        <v>23</v>
      </c>
      <c r="J430" s="5" t="s">
        <v>24</v>
      </c>
      <c r="K430" s="5" t="s">
        <v>25</v>
      </c>
      <c r="L430" s="11" t="s">
        <v>26</v>
      </c>
      <c r="M430" s="5" t="s">
        <v>27</v>
      </c>
      <c r="N430" t="str">
        <f t="shared" si="1"/>
        <v>URBS 3</v>
      </c>
      <c r="O430" s="12" t="str">
        <f t="shared" si="2"/>
        <v>https://monitoramento.pm.pr.gov.br/proxy_image_3/Interface/Cameras/GetJPEGStream?Camera=TE017CFTV03&amp;AuthUser=copom_DDTQ&amp;AuthPass=DDTQcopom&amp;Width=1024&amp;Height=768&amp;Quality=70&amp;FPS=10&amp;ResponseFormat=Text</v>
      </c>
      <c r="P430" s="6">
        <v>1.0</v>
      </c>
    </row>
    <row r="431">
      <c r="A431" s="7" t="s">
        <v>981</v>
      </c>
      <c r="B431" s="2" t="s">
        <v>17</v>
      </c>
      <c r="C431" s="13" t="s">
        <v>982</v>
      </c>
      <c r="D431" s="9">
        <v>38601.0</v>
      </c>
      <c r="E431" s="9" t="s">
        <v>1691</v>
      </c>
      <c r="F431" s="14" t="s">
        <v>1692</v>
      </c>
      <c r="G431" s="4" t="s">
        <v>1693</v>
      </c>
      <c r="H431" s="4" t="s">
        <v>1694</v>
      </c>
      <c r="I431" s="5" t="s">
        <v>23</v>
      </c>
      <c r="J431" s="5" t="s">
        <v>24</v>
      </c>
      <c r="K431" s="5" t="s">
        <v>25</v>
      </c>
      <c r="L431" s="11" t="s">
        <v>26</v>
      </c>
      <c r="M431" s="5" t="s">
        <v>27</v>
      </c>
      <c r="N431" t="str">
        <f t="shared" si="1"/>
        <v>URBS 3</v>
      </c>
      <c r="O431" s="12" t="str">
        <f t="shared" si="2"/>
        <v>https://monitoramento.pm.pr.gov.br/proxy_image_3/Interface/Cameras/GetJPEGStream?Camera=TE017CFTV05&amp;AuthUser=copom_DDTQ&amp;AuthPass=DDTQcopom&amp;Width=1024&amp;Height=768&amp;Quality=70&amp;FPS=10&amp;ResponseFormat=Text</v>
      </c>
      <c r="P431" s="6">
        <v>1.0</v>
      </c>
    </row>
    <row r="432">
      <c r="A432" s="7" t="s">
        <v>981</v>
      </c>
      <c r="B432" s="2" t="s">
        <v>17</v>
      </c>
      <c r="C432" s="13" t="s">
        <v>982</v>
      </c>
      <c r="D432" s="9">
        <v>38601.0</v>
      </c>
      <c r="E432" s="9" t="s">
        <v>1695</v>
      </c>
      <c r="F432" s="14" t="s">
        <v>1696</v>
      </c>
      <c r="G432" s="4" t="s">
        <v>1697</v>
      </c>
      <c r="H432" s="4" t="s">
        <v>1698</v>
      </c>
      <c r="I432" s="5" t="s">
        <v>23</v>
      </c>
      <c r="J432" s="5" t="s">
        <v>24</v>
      </c>
      <c r="K432" s="5" t="s">
        <v>25</v>
      </c>
      <c r="L432" s="11" t="s">
        <v>26</v>
      </c>
      <c r="M432" s="5" t="s">
        <v>27</v>
      </c>
      <c r="N432" t="str">
        <f t="shared" si="1"/>
        <v>URBS 3</v>
      </c>
      <c r="O432" s="12" t="str">
        <f t="shared" si="2"/>
        <v>https://monitoramento.pm.pr.gov.br/proxy_image_3/Interface/Cameras/GetJPEGStream?Camera=TE017CFTV06&amp;AuthUser=copom_DDTQ&amp;AuthPass=DDTQcopom&amp;Width=1024&amp;Height=768&amp;Quality=70&amp;FPS=10&amp;ResponseFormat=Text</v>
      </c>
      <c r="P432" s="6">
        <v>1.0</v>
      </c>
    </row>
    <row r="433">
      <c r="A433" s="7" t="s">
        <v>981</v>
      </c>
      <c r="B433" s="2" t="s">
        <v>17</v>
      </c>
      <c r="C433" s="13" t="s">
        <v>982</v>
      </c>
      <c r="D433" s="9">
        <v>38601.0</v>
      </c>
      <c r="E433" s="9" t="s">
        <v>1699</v>
      </c>
      <c r="F433" s="14" t="s">
        <v>1700</v>
      </c>
      <c r="G433" s="4" t="s">
        <v>1701</v>
      </c>
      <c r="H433" s="4" t="s">
        <v>1702</v>
      </c>
      <c r="I433" s="5" t="s">
        <v>23</v>
      </c>
      <c r="J433" s="5" t="s">
        <v>24</v>
      </c>
      <c r="K433" s="5" t="s">
        <v>25</v>
      </c>
      <c r="L433" s="11" t="s">
        <v>26</v>
      </c>
      <c r="M433" s="5" t="s">
        <v>27</v>
      </c>
      <c r="N433" t="str">
        <f t="shared" si="1"/>
        <v>URBS 3</v>
      </c>
      <c r="O433" s="12" t="str">
        <f t="shared" si="2"/>
        <v>https://monitoramento.pm.pr.gov.br/proxy_image_3/Interface/Cameras/GetJPEGStream?Camera=TE017CFTV08&amp;AuthUser=copom_DDTQ&amp;AuthPass=DDTQcopom&amp;Width=1024&amp;Height=768&amp;Quality=70&amp;FPS=10&amp;ResponseFormat=Text</v>
      </c>
      <c r="P433" s="6">
        <v>1.0</v>
      </c>
    </row>
    <row r="434">
      <c r="A434" s="7" t="s">
        <v>981</v>
      </c>
      <c r="B434" s="2" t="s">
        <v>17</v>
      </c>
      <c r="C434" s="13" t="s">
        <v>982</v>
      </c>
      <c r="D434" s="9">
        <v>38601.0</v>
      </c>
      <c r="E434" s="9" t="s">
        <v>1703</v>
      </c>
      <c r="F434" s="14" t="s">
        <v>1704</v>
      </c>
      <c r="G434" s="4" t="s">
        <v>1705</v>
      </c>
      <c r="H434" s="4" t="s">
        <v>1706</v>
      </c>
      <c r="I434" s="5" t="s">
        <v>23</v>
      </c>
      <c r="J434" s="5" t="s">
        <v>24</v>
      </c>
      <c r="K434" s="5" t="s">
        <v>25</v>
      </c>
      <c r="L434" s="11" t="s">
        <v>26</v>
      </c>
      <c r="M434" s="5" t="s">
        <v>27</v>
      </c>
      <c r="N434" t="str">
        <f t="shared" si="1"/>
        <v>URBS 3</v>
      </c>
      <c r="O434" s="12" t="str">
        <f t="shared" si="2"/>
        <v>https://monitoramento.pm.pr.gov.br/proxy_image_3/Interface/Cameras/GetJPEGStream?Camera=TE017CFTV09&amp;AuthUser=copom_DDTQ&amp;AuthPass=DDTQcopom&amp;Width=1024&amp;Height=768&amp;Quality=70&amp;FPS=10&amp;ResponseFormat=Text</v>
      </c>
      <c r="P434" s="6">
        <v>1.0</v>
      </c>
    </row>
    <row r="435">
      <c r="A435" s="7" t="s">
        <v>981</v>
      </c>
      <c r="B435" s="2" t="s">
        <v>17</v>
      </c>
      <c r="C435" s="13" t="s">
        <v>982</v>
      </c>
      <c r="D435" s="9">
        <v>38601.0</v>
      </c>
      <c r="E435" s="9" t="s">
        <v>1707</v>
      </c>
      <c r="F435" s="14" t="s">
        <v>1708</v>
      </c>
      <c r="G435" s="4" t="s">
        <v>1709</v>
      </c>
      <c r="H435" s="4" t="s">
        <v>1710</v>
      </c>
      <c r="I435" s="5" t="s">
        <v>23</v>
      </c>
      <c r="J435" s="5" t="s">
        <v>24</v>
      </c>
      <c r="K435" s="5" t="s">
        <v>25</v>
      </c>
      <c r="L435" s="11" t="s">
        <v>26</v>
      </c>
      <c r="M435" s="5" t="s">
        <v>27</v>
      </c>
      <c r="N435" t="str">
        <f t="shared" si="1"/>
        <v>URBS 3</v>
      </c>
      <c r="O435" s="12" t="str">
        <f t="shared" si="2"/>
        <v>https://monitoramento.pm.pr.gov.br/proxy_image_3/Interface/Cameras/GetJPEGStream?Camera=TE017CFTV10&amp;AuthUser=copom_DDTQ&amp;AuthPass=DDTQcopom&amp;Width=1024&amp;Height=768&amp;Quality=70&amp;FPS=10&amp;ResponseFormat=Text</v>
      </c>
      <c r="P435" s="6">
        <v>1.0</v>
      </c>
    </row>
    <row r="436">
      <c r="A436" s="7" t="s">
        <v>981</v>
      </c>
      <c r="B436" s="2" t="s">
        <v>17</v>
      </c>
      <c r="C436" s="13" t="s">
        <v>982</v>
      </c>
      <c r="D436" s="9">
        <v>38601.0</v>
      </c>
      <c r="E436" s="9" t="s">
        <v>1711</v>
      </c>
      <c r="F436" s="14" t="s">
        <v>1712</v>
      </c>
      <c r="G436" s="4" t="s">
        <v>1713</v>
      </c>
      <c r="H436" s="4" t="s">
        <v>1714</v>
      </c>
      <c r="I436" s="5" t="s">
        <v>23</v>
      </c>
      <c r="J436" s="5" t="s">
        <v>24</v>
      </c>
      <c r="K436" s="5" t="s">
        <v>25</v>
      </c>
      <c r="L436" s="11" t="s">
        <v>26</v>
      </c>
      <c r="M436" s="5" t="s">
        <v>27</v>
      </c>
      <c r="N436" t="str">
        <f t="shared" si="1"/>
        <v>URBS 3</v>
      </c>
      <c r="O436" s="12" t="str">
        <f t="shared" si="2"/>
        <v>https://monitoramento.pm.pr.gov.br/proxy_image_3/Interface/Cameras/GetJPEGStream?Camera=TE017CFTV11&amp;AuthUser=copom_DDTQ&amp;AuthPass=DDTQcopom&amp;Width=1024&amp;Height=768&amp;Quality=70&amp;FPS=10&amp;ResponseFormat=Text</v>
      </c>
      <c r="P436" s="6">
        <v>1.0</v>
      </c>
    </row>
    <row r="437">
      <c r="A437" s="7" t="s">
        <v>981</v>
      </c>
      <c r="B437" s="2" t="s">
        <v>17</v>
      </c>
      <c r="C437" s="13" t="s">
        <v>982</v>
      </c>
      <c r="D437" s="9">
        <v>38601.0</v>
      </c>
      <c r="E437" s="9" t="s">
        <v>1715</v>
      </c>
      <c r="F437" s="14" t="s">
        <v>1716</v>
      </c>
      <c r="G437" s="4" t="s">
        <v>1717</v>
      </c>
      <c r="H437" s="4" t="s">
        <v>1718</v>
      </c>
      <c r="I437" s="5" t="s">
        <v>23</v>
      </c>
      <c r="J437" s="5" t="s">
        <v>24</v>
      </c>
      <c r="K437" s="5" t="s">
        <v>25</v>
      </c>
      <c r="L437" s="11" t="s">
        <v>26</v>
      </c>
      <c r="M437" s="5" t="s">
        <v>27</v>
      </c>
      <c r="N437" t="str">
        <f t="shared" si="1"/>
        <v>URBS 3</v>
      </c>
      <c r="O437" s="12" t="str">
        <f t="shared" si="2"/>
        <v>https://monitoramento.pm.pr.gov.br/proxy_image_3/Interface/Cameras/GetJPEGStream?Camera=TE017CFTV12&amp;AuthUser=copom_DDTQ&amp;AuthPass=DDTQcopom&amp;Width=1024&amp;Height=768&amp;Quality=70&amp;FPS=10&amp;ResponseFormat=Text</v>
      </c>
      <c r="P437" s="6">
        <v>1.0</v>
      </c>
    </row>
    <row r="438">
      <c r="A438" s="7" t="s">
        <v>981</v>
      </c>
      <c r="B438" s="2" t="s">
        <v>17</v>
      </c>
      <c r="C438" s="13" t="s">
        <v>982</v>
      </c>
      <c r="D438" s="9">
        <v>38601.0</v>
      </c>
      <c r="E438" s="9" t="s">
        <v>1719</v>
      </c>
      <c r="F438" s="14" t="s">
        <v>1720</v>
      </c>
      <c r="G438" s="4" t="s">
        <v>1721</v>
      </c>
      <c r="H438" s="4" t="s">
        <v>1722</v>
      </c>
      <c r="I438" s="5" t="s">
        <v>23</v>
      </c>
      <c r="J438" s="5" t="s">
        <v>24</v>
      </c>
      <c r="K438" s="5" t="s">
        <v>25</v>
      </c>
      <c r="L438" s="11" t="s">
        <v>26</v>
      </c>
      <c r="M438" s="5" t="s">
        <v>27</v>
      </c>
      <c r="N438" t="str">
        <f t="shared" si="1"/>
        <v>URBS 3</v>
      </c>
      <c r="O438" s="12" t="str">
        <f t="shared" si="2"/>
        <v>https://monitoramento.pm.pr.gov.br/proxy_image_3/Interface/Cameras/GetJPEGStream?Camera=TE017CFTV13&amp;AuthUser=copom_DDTQ&amp;AuthPass=DDTQcopom&amp;Width=1024&amp;Height=768&amp;Quality=70&amp;FPS=10&amp;ResponseFormat=Text</v>
      </c>
      <c r="P438" s="6">
        <v>1.0</v>
      </c>
    </row>
    <row r="439">
      <c r="A439" s="7" t="s">
        <v>981</v>
      </c>
      <c r="B439" s="2" t="s">
        <v>17</v>
      </c>
      <c r="C439" s="13" t="s">
        <v>982</v>
      </c>
      <c r="D439" s="9">
        <v>38601.0</v>
      </c>
      <c r="E439" s="9" t="s">
        <v>1723</v>
      </c>
      <c r="F439" s="14" t="s">
        <v>1724</v>
      </c>
      <c r="G439" s="4" t="s">
        <v>1725</v>
      </c>
      <c r="H439" s="4" t="s">
        <v>1726</v>
      </c>
      <c r="I439" s="5" t="s">
        <v>23</v>
      </c>
      <c r="J439" s="5" t="s">
        <v>24</v>
      </c>
      <c r="K439" s="5" t="s">
        <v>25</v>
      </c>
      <c r="L439" s="11" t="s">
        <v>26</v>
      </c>
      <c r="M439" s="5" t="s">
        <v>27</v>
      </c>
      <c r="N439" t="str">
        <f t="shared" si="1"/>
        <v>URBS 3</v>
      </c>
      <c r="O439" s="12" t="str">
        <f t="shared" si="2"/>
        <v>https://monitoramento.pm.pr.gov.br/proxy_image_3/Interface/Cameras/GetJPEGStream?Camera=TE017CFTV14&amp;AuthUser=copom_DDTQ&amp;AuthPass=DDTQcopom&amp;Width=1024&amp;Height=768&amp;Quality=70&amp;FPS=10&amp;ResponseFormat=Text</v>
      </c>
      <c r="P439" s="6">
        <v>1.0</v>
      </c>
    </row>
    <row r="440">
      <c r="A440" s="7" t="s">
        <v>981</v>
      </c>
      <c r="B440" s="2" t="s">
        <v>17</v>
      </c>
      <c r="C440" s="13" t="s">
        <v>982</v>
      </c>
      <c r="D440" s="9">
        <v>38601.0</v>
      </c>
      <c r="E440" s="9" t="s">
        <v>1727</v>
      </c>
      <c r="F440" s="14" t="s">
        <v>1728</v>
      </c>
      <c r="G440" s="4" t="s">
        <v>1729</v>
      </c>
      <c r="H440" s="4" t="s">
        <v>1730</v>
      </c>
      <c r="I440" s="5" t="s">
        <v>23</v>
      </c>
      <c r="J440" s="5" t="s">
        <v>24</v>
      </c>
      <c r="K440" s="5" t="s">
        <v>25</v>
      </c>
      <c r="L440" s="11" t="s">
        <v>26</v>
      </c>
      <c r="M440" s="5" t="s">
        <v>27</v>
      </c>
      <c r="N440" t="str">
        <f t="shared" si="1"/>
        <v>URBS 3</v>
      </c>
      <c r="O440" s="12" t="str">
        <f t="shared" si="2"/>
        <v>https://monitoramento.pm.pr.gov.br/proxy_image_3/Interface/Cameras/GetJPEGStream?Camera=TE017CFTV15&amp;AuthUser=copom_DDTQ&amp;AuthPass=DDTQcopom&amp;Width=1024&amp;Height=768&amp;Quality=70&amp;FPS=10&amp;ResponseFormat=Text</v>
      </c>
      <c r="P440" s="6">
        <v>1.0</v>
      </c>
    </row>
    <row r="441">
      <c r="A441" s="7" t="s">
        <v>981</v>
      </c>
      <c r="B441" s="2" t="s">
        <v>17</v>
      </c>
      <c r="C441" s="13" t="s">
        <v>982</v>
      </c>
      <c r="D441" s="9">
        <v>38601.0</v>
      </c>
      <c r="E441" s="9" t="s">
        <v>1731</v>
      </c>
      <c r="F441" s="14" t="s">
        <v>1732</v>
      </c>
      <c r="G441" s="4" t="s">
        <v>1733</v>
      </c>
      <c r="H441" s="4" t="s">
        <v>1734</v>
      </c>
      <c r="I441" s="5" t="s">
        <v>23</v>
      </c>
      <c r="J441" s="5" t="s">
        <v>24</v>
      </c>
      <c r="K441" s="5" t="s">
        <v>25</v>
      </c>
      <c r="L441" s="11" t="s">
        <v>26</v>
      </c>
      <c r="M441" s="5" t="s">
        <v>27</v>
      </c>
      <c r="N441" t="str">
        <f t="shared" si="1"/>
        <v>URBS 3</v>
      </c>
      <c r="O441" s="12" t="str">
        <f t="shared" si="2"/>
        <v>https://monitoramento.pm.pr.gov.br/proxy_image_3/Interface/Cameras/GetJPEGStream?Camera=TE017CFTV16&amp;AuthUser=copom_DDTQ&amp;AuthPass=DDTQcopom&amp;Width=1024&amp;Height=768&amp;Quality=70&amp;FPS=10&amp;ResponseFormat=Text</v>
      </c>
      <c r="P441" s="6">
        <v>1.0</v>
      </c>
    </row>
    <row r="442">
      <c r="A442" s="7" t="s">
        <v>981</v>
      </c>
      <c r="B442" s="2" t="s">
        <v>17</v>
      </c>
      <c r="C442" s="13" t="s">
        <v>982</v>
      </c>
      <c r="D442" s="9">
        <v>38601.0</v>
      </c>
      <c r="E442" s="9" t="s">
        <v>1735</v>
      </c>
      <c r="F442" s="14" t="s">
        <v>1736</v>
      </c>
      <c r="G442" s="4" t="s">
        <v>1737</v>
      </c>
      <c r="H442" s="4" t="s">
        <v>1738</v>
      </c>
      <c r="I442" s="5" t="s">
        <v>23</v>
      </c>
      <c r="J442" s="5" t="s">
        <v>24</v>
      </c>
      <c r="K442" s="5" t="s">
        <v>25</v>
      </c>
      <c r="L442" s="11" t="s">
        <v>26</v>
      </c>
      <c r="M442" s="5" t="s">
        <v>27</v>
      </c>
      <c r="N442" t="str">
        <f t="shared" si="1"/>
        <v>URBS 3</v>
      </c>
      <c r="O442" s="12" t="str">
        <f t="shared" si="2"/>
        <v>https://monitoramento.pm.pr.gov.br/proxy_image_3/Interface/Cameras/GetJPEGStream?Camera=TE017CFTV17&amp;AuthUser=copom_DDTQ&amp;AuthPass=DDTQcopom&amp;Width=1024&amp;Height=768&amp;Quality=70&amp;FPS=10&amp;ResponseFormat=Text</v>
      </c>
      <c r="P442" s="6">
        <v>1.0</v>
      </c>
    </row>
    <row r="443">
      <c r="A443" s="7" t="s">
        <v>981</v>
      </c>
      <c r="B443" s="2" t="s">
        <v>17</v>
      </c>
      <c r="C443" s="13" t="s">
        <v>982</v>
      </c>
      <c r="D443" s="9">
        <v>38601.0</v>
      </c>
      <c r="E443" s="9" t="s">
        <v>1739</v>
      </c>
      <c r="F443" s="14" t="s">
        <v>1740</v>
      </c>
      <c r="G443" s="4" t="s">
        <v>1741</v>
      </c>
      <c r="H443" s="4" t="s">
        <v>1742</v>
      </c>
      <c r="I443" s="5" t="s">
        <v>23</v>
      </c>
      <c r="J443" s="5" t="s">
        <v>24</v>
      </c>
      <c r="K443" s="5" t="s">
        <v>25</v>
      </c>
      <c r="L443" s="11" t="s">
        <v>26</v>
      </c>
      <c r="M443" s="5" t="s">
        <v>27</v>
      </c>
      <c r="N443" t="str">
        <f t="shared" si="1"/>
        <v>URBS 3</v>
      </c>
      <c r="O443" s="12" t="str">
        <f t="shared" si="2"/>
        <v>https://monitoramento.pm.pr.gov.br/proxy_image_3/Interface/Cameras/GetJPEGStream?Camera=TE017CFTV18&amp;AuthUser=copom_DDTQ&amp;AuthPass=DDTQcopom&amp;Width=1024&amp;Height=768&amp;Quality=70&amp;FPS=10&amp;ResponseFormat=Text</v>
      </c>
      <c r="P443" s="6">
        <v>1.0</v>
      </c>
    </row>
    <row r="444">
      <c r="A444" s="17" t="s">
        <v>981</v>
      </c>
      <c r="B444" s="2" t="s">
        <v>17</v>
      </c>
      <c r="C444" s="13" t="s">
        <v>982</v>
      </c>
      <c r="D444" s="18">
        <v>38601.0</v>
      </c>
      <c r="E444" s="18" t="s">
        <v>1743</v>
      </c>
      <c r="F444" s="19" t="s">
        <v>1744</v>
      </c>
      <c r="G444" s="4" t="s">
        <v>1745</v>
      </c>
      <c r="H444" s="4" t="s">
        <v>1746</v>
      </c>
      <c r="I444" s="20" t="s">
        <v>23</v>
      </c>
      <c r="J444" s="20" t="s">
        <v>24</v>
      </c>
      <c r="K444" s="5" t="s">
        <v>25</v>
      </c>
      <c r="L444" s="20" t="s">
        <v>26</v>
      </c>
      <c r="M444" s="20" t="s">
        <v>27</v>
      </c>
      <c r="N444" s="21" t="str">
        <f t="shared" si="1"/>
        <v>URBS 3</v>
      </c>
      <c r="O444" s="12" t="str">
        <f t="shared" si="2"/>
        <v>https://monitoramento.pm.pr.gov.br/proxy_image_3/Interface/Cameras/GetJPEGStream?Camera=TE018CFTV01&amp;AuthUser=copom_DDTQ&amp;AuthPass=DDTQcopom&amp;Width=1024&amp;Height=768&amp;Quality=70&amp;FPS=10&amp;ResponseFormat=Text</v>
      </c>
      <c r="P444" s="22">
        <v>1.0</v>
      </c>
    </row>
    <row r="445">
      <c r="A445" s="7" t="s">
        <v>981</v>
      </c>
      <c r="B445" s="2" t="s">
        <v>17</v>
      </c>
      <c r="C445" s="13" t="s">
        <v>982</v>
      </c>
      <c r="D445" s="9">
        <v>38601.0</v>
      </c>
      <c r="E445" s="9" t="s">
        <v>1747</v>
      </c>
      <c r="F445" s="14" t="s">
        <v>1748</v>
      </c>
      <c r="G445" s="4" t="s">
        <v>1749</v>
      </c>
      <c r="H445" s="4" t="s">
        <v>1750</v>
      </c>
      <c r="I445" s="5" t="s">
        <v>23</v>
      </c>
      <c r="J445" s="5" t="s">
        <v>24</v>
      </c>
      <c r="K445" s="5" t="s">
        <v>25</v>
      </c>
      <c r="L445" s="11" t="s">
        <v>26</v>
      </c>
      <c r="M445" s="5" t="s">
        <v>27</v>
      </c>
      <c r="N445" t="str">
        <f t="shared" si="1"/>
        <v>URBS 3</v>
      </c>
      <c r="O445" s="12" t="str">
        <f t="shared" si="2"/>
        <v>https://monitoramento.pm.pr.gov.br/proxy_image_3/Interface/Cameras/GetJPEGStream?Camera=TE018CFTV02&amp;AuthUser=copom_DDTQ&amp;AuthPass=DDTQcopom&amp;Width=1024&amp;Height=768&amp;Quality=70&amp;FPS=10&amp;ResponseFormat=Text</v>
      </c>
      <c r="P445" s="6">
        <v>1.0</v>
      </c>
    </row>
    <row r="446">
      <c r="A446" s="7" t="s">
        <v>981</v>
      </c>
      <c r="B446" s="2" t="s">
        <v>17</v>
      </c>
      <c r="C446" s="13" t="s">
        <v>982</v>
      </c>
      <c r="D446" s="9">
        <v>38601.0</v>
      </c>
      <c r="E446" s="9" t="s">
        <v>1751</v>
      </c>
      <c r="F446" s="14" t="s">
        <v>1752</v>
      </c>
      <c r="G446" s="4" t="s">
        <v>1753</v>
      </c>
      <c r="H446" s="4" t="s">
        <v>1754</v>
      </c>
      <c r="I446" s="5" t="s">
        <v>23</v>
      </c>
      <c r="J446" s="5" t="s">
        <v>24</v>
      </c>
      <c r="K446" s="5" t="s">
        <v>25</v>
      </c>
      <c r="L446" s="11" t="s">
        <v>26</v>
      </c>
      <c r="M446" s="5" t="s">
        <v>27</v>
      </c>
      <c r="N446" t="str">
        <f t="shared" si="1"/>
        <v>URBS 3</v>
      </c>
      <c r="O446" s="12" t="str">
        <f t="shared" si="2"/>
        <v>https://monitoramento.pm.pr.gov.br/proxy_image_3/Interface/Cameras/GetJPEGStream?Camera=TE018CFTV03&amp;AuthUser=copom_DDTQ&amp;AuthPass=DDTQcopom&amp;Width=1024&amp;Height=768&amp;Quality=70&amp;FPS=10&amp;ResponseFormat=Text</v>
      </c>
      <c r="P446" s="6">
        <v>1.0</v>
      </c>
    </row>
    <row r="447">
      <c r="A447" s="7" t="s">
        <v>981</v>
      </c>
      <c r="B447" s="2" t="s">
        <v>17</v>
      </c>
      <c r="C447" s="13" t="s">
        <v>982</v>
      </c>
      <c r="D447" s="9">
        <v>38601.0</v>
      </c>
      <c r="E447" s="9" t="s">
        <v>1755</v>
      </c>
      <c r="F447" s="14" t="s">
        <v>1756</v>
      </c>
      <c r="G447" s="4" t="s">
        <v>1757</v>
      </c>
      <c r="H447" s="4" t="s">
        <v>1758</v>
      </c>
      <c r="I447" s="5" t="s">
        <v>23</v>
      </c>
      <c r="J447" s="5" t="s">
        <v>24</v>
      </c>
      <c r="K447" s="5" t="s">
        <v>25</v>
      </c>
      <c r="L447" s="11" t="s">
        <v>26</v>
      </c>
      <c r="M447" s="5" t="s">
        <v>27</v>
      </c>
      <c r="N447" t="str">
        <f t="shared" si="1"/>
        <v>URBS 3</v>
      </c>
      <c r="O447" s="12" t="str">
        <f t="shared" si="2"/>
        <v>https://monitoramento.pm.pr.gov.br/proxy_image_3/Interface/Cameras/GetJPEGStream?Camera=TE018CFTV04&amp;AuthUser=copom_DDTQ&amp;AuthPass=DDTQcopom&amp;Width=1024&amp;Height=768&amp;Quality=70&amp;FPS=10&amp;ResponseFormat=Text</v>
      </c>
      <c r="P447" s="6">
        <v>1.0</v>
      </c>
    </row>
    <row r="448">
      <c r="A448" s="7" t="s">
        <v>981</v>
      </c>
      <c r="B448" s="2" t="s">
        <v>17</v>
      </c>
      <c r="C448" s="13" t="s">
        <v>982</v>
      </c>
      <c r="D448" s="9">
        <v>38601.0</v>
      </c>
      <c r="E448" s="9" t="s">
        <v>1759</v>
      </c>
      <c r="F448" s="14" t="s">
        <v>1760</v>
      </c>
      <c r="G448" s="4" t="s">
        <v>1761</v>
      </c>
      <c r="H448" s="4" t="s">
        <v>1762</v>
      </c>
      <c r="I448" s="5" t="s">
        <v>23</v>
      </c>
      <c r="J448" s="5" t="s">
        <v>24</v>
      </c>
      <c r="K448" s="5" t="s">
        <v>25</v>
      </c>
      <c r="L448" s="11" t="s">
        <v>26</v>
      </c>
      <c r="M448" s="5" t="s">
        <v>27</v>
      </c>
      <c r="N448" t="str">
        <f t="shared" si="1"/>
        <v>URBS 3</v>
      </c>
      <c r="O448" s="12" t="str">
        <f t="shared" si="2"/>
        <v>https://monitoramento.pm.pr.gov.br/proxy_image_3/Interface/Cameras/GetJPEGStream?Camera=TE018CFTV05&amp;AuthUser=copom_DDTQ&amp;AuthPass=DDTQcopom&amp;Width=1024&amp;Height=768&amp;Quality=70&amp;FPS=10&amp;ResponseFormat=Text</v>
      </c>
      <c r="P448" s="6">
        <v>1.0</v>
      </c>
    </row>
    <row r="449">
      <c r="A449" s="7" t="s">
        <v>981</v>
      </c>
      <c r="B449" s="2" t="s">
        <v>17</v>
      </c>
      <c r="C449" s="13" t="s">
        <v>982</v>
      </c>
      <c r="D449" s="9">
        <v>38601.0</v>
      </c>
      <c r="E449" s="9" t="s">
        <v>1763</v>
      </c>
      <c r="F449" s="14" t="s">
        <v>1764</v>
      </c>
      <c r="G449" s="4" t="s">
        <v>1765</v>
      </c>
      <c r="H449" s="4" t="s">
        <v>1766</v>
      </c>
      <c r="I449" s="5" t="s">
        <v>23</v>
      </c>
      <c r="J449" s="5" t="s">
        <v>24</v>
      </c>
      <c r="K449" s="5" t="s">
        <v>25</v>
      </c>
      <c r="L449" s="11" t="s">
        <v>26</v>
      </c>
      <c r="M449" s="5" t="s">
        <v>27</v>
      </c>
      <c r="N449" t="str">
        <f t="shared" si="1"/>
        <v>URBS 3</v>
      </c>
      <c r="O449" s="12" t="str">
        <f t="shared" si="2"/>
        <v>https://monitoramento.pm.pr.gov.br/proxy_image_3/Interface/Cameras/GetJPEGStream?Camera=TE018CFTV06&amp;AuthUser=copom_DDTQ&amp;AuthPass=DDTQcopom&amp;Width=1024&amp;Height=768&amp;Quality=70&amp;FPS=10&amp;ResponseFormat=Text</v>
      </c>
      <c r="P449" s="6">
        <v>1.0</v>
      </c>
    </row>
    <row r="450">
      <c r="A450" s="7" t="s">
        <v>981</v>
      </c>
      <c r="B450" s="2" t="s">
        <v>17</v>
      </c>
      <c r="C450" s="13" t="s">
        <v>982</v>
      </c>
      <c r="D450" s="9">
        <v>38601.0</v>
      </c>
      <c r="E450" s="9" t="s">
        <v>1767</v>
      </c>
      <c r="F450" s="14" t="s">
        <v>1768</v>
      </c>
      <c r="G450" s="4" t="s">
        <v>1769</v>
      </c>
      <c r="H450" s="4" t="s">
        <v>1770</v>
      </c>
      <c r="I450" s="5" t="s">
        <v>23</v>
      </c>
      <c r="J450" s="5" t="s">
        <v>24</v>
      </c>
      <c r="K450" s="5" t="s">
        <v>25</v>
      </c>
      <c r="L450" s="11" t="s">
        <v>26</v>
      </c>
      <c r="M450" s="5" t="s">
        <v>27</v>
      </c>
      <c r="N450" t="str">
        <f t="shared" si="1"/>
        <v>URBS 3</v>
      </c>
      <c r="O450" s="12" t="str">
        <f t="shared" si="2"/>
        <v>https://monitoramento.pm.pr.gov.br/proxy_image_3/Interface/Cameras/GetJPEGStream?Camera=TE018CFTV07&amp;AuthUser=copom_DDTQ&amp;AuthPass=DDTQcopom&amp;Width=1024&amp;Height=768&amp;Quality=70&amp;FPS=10&amp;ResponseFormat=Text</v>
      </c>
      <c r="P450" s="6">
        <v>1.0</v>
      </c>
    </row>
    <row r="451">
      <c r="A451" s="7" t="s">
        <v>981</v>
      </c>
      <c r="B451" s="2" t="s">
        <v>17</v>
      </c>
      <c r="C451" s="13" t="s">
        <v>982</v>
      </c>
      <c r="D451" s="9">
        <v>38601.0</v>
      </c>
      <c r="E451" s="9" t="s">
        <v>1771</v>
      </c>
      <c r="F451" s="14" t="s">
        <v>1772</v>
      </c>
      <c r="G451" s="4" t="s">
        <v>1773</v>
      </c>
      <c r="H451" s="4" t="s">
        <v>1774</v>
      </c>
      <c r="I451" s="5" t="s">
        <v>23</v>
      </c>
      <c r="J451" s="5" t="s">
        <v>24</v>
      </c>
      <c r="K451" s="5" t="s">
        <v>25</v>
      </c>
      <c r="L451" s="11" t="s">
        <v>26</v>
      </c>
      <c r="M451" s="5" t="s">
        <v>27</v>
      </c>
      <c r="N451" t="str">
        <f t="shared" si="1"/>
        <v>URBS 3</v>
      </c>
      <c r="O451" s="12" t="str">
        <f t="shared" si="2"/>
        <v>https://monitoramento.pm.pr.gov.br/proxy_image_3/Interface/Cameras/GetJPEGStream?Camera=TE018CFTV08&amp;AuthUser=copom_DDTQ&amp;AuthPass=DDTQcopom&amp;Width=1024&amp;Height=768&amp;Quality=70&amp;FPS=10&amp;ResponseFormat=Text</v>
      </c>
      <c r="P451" s="6">
        <v>1.0</v>
      </c>
    </row>
    <row r="452">
      <c r="A452" s="7" t="s">
        <v>981</v>
      </c>
      <c r="B452" s="2" t="s">
        <v>17</v>
      </c>
      <c r="C452" s="13" t="s">
        <v>982</v>
      </c>
      <c r="D452" s="9">
        <v>38601.0</v>
      </c>
      <c r="E452" s="9" t="s">
        <v>1775</v>
      </c>
      <c r="F452" s="14" t="s">
        <v>1776</v>
      </c>
      <c r="G452" s="4" t="s">
        <v>1777</v>
      </c>
      <c r="H452" s="4" t="s">
        <v>1778</v>
      </c>
      <c r="I452" s="5" t="s">
        <v>23</v>
      </c>
      <c r="J452" s="5" t="s">
        <v>24</v>
      </c>
      <c r="K452" s="5" t="s">
        <v>25</v>
      </c>
      <c r="L452" s="11" t="s">
        <v>26</v>
      </c>
      <c r="M452" s="5" t="s">
        <v>27</v>
      </c>
      <c r="N452" t="str">
        <f t="shared" si="1"/>
        <v>URBS 3</v>
      </c>
      <c r="O452" s="12" t="str">
        <f t="shared" si="2"/>
        <v>https://monitoramento.pm.pr.gov.br/proxy_image_3/Interface/Cameras/GetJPEGStream?Camera=TE018CFTV09&amp;AuthUser=copom_DDTQ&amp;AuthPass=DDTQcopom&amp;Width=1024&amp;Height=768&amp;Quality=70&amp;FPS=10&amp;ResponseFormat=Text</v>
      </c>
      <c r="P452" s="6">
        <v>1.0</v>
      </c>
    </row>
    <row r="453">
      <c r="A453" s="7" t="s">
        <v>981</v>
      </c>
      <c r="B453" s="2" t="s">
        <v>17</v>
      </c>
      <c r="C453" s="13" t="s">
        <v>982</v>
      </c>
      <c r="D453" s="9">
        <v>38601.0</v>
      </c>
      <c r="E453" s="9" t="s">
        <v>1779</v>
      </c>
      <c r="F453" s="14" t="s">
        <v>1780</v>
      </c>
      <c r="G453" s="4" t="s">
        <v>1781</v>
      </c>
      <c r="H453" s="4" t="s">
        <v>1782</v>
      </c>
      <c r="I453" s="5" t="s">
        <v>23</v>
      </c>
      <c r="J453" s="5" t="s">
        <v>24</v>
      </c>
      <c r="K453" s="5" t="s">
        <v>25</v>
      </c>
      <c r="L453" s="11" t="s">
        <v>26</v>
      </c>
      <c r="M453" s="5" t="s">
        <v>27</v>
      </c>
      <c r="N453" t="str">
        <f t="shared" si="1"/>
        <v>URBS 3</v>
      </c>
      <c r="O453" s="12" t="str">
        <f t="shared" si="2"/>
        <v>https://monitoramento.pm.pr.gov.br/proxy_image_3/Interface/Cameras/GetJPEGStream?Camera=TE018CFTV10&amp;AuthUser=copom_DDTQ&amp;AuthPass=DDTQcopom&amp;Width=1024&amp;Height=768&amp;Quality=70&amp;FPS=10&amp;ResponseFormat=Text</v>
      </c>
      <c r="P453" s="6">
        <v>1.0</v>
      </c>
    </row>
    <row r="454">
      <c r="A454" s="7" t="s">
        <v>981</v>
      </c>
      <c r="B454" s="2" t="s">
        <v>17</v>
      </c>
      <c r="C454" s="13" t="s">
        <v>982</v>
      </c>
      <c r="D454" s="9">
        <v>38601.0</v>
      </c>
      <c r="E454" s="9" t="s">
        <v>1783</v>
      </c>
      <c r="F454" s="14" t="s">
        <v>1784</v>
      </c>
      <c r="G454" s="4" t="s">
        <v>1785</v>
      </c>
      <c r="H454" s="4" t="s">
        <v>1786</v>
      </c>
      <c r="I454" s="5" t="s">
        <v>23</v>
      </c>
      <c r="J454" s="5" t="s">
        <v>24</v>
      </c>
      <c r="K454" s="5" t="s">
        <v>25</v>
      </c>
      <c r="L454" s="11" t="s">
        <v>26</v>
      </c>
      <c r="M454" s="5" t="s">
        <v>27</v>
      </c>
      <c r="N454" t="str">
        <f t="shared" si="1"/>
        <v>URBS 3</v>
      </c>
      <c r="O454" s="12" t="str">
        <f t="shared" si="2"/>
        <v>https://monitoramento.pm.pr.gov.br/proxy_image_3/Interface/Cameras/GetJPEGStream?Camera=TE018CFTV11&amp;AuthUser=copom_DDTQ&amp;AuthPass=DDTQcopom&amp;Width=1024&amp;Height=768&amp;Quality=70&amp;FPS=10&amp;ResponseFormat=Text</v>
      </c>
      <c r="P454" s="6">
        <v>1.0</v>
      </c>
    </row>
    <row r="455">
      <c r="A455" s="7" t="s">
        <v>981</v>
      </c>
      <c r="B455" s="2" t="s">
        <v>17</v>
      </c>
      <c r="C455" s="13" t="s">
        <v>982</v>
      </c>
      <c r="D455" s="9">
        <v>38601.0</v>
      </c>
      <c r="E455" s="9" t="s">
        <v>1787</v>
      </c>
      <c r="F455" s="19" t="s">
        <v>1788</v>
      </c>
      <c r="G455" s="4" t="s">
        <v>1789</v>
      </c>
      <c r="H455" s="4" t="s">
        <v>1790</v>
      </c>
      <c r="I455" s="5" t="s">
        <v>23</v>
      </c>
      <c r="J455" s="5" t="s">
        <v>24</v>
      </c>
      <c r="K455" s="5" t="s">
        <v>25</v>
      </c>
      <c r="L455" s="11" t="s">
        <v>26</v>
      </c>
      <c r="M455" s="5" t="s">
        <v>27</v>
      </c>
      <c r="N455" t="str">
        <f t="shared" si="1"/>
        <v>URBS 3</v>
      </c>
      <c r="O455" s="12" t="str">
        <f t="shared" si="2"/>
        <v>https://monitoramento.pm.pr.gov.br/proxy_image_3/Interface/Cameras/GetJPEGStream?Camera=TE018CFTV12&amp;AuthUser=copom_DDTQ&amp;AuthPass=DDTQcopom&amp;Width=1024&amp;Height=768&amp;Quality=70&amp;FPS=10&amp;ResponseFormat=Text</v>
      </c>
      <c r="P455" s="6">
        <v>1.0</v>
      </c>
    </row>
    <row r="456">
      <c r="A456" s="7" t="s">
        <v>981</v>
      </c>
      <c r="B456" s="2" t="s">
        <v>17</v>
      </c>
      <c r="C456" s="13" t="s">
        <v>982</v>
      </c>
      <c r="D456" s="9">
        <v>38601.0</v>
      </c>
      <c r="E456" s="9" t="s">
        <v>1791</v>
      </c>
      <c r="F456" s="16" t="s">
        <v>1792</v>
      </c>
      <c r="G456" s="4" t="s">
        <v>1793</v>
      </c>
      <c r="H456" s="4" t="s">
        <v>1794</v>
      </c>
      <c r="I456" s="5" t="s">
        <v>23</v>
      </c>
      <c r="J456" s="5" t="s">
        <v>24</v>
      </c>
      <c r="K456" s="5" t="s">
        <v>25</v>
      </c>
      <c r="L456" s="11" t="s">
        <v>26</v>
      </c>
      <c r="M456" s="5" t="s">
        <v>27</v>
      </c>
      <c r="N456" t="str">
        <f t="shared" si="1"/>
        <v>URBS 3</v>
      </c>
      <c r="O456" s="12" t="str">
        <f t="shared" si="2"/>
        <v>https://monitoramento.pm.pr.gov.br/proxy_image_3/Interface/Cameras/GetJPEGStream?Camera=TE018CFTV13&amp;AuthUser=copom_DDTQ&amp;AuthPass=DDTQcopom&amp;Width=1024&amp;Height=768&amp;Quality=70&amp;FPS=10&amp;ResponseFormat=Text</v>
      </c>
      <c r="P456" s="6">
        <v>1.0</v>
      </c>
    </row>
    <row r="457">
      <c r="A457" s="7" t="s">
        <v>981</v>
      </c>
      <c r="B457" s="2" t="s">
        <v>17</v>
      </c>
      <c r="C457" s="13" t="s">
        <v>982</v>
      </c>
      <c r="D457" s="9">
        <v>38601.0</v>
      </c>
      <c r="E457" s="9" t="s">
        <v>1795</v>
      </c>
      <c r="F457" s="16" t="s">
        <v>1796</v>
      </c>
      <c r="G457" s="4" t="s">
        <v>1797</v>
      </c>
      <c r="H457" s="4" t="s">
        <v>1798</v>
      </c>
      <c r="I457" s="5" t="s">
        <v>23</v>
      </c>
      <c r="J457" s="5" t="s">
        <v>24</v>
      </c>
      <c r="K457" s="5" t="s">
        <v>25</v>
      </c>
      <c r="L457" s="11" t="s">
        <v>26</v>
      </c>
      <c r="M457" s="5" t="s">
        <v>27</v>
      </c>
      <c r="N457" t="str">
        <f t="shared" si="1"/>
        <v>URBS 3</v>
      </c>
      <c r="O457" s="12" t="str">
        <f t="shared" si="2"/>
        <v>https://monitoramento.pm.pr.gov.br/proxy_image_3/Interface/Cameras/GetJPEGStream?Camera=TE018CFTV14&amp;AuthUser=copom_DDTQ&amp;AuthPass=DDTQcopom&amp;Width=1024&amp;Height=768&amp;Quality=70&amp;FPS=10&amp;ResponseFormat=Text</v>
      </c>
      <c r="P457" s="6">
        <v>1.0</v>
      </c>
    </row>
    <row r="458">
      <c r="A458" s="7" t="s">
        <v>1799</v>
      </c>
      <c r="B458" s="2" t="s">
        <v>17</v>
      </c>
      <c r="C458" s="13" t="s">
        <v>1800</v>
      </c>
      <c r="D458" s="9">
        <v>48601.0</v>
      </c>
      <c r="E458" s="9" t="s">
        <v>19</v>
      </c>
      <c r="F458" s="14" t="s">
        <v>1801</v>
      </c>
      <c r="G458" s="4" t="s">
        <v>1802</v>
      </c>
      <c r="H458" s="4" t="s">
        <v>1803</v>
      </c>
      <c r="I458" s="5" t="s">
        <v>23</v>
      </c>
      <c r="J458" s="5" t="s">
        <v>24</v>
      </c>
      <c r="K458" s="5" t="s">
        <v>25</v>
      </c>
      <c r="L458" s="11" t="s">
        <v>26</v>
      </c>
      <c r="M458" s="5" t="s">
        <v>27</v>
      </c>
      <c r="N458" t="str">
        <f t="shared" si="1"/>
        <v>URBS 4</v>
      </c>
      <c r="O458" s="12" t="str">
        <f t="shared" si="2"/>
        <v>https://monitoramento.pm.pr.gov.br/proxy_image_4/Interface/Cameras/GetJPEGStream?Camera=Camera01&amp;AuthUser=copom_DDTQ&amp;AuthPass=DDTQcopom&amp;Width=1024&amp;Height=768&amp;Quality=70&amp;FPS=10&amp;ResponseFormat=Text</v>
      </c>
      <c r="P458" s="6">
        <v>1.0</v>
      </c>
    </row>
    <row r="459">
      <c r="A459" s="7" t="s">
        <v>1799</v>
      </c>
      <c r="B459" s="2" t="s">
        <v>17</v>
      </c>
      <c r="C459" s="13" t="s">
        <v>1800</v>
      </c>
      <c r="D459" s="9">
        <v>48601.0</v>
      </c>
      <c r="E459" s="9" t="s">
        <v>28</v>
      </c>
      <c r="F459" s="14" t="s">
        <v>1804</v>
      </c>
      <c r="G459" s="4" t="s">
        <v>1805</v>
      </c>
      <c r="H459" s="4" t="s">
        <v>1806</v>
      </c>
      <c r="I459" s="5" t="s">
        <v>23</v>
      </c>
      <c r="J459" s="5" t="s">
        <v>24</v>
      </c>
      <c r="K459" s="5" t="s">
        <v>25</v>
      </c>
      <c r="L459" s="11" t="s">
        <v>26</v>
      </c>
      <c r="M459" s="5" t="s">
        <v>27</v>
      </c>
      <c r="N459" t="str">
        <f t="shared" si="1"/>
        <v>URBS 4</v>
      </c>
      <c r="O459" s="12" t="str">
        <f t="shared" si="2"/>
        <v>https://monitoramento.pm.pr.gov.br/proxy_image_4/Interface/Cameras/GetJPEGStream?Camera=Camera02&amp;AuthUser=copom_DDTQ&amp;AuthPass=DDTQcopom&amp;Width=1024&amp;Height=768&amp;Quality=70&amp;FPS=10&amp;ResponseFormat=Text</v>
      </c>
      <c r="P459" s="6">
        <v>1.0</v>
      </c>
    </row>
    <row r="460">
      <c r="A460" s="7" t="s">
        <v>1799</v>
      </c>
      <c r="B460" s="2" t="s">
        <v>17</v>
      </c>
      <c r="C460" s="13" t="s">
        <v>1800</v>
      </c>
      <c r="D460" s="9">
        <v>48601.0</v>
      </c>
      <c r="E460" s="9" t="s">
        <v>32</v>
      </c>
      <c r="F460" s="14" t="s">
        <v>1807</v>
      </c>
      <c r="G460" s="4" t="s">
        <v>1808</v>
      </c>
      <c r="H460" s="4" t="s">
        <v>1809</v>
      </c>
      <c r="I460" s="5" t="s">
        <v>23</v>
      </c>
      <c r="J460" s="5" t="s">
        <v>24</v>
      </c>
      <c r="K460" s="5" t="s">
        <v>25</v>
      </c>
      <c r="L460" s="11" t="s">
        <v>26</v>
      </c>
      <c r="M460" s="5" t="s">
        <v>27</v>
      </c>
      <c r="N460" t="str">
        <f t="shared" si="1"/>
        <v>URBS 4</v>
      </c>
      <c r="O460" s="12" t="str">
        <f t="shared" si="2"/>
        <v>https://monitoramento.pm.pr.gov.br/proxy_image_4/Interface/Cameras/GetJPEGStream?Camera=Camera03&amp;AuthUser=copom_DDTQ&amp;AuthPass=DDTQcopom&amp;Width=1024&amp;Height=768&amp;Quality=70&amp;FPS=10&amp;ResponseFormat=Text</v>
      </c>
      <c r="P460" s="6">
        <v>1.0</v>
      </c>
    </row>
    <row r="461">
      <c r="A461" s="7" t="s">
        <v>1799</v>
      </c>
      <c r="B461" s="2" t="s">
        <v>17</v>
      </c>
      <c r="C461" s="13" t="s">
        <v>1800</v>
      </c>
      <c r="D461" s="9">
        <v>48601.0</v>
      </c>
      <c r="E461" s="9" t="s">
        <v>36</v>
      </c>
      <c r="F461" s="14" t="s">
        <v>1810</v>
      </c>
      <c r="G461" s="4" t="s">
        <v>1811</v>
      </c>
      <c r="H461" s="4" t="s">
        <v>1812</v>
      </c>
      <c r="I461" s="5" t="s">
        <v>23</v>
      </c>
      <c r="J461" s="5" t="s">
        <v>24</v>
      </c>
      <c r="K461" s="5" t="s">
        <v>25</v>
      </c>
      <c r="L461" s="11" t="s">
        <v>26</v>
      </c>
      <c r="M461" s="5" t="s">
        <v>27</v>
      </c>
      <c r="N461" t="str">
        <f t="shared" si="1"/>
        <v>URBS 4</v>
      </c>
      <c r="O461" s="12" t="str">
        <f t="shared" si="2"/>
        <v>https://monitoramento.pm.pr.gov.br/proxy_image_4/Interface/Cameras/GetJPEGStream?Camera=Camera04&amp;AuthUser=copom_DDTQ&amp;AuthPass=DDTQcopom&amp;Width=1024&amp;Height=768&amp;Quality=70&amp;FPS=10&amp;ResponseFormat=Text</v>
      </c>
      <c r="P461" s="6">
        <v>1.0</v>
      </c>
    </row>
    <row r="462">
      <c r="A462" s="7" t="s">
        <v>1799</v>
      </c>
      <c r="B462" s="2" t="s">
        <v>17</v>
      </c>
      <c r="C462" s="13" t="s">
        <v>1800</v>
      </c>
      <c r="D462" s="9">
        <v>48601.0</v>
      </c>
      <c r="E462" s="9" t="s">
        <v>40</v>
      </c>
      <c r="F462" s="14" t="s">
        <v>1813</v>
      </c>
      <c r="G462" s="4" t="s">
        <v>1814</v>
      </c>
      <c r="H462" s="4" t="s">
        <v>1815</v>
      </c>
      <c r="I462" s="5" t="s">
        <v>23</v>
      </c>
      <c r="J462" s="5" t="s">
        <v>24</v>
      </c>
      <c r="K462" s="5" t="s">
        <v>25</v>
      </c>
      <c r="L462" s="11" t="s">
        <v>26</v>
      </c>
      <c r="M462" s="5" t="s">
        <v>27</v>
      </c>
      <c r="N462" t="str">
        <f t="shared" si="1"/>
        <v>URBS 4</v>
      </c>
      <c r="O462" s="12" t="str">
        <f t="shared" si="2"/>
        <v>https://monitoramento.pm.pr.gov.br/proxy_image_4/Interface/Cameras/GetJPEGStream?Camera=Camera05&amp;AuthUser=copom_DDTQ&amp;AuthPass=DDTQcopom&amp;Width=1024&amp;Height=768&amp;Quality=70&amp;FPS=10&amp;ResponseFormat=Text</v>
      </c>
      <c r="P462" s="6">
        <v>1.0</v>
      </c>
    </row>
    <row r="463">
      <c r="A463" s="7" t="s">
        <v>1799</v>
      </c>
      <c r="B463" s="2" t="s">
        <v>17</v>
      </c>
      <c r="C463" s="13" t="s">
        <v>1800</v>
      </c>
      <c r="D463" s="9">
        <v>48601.0</v>
      </c>
      <c r="E463" s="9" t="s">
        <v>44</v>
      </c>
      <c r="F463" s="14" t="s">
        <v>1816</v>
      </c>
      <c r="G463" s="4" t="s">
        <v>1817</v>
      </c>
      <c r="H463" s="4" t="s">
        <v>1818</v>
      </c>
      <c r="I463" s="5" t="s">
        <v>23</v>
      </c>
      <c r="J463" s="5" t="s">
        <v>24</v>
      </c>
      <c r="K463" s="5" t="s">
        <v>25</v>
      </c>
      <c r="L463" s="11" t="s">
        <v>26</v>
      </c>
      <c r="M463" s="5" t="s">
        <v>27</v>
      </c>
      <c r="N463" t="str">
        <f t="shared" si="1"/>
        <v>URBS 4</v>
      </c>
      <c r="O463" s="12" t="str">
        <f t="shared" si="2"/>
        <v>https://monitoramento.pm.pr.gov.br/proxy_image_4/Interface/Cameras/GetJPEGStream?Camera=Camera06&amp;AuthUser=copom_DDTQ&amp;AuthPass=DDTQcopom&amp;Width=1024&amp;Height=768&amp;Quality=70&amp;FPS=10&amp;ResponseFormat=Text</v>
      </c>
      <c r="P463" s="6">
        <v>1.0</v>
      </c>
    </row>
    <row r="464">
      <c r="A464" s="7" t="s">
        <v>1799</v>
      </c>
      <c r="B464" s="2" t="s">
        <v>17</v>
      </c>
      <c r="C464" s="13" t="s">
        <v>1800</v>
      </c>
      <c r="D464" s="9">
        <v>48601.0</v>
      </c>
      <c r="E464" s="9" t="s">
        <v>48</v>
      </c>
      <c r="F464" s="14" t="s">
        <v>1819</v>
      </c>
      <c r="G464" s="4" t="s">
        <v>1820</v>
      </c>
      <c r="H464" s="4" t="s">
        <v>1821</v>
      </c>
      <c r="I464" s="5" t="s">
        <v>23</v>
      </c>
      <c r="J464" s="5" t="s">
        <v>24</v>
      </c>
      <c r="K464" s="5" t="s">
        <v>25</v>
      </c>
      <c r="L464" s="11" t="s">
        <v>26</v>
      </c>
      <c r="M464" s="5" t="s">
        <v>27</v>
      </c>
      <c r="N464" t="str">
        <f t="shared" si="1"/>
        <v>URBS 4</v>
      </c>
      <c r="O464" s="12" t="str">
        <f t="shared" si="2"/>
        <v>https://monitoramento.pm.pr.gov.br/proxy_image_4/Interface/Cameras/GetJPEGStream?Camera=Camera07&amp;AuthUser=copom_DDTQ&amp;AuthPass=DDTQcopom&amp;Width=1024&amp;Height=768&amp;Quality=70&amp;FPS=10&amp;ResponseFormat=Text</v>
      </c>
      <c r="P464" s="6">
        <v>1.0</v>
      </c>
    </row>
    <row r="465">
      <c r="A465" s="7" t="s">
        <v>1799</v>
      </c>
      <c r="B465" s="2" t="s">
        <v>17</v>
      </c>
      <c r="C465" s="13" t="s">
        <v>1800</v>
      </c>
      <c r="D465" s="9">
        <v>48601.0</v>
      </c>
      <c r="E465" s="9" t="s">
        <v>52</v>
      </c>
      <c r="F465" s="14" t="s">
        <v>1822</v>
      </c>
      <c r="G465" s="4" t="s">
        <v>1823</v>
      </c>
      <c r="H465" s="4" t="s">
        <v>1824</v>
      </c>
      <c r="I465" s="5" t="s">
        <v>23</v>
      </c>
      <c r="J465" s="5" t="s">
        <v>24</v>
      </c>
      <c r="K465" s="5" t="s">
        <v>25</v>
      </c>
      <c r="L465" s="11" t="s">
        <v>26</v>
      </c>
      <c r="M465" s="5" t="s">
        <v>27</v>
      </c>
      <c r="N465" t="str">
        <f t="shared" si="1"/>
        <v>URBS 4</v>
      </c>
      <c r="O465" s="12" t="str">
        <f t="shared" si="2"/>
        <v>https://monitoramento.pm.pr.gov.br/proxy_image_4/Interface/Cameras/GetJPEGStream?Camera=Camera08&amp;AuthUser=copom_DDTQ&amp;AuthPass=DDTQcopom&amp;Width=1024&amp;Height=768&amp;Quality=70&amp;FPS=10&amp;ResponseFormat=Text</v>
      </c>
      <c r="P465" s="6">
        <v>1.0</v>
      </c>
    </row>
    <row r="466">
      <c r="A466" s="7" t="s">
        <v>1799</v>
      </c>
      <c r="B466" s="2" t="s">
        <v>17</v>
      </c>
      <c r="C466" s="13" t="s">
        <v>1800</v>
      </c>
      <c r="D466" s="9">
        <v>48601.0</v>
      </c>
      <c r="E466" s="9" t="s">
        <v>56</v>
      </c>
      <c r="F466" s="14" t="s">
        <v>1825</v>
      </c>
      <c r="G466" s="4" t="s">
        <v>1823</v>
      </c>
      <c r="H466" s="4" t="s">
        <v>1824</v>
      </c>
      <c r="I466" s="5" t="s">
        <v>23</v>
      </c>
      <c r="J466" s="5" t="s">
        <v>24</v>
      </c>
      <c r="K466" s="5" t="s">
        <v>25</v>
      </c>
      <c r="L466" s="11" t="s">
        <v>26</v>
      </c>
      <c r="M466" s="5" t="s">
        <v>27</v>
      </c>
      <c r="N466" t="str">
        <f t="shared" si="1"/>
        <v>URBS 4</v>
      </c>
      <c r="O466" s="12" t="str">
        <f t="shared" si="2"/>
        <v>https://monitoramento.pm.pr.gov.br/proxy_image_4/Interface/Cameras/GetJPEGStream?Camera=Camera09&amp;AuthUser=copom_DDTQ&amp;AuthPass=DDTQcopom&amp;Width=1024&amp;Height=768&amp;Quality=70&amp;FPS=10&amp;ResponseFormat=Text</v>
      </c>
      <c r="P466" s="6">
        <v>1.0</v>
      </c>
    </row>
    <row r="467">
      <c r="A467" s="7" t="s">
        <v>1799</v>
      </c>
      <c r="B467" s="2" t="s">
        <v>17</v>
      </c>
      <c r="C467" s="13" t="s">
        <v>1800</v>
      </c>
      <c r="D467" s="9">
        <v>48601.0</v>
      </c>
      <c r="E467" s="9" t="s">
        <v>60</v>
      </c>
      <c r="F467" s="14" t="s">
        <v>1826</v>
      </c>
      <c r="G467" s="4" t="s">
        <v>1823</v>
      </c>
      <c r="H467" s="4" t="s">
        <v>1824</v>
      </c>
      <c r="I467" s="5" t="s">
        <v>23</v>
      </c>
      <c r="J467" s="5" t="s">
        <v>24</v>
      </c>
      <c r="K467" s="5" t="s">
        <v>25</v>
      </c>
      <c r="L467" s="11" t="s">
        <v>26</v>
      </c>
      <c r="M467" s="5" t="s">
        <v>27</v>
      </c>
      <c r="N467" t="str">
        <f t="shared" si="1"/>
        <v>URBS 4</v>
      </c>
      <c r="O467" s="12" t="str">
        <f t="shared" si="2"/>
        <v>https://monitoramento.pm.pr.gov.br/proxy_image_4/Interface/Cameras/GetJPEGStream?Camera=Camera10&amp;AuthUser=copom_DDTQ&amp;AuthPass=DDTQcopom&amp;Width=1024&amp;Height=768&amp;Quality=70&amp;FPS=10&amp;ResponseFormat=Text</v>
      </c>
      <c r="P467" s="6">
        <v>1.0</v>
      </c>
    </row>
    <row r="468">
      <c r="A468" s="7" t="s">
        <v>1799</v>
      </c>
      <c r="B468" s="2" t="s">
        <v>17</v>
      </c>
      <c r="C468" s="13" t="s">
        <v>1800</v>
      </c>
      <c r="D468" s="9">
        <v>48601.0</v>
      </c>
      <c r="E468" s="9" t="s">
        <v>64</v>
      </c>
      <c r="F468" s="14" t="s">
        <v>1827</v>
      </c>
      <c r="G468" s="4" t="s">
        <v>1828</v>
      </c>
      <c r="H468" s="4" t="s">
        <v>1829</v>
      </c>
      <c r="I468" s="5" t="s">
        <v>23</v>
      </c>
      <c r="J468" s="5" t="s">
        <v>24</v>
      </c>
      <c r="K468" s="5" t="s">
        <v>25</v>
      </c>
      <c r="L468" s="11" t="s">
        <v>26</v>
      </c>
      <c r="M468" s="5" t="s">
        <v>27</v>
      </c>
      <c r="N468" t="str">
        <f t="shared" si="1"/>
        <v>URBS 4</v>
      </c>
      <c r="O468" s="12" t="str">
        <f t="shared" si="2"/>
        <v>https://monitoramento.pm.pr.gov.br/proxy_image_4/Interface/Cameras/GetJPEGStream?Camera=Camera11&amp;AuthUser=copom_DDTQ&amp;AuthPass=DDTQcopom&amp;Width=1024&amp;Height=768&amp;Quality=70&amp;FPS=10&amp;ResponseFormat=Text</v>
      </c>
      <c r="P468" s="6">
        <v>1.0</v>
      </c>
    </row>
    <row r="469">
      <c r="A469" s="7" t="s">
        <v>1799</v>
      </c>
      <c r="B469" s="2" t="s">
        <v>17</v>
      </c>
      <c r="C469" s="13" t="s">
        <v>1800</v>
      </c>
      <c r="D469" s="9">
        <v>48601.0</v>
      </c>
      <c r="E469" s="9" t="s">
        <v>68</v>
      </c>
      <c r="F469" s="14" t="s">
        <v>1830</v>
      </c>
      <c r="G469" s="4" t="s">
        <v>1831</v>
      </c>
      <c r="H469" s="4" t="s">
        <v>1832</v>
      </c>
      <c r="I469" s="5" t="s">
        <v>23</v>
      </c>
      <c r="J469" s="5" t="s">
        <v>24</v>
      </c>
      <c r="K469" s="5" t="s">
        <v>25</v>
      </c>
      <c r="L469" s="11" t="s">
        <v>26</v>
      </c>
      <c r="M469" s="5" t="s">
        <v>27</v>
      </c>
      <c r="N469" t="str">
        <f t="shared" si="1"/>
        <v>URBS 4</v>
      </c>
      <c r="O469" s="12" t="str">
        <f t="shared" si="2"/>
        <v>https://monitoramento.pm.pr.gov.br/proxy_image_4/Interface/Cameras/GetJPEGStream?Camera=Camera12&amp;AuthUser=copom_DDTQ&amp;AuthPass=DDTQcopom&amp;Width=1024&amp;Height=768&amp;Quality=70&amp;FPS=10&amp;ResponseFormat=Text</v>
      </c>
      <c r="P469" s="6">
        <v>1.0</v>
      </c>
    </row>
    <row r="470">
      <c r="A470" s="17" t="s">
        <v>1799</v>
      </c>
      <c r="B470" s="2" t="s">
        <v>17</v>
      </c>
      <c r="C470" s="13" t="s">
        <v>1800</v>
      </c>
      <c r="D470" s="18">
        <v>48601.0</v>
      </c>
      <c r="E470" s="18" t="s">
        <v>1070</v>
      </c>
      <c r="F470" s="19" t="s">
        <v>1833</v>
      </c>
      <c r="G470" s="4" t="s">
        <v>1834</v>
      </c>
      <c r="H470" s="4" t="s">
        <v>1835</v>
      </c>
      <c r="I470" s="20" t="s">
        <v>23</v>
      </c>
      <c r="J470" s="20" t="s">
        <v>24</v>
      </c>
      <c r="K470" s="5" t="s">
        <v>25</v>
      </c>
      <c r="L470" s="20" t="s">
        <v>26</v>
      </c>
      <c r="M470" s="20" t="s">
        <v>27</v>
      </c>
      <c r="N470" s="21" t="str">
        <f t="shared" si="1"/>
        <v>URBS 4</v>
      </c>
      <c r="O470" s="12" t="str">
        <f t="shared" si="2"/>
        <v>https://monitoramento.pm.pr.gov.br/proxy_image_4/Interface/Cameras/GetJPEGStream?Camera=Camera123&amp;AuthUser=copom_DDTQ&amp;AuthPass=DDTQcopom&amp;Width=1024&amp;Height=768&amp;Quality=70&amp;FPS=10&amp;ResponseFormat=Text</v>
      </c>
      <c r="P470" s="22">
        <v>1.0</v>
      </c>
    </row>
    <row r="471">
      <c r="A471" s="7" t="s">
        <v>1799</v>
      </c>
      <c r="B471" s="2" t="s">
        <v>17</v>
      </c>
      <c r="C471" s="13" t="s">
        <v>1800</v>
      </c>
      <c r="D471" s="9">
        <v>48601.0</v>
      </c>
      <c r="E471" s="9" t="s">
        <v>1074</v>
      </c>
      <c r="F471" s="16" t="s">
        <v>1836</v>
      </c>
      <c r="G471" s="4" t="s">
        <v>1837</v>
      </c>
      <c r="H471" s="4" t="s">
        <v>1838</v>
      </c>
      <c r="I471" s="5" t="s">
        <v>23</v>
      </c>
      <c r="J471" s="5" t="s">
        <v>24</v>
      </c>
      <c r="K471" s="5" t="s">
        <v>25</v>
      </c>
      <c r="L471" s="11" t="s">
        <v>26</v>
      </c>
      <c r="M471" s="5" t="s">
        <v>27</v>
      </c>
      <c r="N471" t="str">
        <f t="shared" si="1"/>
        <v>URBS 4</v>
      </c>
      <c r="O471" s="12" t="str">
        <f t="shared" si="2"/>
        <v>https://monitoramento.pm.pr.gov.br/proxy_image_4/Interface/Cameras/GetJPEGStream?Camera=Camera124&amp;AuthUser=copom_DDTQ&amp;AuthPass=DDTQcopom&amp;Width=1024&amp;Height=768&amp;Quality=70&amp;FPS=10&amp;ResponseFormat=Text</v>
      </c>
      <c r="P471" s="6">
        <v>1.0</v>
      </c>
    </row>
    <row r="472">
      <c r="A472" s="7" t="s">
        <v>1799</v>
      </c>
      <c r="B472" s="2" t="s">
        <v>17</v>
      </c>
      <c r="C472" s="13" t="s">
        <v>1800</v>
      </c>
      <c r="D472" s="9">
        <v>48601.0</v>
      </c>
      <c r="E472" s="9" t="s">
        <v>1078</v>
      </c>
      <c r="F472" s="14" t="s">
        <v>1839</v>
      </c>
      <c r="G472" s="4" t="s">
        <v>1840</v>
      </c>
      <c r="H472" s="4" t="s">
        <v>1841</v>
      </c>
      <c r="I472" s="5" t="s">
        <v>23</v>
      </c>
      <c r="J472" s="5" t="s">
        <v>24</v>
      </c>
      <c r="K472" s="5" t="s">
        <v>25</v>
      </c>
      <c r="L472" s="11" t="s">
        <v>26</v>
      </c>
      <c r="M472" s="5" t="s">
        <v>27</v>
      </c>
      <c r="N472" t="str">
        <f t="shared" si="1"/>
        <v>URBS 4</v>
      </c>
      <c r="O472" s="12" t="str">
        <f t="shared" si="2"/>
        <v>https://monitoramento.pm.pr.gov.br/proxy_image_4/Interface/Cameras/GetJPEGStream?Camera=Camera125&amp;AuthUser=copom_DDTQ&amp;AuthPass=DDTQcopom&amp;Width=1024&amp;Height=768&amp;Quality=70&amp;FPS=10&amp;ResponseFormat=Text</v>
      </c>
      <c r="P472" s="6">
        <v>1.0</v>
      </c>
    </row>
    <row r="473">
      <c r="A473" s="7" t="s">
        <v>1799</v>
      </c>
      <c r="B473" s="2" t="s">
        <v>17</v>
      </c>
      <c r="C473" s="13" t="s">
        <v>1800</v>
      </c>
      <c r="D473" s="9">
        <v>48601.0</v>
      </c>
      <c r="E473" s="9" t="s">
        <v>1082</v>
      </c>
      <c r="F473" s="14" t="s">
        <v>1842</v>
      </c>
      <c r="G473" s="4" t="s">
        <v>1843</v>
      </c>
      <c r="H473" s="4" t="s">
        <v>1844</v>
      </c>
      <c r="I473" s="5" t="s">
        <v>23</v>
      </c>
      <c r="J473" s="5" t="s">
        <v>24</v>
      </c>
      <c r="K473" s="5" t="s">
        <v>25</v>
      </c>
      <c r="L473" s="11" t="s">
        <v>26</v>
      </c>
      <c r="M473" s="5" t="s">
        <v>27</v>
      </c>
      <c r="N473" t="str">
        <f t="shared" si="1"/>
        <v>URBS 4</v>
      </c>
      <c r="O473" s="12" t="str">
        <f t="shared" si="2"/>
        <v>https://monitoramento.pm.pr.gov.br/proxy_image_4/Interface/Cameras/GetJPEGStream?Camera=Camera126&amp;AuthUser=copom_DDTQ&amp;AuthPass=DDTQcopom&amp;Width=1024&amp;Height=768&amp;Quality=70&amp;FPS=10&amp;ResponseFormat=Text</v>
      </c>
      <c r="P473" s="6">
        <v>1.0</v>
      </c>
    </row>
    <row r="474">
      <c r="A474" s="7" t="s">
        <v>1799</v>
      </c>
      <c r="B474" s="2" t="s">
        <v>17</v>
      </c>
      <c r="C474" s="13" t="s">
        <v>1800</v>
      </c>
      <c r="D474" s="9">
        <v>48601.0</v>
      </c>
      <c r="E474" s="9" t="s">
        <v>1086</v>
      </c>
      <c r="F474" s="14" t="s">
        <v>1845</v>
      </c>
      <c r="G474" s="4" t="s">
        <v>1846</v>
      </c>
      <c r="H474" s="4" t="s">
        <v>1847</v>
      </c>
      <c r="I474" s="5" t="s">
        <v>23</v>
      </c>
      <c r="J474" s="5" t="s">
        <v>24</v>
      </c>
      <c r="K474" s="5" t="s">
        <v>25</v>
      </c>
      <c r="L474" s="11" t="s">
        <v>26</v>
      </c>
      <c r="M474" s="5" t="s">
        <v>27</v>
      </c>
      <c r="N474" t="str">
        <f t="shared" si="1"/>
        <v>URBS 4</v>
      </c>
      <c r="O474" s="12" t="str">
        <f t="shared" si="2"/>
        <v>https://monitoramento.pm.pr.gov.br/proxy_image_4/Interface/Cameras/GetJPEGStream?Camera=Camera127&amp;AuthUser=copom_DDTQ&amp;AuthPass=DDTQcopom&amp;Width=1024&amp;Height=768&amp;Quality=70&amp;FPS=10&amp;ResponseFormat=Text</v>
      </c>
      <c r="P474" s="6">
        <v>1.0</v>
      </c>
    </row>
    <row r="475">
      <c r="A475" s="7" t="s">
        <v>1799</v>
      </c>
      <c r="B475" s="2" t="s">
        <v>17</v>
      </c>
      <c r="C475" s="13" t="s">
        <v>1800</v>
      </c>
      <c r="D475" s="9">
        <v>48601.0</v>
      </c>
      <c r="E475" s="9" t="s">
        <v>1090</v>
      </c>
      <c r="F475" s="14" t="s">
        <v>1848</v>
      </c>
      <c r="G475" s="4" t="s">
        <v>1849</v>
      </c>
      <c r="H475" s="4" t="s">
        <v>1850</v>
      </c>
      <c r="I475" s="5" t="s">
        <v>23</v>
      </c>
      <c r="J475" s="5" t="s">
        <v>24</v>
      </c>
      <c r="K475" s="5" t="s">
        <v>25</v>
      </c>
      <c r="L475" s="11" t="s">
        <v>26</v>
      </c>
      <c r="M475" s="5" t="s">
        <v>27</v>
      </c>
      <c r="N475" t="str">
        <f t="shared" si="1"/>
        <v>URBS 4</v>
      </c>
      <c r="O475" s="12" t="str">
        <f t="shared" si="2"/>
        <v>https://monitoramento.pm.pr.gov.br/proxy_image_4/Interface/Cameras/GetJPEGStream?Camera=Camera128&amp;AuthUser=copom_DDTQ&amp;AuthPass=DDTQcopom&amp;Width=1024&amp;Height=768&amp;Quality=70&amp;FPS=10&amp;ResponseFormat=Text</v>
      </c>
      <c r="P475" s="6">
        <v>1.0</v>
      </c>
    </row>
    <row r="476">
      <c r="A476" s="7" t="s">
        <v>1799</v>
      </c>
      <c r="B476" s="2" t="s">
        <v>17</v>
      </c>
      <c r="C476" s="13" t="s">
        <v>1800</v>
      </c>
      <c r="D476" s="9">
        <v>48601.0</v>
      </c>
      <c r="E476" s="9" t="s">
        <v>1094</v>
      </c>
      <c r="F476" s="14" t="s">
        <v>1851</v>
      </c>
      <c r="G476" s="4" t="s">
        <v>1852</v>
      </c>
      <c r="H476" s="4" t="s">
        <v>1853</v>
      </c>
      <c r="I476" s="5" t="s">
        <v>23</v>
      </c>
      <c r="J476" s="5" t="s">
        <v>24</v>
      </c>
      <c r="K476" s="5" t="s">
        <v>25</v>
      </c>
      <c r="L476" s="11" t="s">
        <v>26</v>
      </c>
      <c r="M476" s="5" t="s">
        <v>27</v>
      </c>
      <c r="N476" t="str">
        <f t="shared" si="1"/>
        <v>URBS 4</v>
      </c>
      <c r="O476" s="12" t="str">
        <f t="shared" si="2"/>
        <v>https://monitoramento.pm.pr.gov.br/proxy_image_4/Interface/Cameras/GetJPEGStream?Camera=Camera129&amp;AuthUser=copom_DDTQ&amp;AuthPass=DDTQcopom&amp;Width=1024&amp;Height=768&amp;Quality=70&amp;FPS=10&amp;ResponseFormat=Text</v>
      </c>
      <c r="P476" s="6">
        <v>1.0</v>
      </c>
    </row>
    <row r="477">
      <c r="A477" s="7" t="s">
        <v>1799</v>
      </c>
      <c r="B477" s="2" t="s">
        <v>17</v>
      </c>
      <c r="C477" s="13" t="s">
        <v>1800</v>
      </c>
      <c r="D477" s="9">
        <v>48601.0</v>
      </c>
      <c r="E477" s="9" t="s">
        <v>72</v>
      </c>
      <c r="F477" s="16" t="s">
        <v>1854</v>
      </c>
      <c r="G477" s="4" t="s">
        <v>1855</v>
      </c>
      <c r="H477" s="4" t="s">
        <v>1856</v>
      </c>
      <c r="I477" s="5" t="s">
        <v>23</v>
      </c>
      <c r="J477" s="5" t="s">
        <v>24</v>
      </c>
      <c r="K477" s="5" t="s">
        <v>25</v>
      </c>
      <c r="L477" s="11" t="s">
        <v>26</v>
      </c>
      <c r="M477" s="5" t="s">
        <v>27</v>
      </c>
      <c r="N477" t="str">
        <f t="shared" si="1"/>
        <v>URBS 4</v>
      </c>
      <c r="O477" s="12" t="str">
        <f t="shared" si="2"/>
        <v>https://monitoramento.pm.pr.gov.br/proxy_image_4/Interface/Cameras/GetJPEGStream?Camera=Camera13&amp;AuthUser=copom_DDTQ&amp;AuthPass=DDTQcopom&amp;Width=1024&amp;Height=768&amp;Quality=70&amp;FPS=10&amp;ResponseFormat=Text</v>
      </c>
      <c r="P477" s="6">
        <v>1.0</v>
      </c>
    </row>
    <row r="478">
      <c r="A478" s="7" t="s">
        <v>1799</v>
      </c>
      <c r="B478" s="2" t="s">
        <v>17</v>
      </c>
      <c r="C478" s="13" t="s">
        <v>1800</v>
      </c>
      <c r="D478" s="9">
        <v>48601.0</v>
      </c>
      <c r="E478" s="9" t="s">
        <v>1098</v>
      </c>
      <c r="F478" s="14" t="s">
        <v>1857</v>
      </c>
      <c r="G478" s="4" t="s">
        <v>1858</v>
      </c>
      <c r="H478" s="4" t="s">
        <v>1859</v>
      </c>
      <c r="I478" s="5" t="s">
        <v>23</v>
      </c>
      <c r="J478" s="5" t="s">
        <v>24</v>
      </c>
      <c r="K478" s="5" t="s">
        <v>25</v>
      </c>
      <c r="L478" s="11" t="s">
        <v>26</v>
      </c>
      <c r="M478" s="5" t="s">
        <v>27</v>
      </c>
      <c r="N478" t="str">
        <f t="shared" si="1"/>
        <v>URBS 4</v>
      </c>
      <c r="O478" s="12" t="str">
        <f t="shared" si="2"/>
        <v>https://monitoramento.pm.pr.gov.br/proxy_image_4/Interface/Cameras/GetJPEGStream?Camera=Camera130&amp;AuthUser=copom_DDTQ&amp;AuthPass=DDTQcopom&amp;Width=1024&amp;Height=768&amp;Quality=70&amp;FPS=10&amp;ResponseFormat=Text</v>
      </c>
      <c r="P478" s="6">
        <v>1.0</v>
      </c>
    </row>
    <row r="479">
      <c r="A479" s="7" t="s">
        <v>1799</v>
      </c>
      <c r="B479" s="2" t="s">
        <v>17</v>
      </c>
      <c r="C479" s="13" t="s">
        <v>1800</v>
      </c>
      <c r="D479" s="9">
        <v>48601.0</v>
      </c>
      <c r="E479" s="9" t="s">
        <v>1860</v>
      </c>
      <c r="F479" s="14" t="s">
        <v>1861</v>
      </c>
      <c r="G479" s="4" t="s">
        <v>1862</v>
      </c>
      <c r="H479" s="4" t="s">
        <v>1863</v>
      </c>
      <c r="I479" s="5" t="s">
        <v>23</v>
      </c>
      <c r="J479" s="5" t="s">
        <v>24</v>
      </c>
      <c r="K479" s="5" t="s">
        <v>25</v>
      </c>
      <c r="L479" s="11" t="s">
        <v>26</v>
      </c>
      <c r="M479" s="5" t="s">
        <v>27</v>
      </c>
      <c r="N479" t="str">
        <f t="shared" si="1"/>
        <v>URBS 4</v>
      </c>
      <c r="O479" s="12" t="str">
        <f t="shared" si="2"/>
        <v>https://monitoramento.pm.pr.gov.br/proxy_image_4/Interface/Cameras/GetJPEGStream?Camera=Camera131&amp;AuthUser=copom_DDTQ&amp;AuthPass=DDTQcopom&amp;Width=1024&amp;Height=768&amp;Quality=70&amp;FPS=10&amp;ResponseFormat=Text</v>
      </c>
      <c r="P479" s="6">
        <v>1.0</v>
      </c>
    </row>
    <row r="480">
      <c r="A480" s="7" t="s">
        <v>1799</v>
      </c>
      <c r="B480" s="2" t="s">
        <v>17</v>
      </c>
      <c r="C480" s="13" t="s">
        <v>1800</v>
      </c>
      <c r="D480" s="9">
        <v>48601.0</v>
      </c>
      <c r="E480" s="9" t="s">
        <v>1864</v>
      </c>
      <c r="F480" s="14" t="s">
        <v>1865</v>
      </c>
      <c r="G480" s="4" t="s">
        <v>1866</v>
      </c>
      <c r="H480" s="4" t="s">
        <v>1867</v>
      </c>
      <c r="I480" s="5" t="s">
        <v>23</v>
      </c>
      <c r="J480" s="5" t="s">
        <v>24</v>
      </c>
      <c r="K480" s="5" t="s">
        <v>25</v>
      </c>
      <c r="L480" s="11" t="s">
        <v>26</v>
      </c>
      <c r="M480" s="5" t="s">
        <v>27</v>
      </c>
      <c r="N480" t="str">
        <f t="shared" si="1"/>
        <v>URBS 4</v>
      </c>
      <c r="O480" s="12" t="str">
        <f t="shared" si="2"/>
        <v>https://monitoramento.pm.pr.gov.br/proxy_image_4/Interface/Cameras/GetJPEGStream?Camera=Camera132&amp;AuthUser=copom_DDTQ&amp;AuthPass=DDTQcopom&amp;Width=1024&amp;Height=768&amp;Quality=70&amp;FPS=10&amp;ResponseFormat=Text</v>
      </c>
      <c r="P480" s="6">
        <v>1.0</v>
      </c>
    </row>
    <row r="481">
      <c r="A481" s="7" t="s">
        <v>1799</v>
      </c>
      <c r="B481" s="2" t="s">
        <v>17</v>
      </c>
      <c r="C481" s="13" t="s">
        <v>1800</v>
      </c>
      <c r="D481" s="9">
        <v>48601.0</v>
      </c>
      <c r="E481" s="9" t="s">
        <v>76</v>
      </c>
      <c r="F481" s="14" t="s">
        <v>1868</v>
      </c>
      <c r="G481" s="4" t="s">
        <v>1869</v>
      </c>
      <c r="H481" s="4" t="s">
        <v>1870</v>
      </c>
      <c r="I481" s="5" t="s">
        <v>23</v>
      </c>
      <c r="J481" s="5" t="s">
        <v>24</v>
      </c>
      <c r="K481" s="5" t="s">
        <v>25</v>
      </c>
      <c r="L481" s="11" t="s">
        <v>26</v>
      </c>
      <c r="M481" s="5" t="s">
        <v>27</v>
      </c>
      <c r="N481" t="str">
        <f t="shared" si="1"/>
        <v>URBS 4</v>
      </c>
      <c r="O481" s="12" t="str">
        <f t="shared" si="2"/>
        <v>https://monitoramento.pm.pr.gov.br/proxy_image_4/Interface/Cameras/GetJPEGStream?Camera=Camera14&amp;AuthUser=copom_DDTQ&amp;AuthPass=DDTQcopom&amp;Width=1024&amp;Height=768&amp;Quality=70&amp;FPS=10&amp;ResponseFormat=Text</v>
      </c>
      <c r="P481" s="6">
        <v>1.0</v>
      </c>
    </row>
    <row r="482">
      <c r="A482" s="7" t="s">
        <v>1799</v>
      </c>
      <c r="B482" s="2" t="s">
        <v>17</v>
      </c>
      <c r="C482" s="13" t="s">
        <v>1800</v>
      </c>
      <c r="D482" s="9">
        <v>48601.0</v>
      </c>
      <c r="E482" s="9" t="s">
        <v>1871</v>
      </c>
      <c r="F482" s="14" t="s">
        <v>1872</v>
      </c>
      <c r="G482" s="4" t="s">
        <v>1873</v>
      </c>
      <c r="H482" s="4" t="s">
        <v>1874</v>
      </c>
      <c r="I482" s="5" t="s">
        <v>23</v>
      </c>
      <c r="J482" s="5" t="s">
        <v>24</v>
      </c>
      <c r="K482" s="5" t="s">
        <v>25</v>
      </c>
      <c r="L482" s="11" t="s">
        <v>26</v>
      </c>
      <c r="M482" s="5" t="s">
        <v>27</v>
      </c>
      <c r="N482" t="str">
        <f t="shared" si="1"/>
        <v>URBS 4</v>
      </c>
      <c r="O482" s="12" t="str">
        <f t="shared" si="2"/>
        <v>https://monitoramento.pm.pr.gov.br/proxy_image_4/Interface/Cameras/GetJPEGStream?Camera=Camera15&amp;AuthUser=copom_DDTQ&amp;AuthPass=DDTQcopom&amp;Width=1024&amp;Height=768&amp;Quality=70&amp;FPS=10&amp;ResponseFormat=Text</v>
      </c>
      <c r="P482" s="6">
        <v>1.0</v>
      </c>
    </row>
    <row r="483">
      <c r="A483" s="7" t="s">
        <v>1799</v>
      </c>
      <c r="B483" s="2" t="s">
        <v>17</v>
      </c>
      <c r="C483" s="13" t="s">
        <v>1800</v>
      </c>
      <c r="D483" s="9">
        <v>48601.0</v>
      </c>
      <c r="E483" s="9" t="s">
        <v>84</v>
      </c>
      <c r="F483" s="14" t="s">
        <v>1875</v>
      </c>
      <c r="G483" s="4" t="s">
        <v>1876</v>
      </c>
      <c r="H483" s="4" t="s">
        <v>1877</v>
      </c>
      <c r="I483" s="5" t="s">
        <v>23</v>
      </c>
      <c r="J483" s="5" t="s">
        <v>24</v>
      </c>
      <c r="K483" s="5" t="s">
        <v>25</v>
      </c>
      <c r="L483" s="11" t="s">
        <v>26</v>
      </c>
      <c r="M483" s="5" t="s">
        <v>27</v>
      </c>
      <c r="N483" t="str">
        <f t="shared" si="1"/>
        <v>URBS 4</v>
      </c>
      <c r="O483" s="12" t="str">
        <f t="shared" si="2"/>
        <v>https://monitoramento.pm.pr.gov.br/proxy_image_4/Interface/Cameras/GetJPEGStream?Camera=Camera16&amp;AuthUser=copom_DDTQ&amp;AuthPass=DDTQcopom&amp;Width=1024&amp;Height=768&amp;Quality=70&amp;FPS=10&amp;ResponseFormat=Text</v>
      </c>
      <c r="P483" s="6">
        <v>1.0</v>
      </c>
    </row>
    <row r="484">
      <c r="A484" s="7" t="s">
        <v>1799</v>
      </c>
      <c r="B484" s="2" t="s">
        <v>17</v>
      </c>
      <c r="C484" s="13" t="s">
        <v>1800</v>
      </c>
      <c r="D484" s="9">
        <v>48601.0</v>
      </c>
      <c r="E484" s="9" t="s">
        <v>88</v>
      </c>
      <c r="F484" s="14" t="s">
        <v>1878</v>
      </c>
      <c r="G484" s="4" t="s">
        <v>1879</v>
      </c>
      <c r="H484" s="4" t="s">
        <v>1880</v>
      </c>
      <c r="I484" s="5" t="s">
        <v>23</v>
      </c>
      <c r="J484" s="5" t="s">
        <v>24</v>
      </c>
      <c r="K484" s="5" t="s">
        <v>25</v>
      </c>
      <c r="L484" s="11" t="s">
        <v>26</v>
      </c>
      <c r="M484" s="5" t="s">
        <v>27</v>
      </c>
      <c r="N484" t="str">
        <f t="shared" si="1"/>
        <v>URBS 4</v>
      </c>
      <c r="O484" s="12" t="str">
        <f t="shared" si="2"/>
        <v>https://monitoramento.pm.pr.gov.br/proxy_image_4/Interface/Cameras/GetJPEGStream?Camera=Camera17&amp;AuthUser=copom_DDTQ&amp;AuthPass=DDTQcopom&amp;Width=1024&amp;Height=768&amp;Quality=70&amp;FPS=10&amp;ResponseFormat=Text</v>
      </c>
      <c r="P484" s="6">
        <v>1.0</v>
      </c>
    </row>
    <row r="485">
      <c r="A485" s="7" t="s">
        <v>1799</v>
      </c>
      <c r="B485" s="2" t="s">
        <v>17</v>
      </c>
      <c r="C485" s="13" t="s">
        <v>1800</v>
      </c>
      <c r="D485" s="9">
        <v>48601.0</v>
      </c>
      <c r="E485" s="9" t="s">
        <v>92</v>
      </c>
      <c r="F485" s="14" t="s">
        <v>1881</v>
      </c>
      <c r="G485" s="4" t="s">
        <v>927</v>
      </c>
      <c r="H485" s="4" t="s">
        <v>1882</v>
      </c>
      <c r="I485" s="5" t="s">
        <v>23</v>
      </c>
      <c r="J485" s="5" t="s">
        <v>24</v>
      </c>
      <c r="K485" s="5" t="s">
        <v>25</v>
      </c>
      <c r="L485" s="11" t="s">
        <v>26</v>
      </c>
      <c r="M485" s="5" t="s">
        <v>27</v>
      </c>
      <c r="N485" t="str">
        <f t="shared" si="1"/>
        <v>URBS 4</v>
      </c>
      <c r="O485" s="12" t="str">
        <f t="shared" si="2"/>
        <v>https://monitoramento.pm.pr.gov.br/proxy_image_4/Interface/Cameras/GetJPEGStream?Camera=Camera18&amp;AuthUser=copom_DDTQ&amp;AuthPass=DDTQcopom&amp;Width=1024&amp;Height=768&amp;Quality=70&amp;FPS=10&amp;ResponseFormat=Text</v>
      </c>
      <c r="P485" s="6">
        <v>1.0</v>
      </c>
    </row>
    <row r="486">
      <c r="A486" s="7" t="s">
        <v>1799</v>
      </c>
      <c r="B486" s="2" t="s">
        <v>17</v>
      </c>
      <c r="C486" s="13" t="s">
        <v>1800</v>
      </c>
      <c r="D486" s="9">
        <v>48601.0</v>
      </c>
      <c r="E486" s="9" t="s">
        <v>96</v>
      </c>
      <c r="F486" s="14" t="s">
        <v>1883</v>
      </c>
      <c r="G486" s="4" t="s">
        <v>1884</v>
      </c>
      <c r="H486" s="4" t="s">
        <v>1885</v>
      </c>
      <c r="I486" s="5" t="s">
        <v>23</v>
      </c>
      <c r="J486" s="5" t="s">
        <v>24</v>
      </c>
      <c r="K486" s="5" t="s">
        <v>25</v>
      </c>
      <c r="L486" s="11" t="s">
        <v>26</v>
      </c>
      <c r="M486" s="5" t="s">
        <v>27</v>
      </c>
      <c r="N486" t="str">
        <f t="shared" si="1"/>
        <v>URBS 4</v>
      </c>
      <c r="O486" s="12" t="str">
        <f t="shared" si="2"/>
        <v>https://monitoramento.pm.pr.gov.br/proxy_image_4/Interface/Cameras/GetJPEGStream?Camera=Camera19&amp;AuthUser=copom_DDTQ&amp;AuthPass=DDTQcopom&amp;Width=1024&amp;Height=768&amp;Quality=70&amp;FPS=10&amp;ResponseFormat=Text</v>
      </c>
      <c r="P486" s="6">
        <v>1.0</v>
      </c>
    </row>
    <row r="487">
      <c r="A487" s="17" t="s">
        <v>1799</v>
      </c>
      <c r="B487" s="2" t="s">
        <v>17</v>
      </c>
      <c r="C487" s="13" t="s">
        <v>1800</v>
      </c>
      <c r="D487" s="9">
        <v>48601.0</v>
      </c>
      <c r="E487" s="9" t="s">
        <v>100</v>
      </c>
      <c r="F487" s="19" t="s">
        <v>1886</v>
      </c>
      <c r="G487" s="4" t="s">
        <v>1887</v>
      </c>
      <c r="H487" s="4" t="s">
        <v>1888</v>
      </c>
      <c r="I487" s="5" t="s">
        <v>23</v>
      </c>
      <c r="J487" s="5" t="s">
        <v>24</v>
      </c>
      <c r="K487" s="5" t="s">
        <v>25</v>
      </c>
      <c r="L487" s="11" t="s">
        <v>26</v>
      </c>
      <c r="M487" s="5" t="s">
        <v>27</v>
      </c>
      <c r="N487" t="str">
        <f t="shared" si="1"/>
        <v>URBS 4</v>
      </c>
      <c r="O487" s="12" t="str">
        <f t="shared" si="2"/>
        <v>https://monitoramento.pm.pr.gov.br/proxy_image_4/Interface/Cameras/GetJPEGStream?Camera=Camera20&amp;AuthUser=copom_DDTQ&amp;AuthPass=DDTQcopom&amp;Width=1024&amp;Height=768&amp;Quality=70&amp;FPS=10&amp;ResponseFormat=Text</v>
      </c>
      <c r="P487" s="6">
        <v>1.0</v>
      </c>
    </row>
    <row r="488">
      <c r="A488" s="32" t="s">
        <v>1799</v>
      </c>
      <c r="B488" s="2" t="s">
        <v>17</v>
      </c>
      <c r="C488" s="13" t="s">
        <v>1800</v>
      </c>
      <c r="D488" s="18">
        <v>48601.0</v>
      </c>
      <c r="E488" s="18" t="s">
        <v>104</v>
      </c>
      <c r="F488" s="19" t="s">
        <v>1889</v>
      </c>
      <c r="G488" s="4" t="s">
        <v>1890</v>
      </c>
      <c r="H488" s="4" t="s">
        <v>1891</v>
      </c>
      <c r="I488" s="20" t="s">
        <v>23</v>
      </c>
      <c r="J488" s="20" t="s">
        <v>24</v>
      </c>
      <c r="K488" s="5" t="s">
        <v>25</v>
      </c>
      <c r="L488" s="20" t="s">
        <v>26</v>
      </c>
      <c r="M488" s="20" t="s">
        <v>27</v>
      </c>
      <c r="N488" s="21" t="str">
        <f t="shared" si="1"/>
        <v>URBS 4</v>
      </c>
      <c r="O488" s="12" t="str">
        <f t="shared" si="2"/>
        <v>https://monitoramento.pm.pr.gov.br/proxy_image_4/Interface/Cameras/GetJPEGStream?Camera=Camera21&amp;AuthUser=copom_DDTQ&amp;AuthPass=DDTQcopom&amp;Width=1024&amp;Height=768&amp;Quality=70&amp;FPS=10&amp;ResponseFormat=Text</v>
      </c>
      <c r="P488" s="22">
        <v>1.0</v>
      </c>
    </row>
    <row r="489">
      <c r="A489" s="7" t="s">
        <v>1799</v>
      </c>
      <c r="B489" s="2" t="s">
        <v>17</v>
      </c>
      <c r="C489" s="13" t="s">
        <v>1800</v>
      </c>
      <c r="D489" s="9">
        <v>48601.0</v>
      </c>
      <c r="E489" s="9" t="s">
        <v>108</v>
      </c>
      <c r="F489" s="14" t="s">
        <v>1892</v>
      </c>
      <c r="G489" s="4" t="s">
        <v>1893</v>
      </c>
      <c r="H489" s="4" t="s">
        <v>1894</v>
      </c>
      <c r="I489" s="5" t="s">
        <v>23</v>
      </c>
      <c r="J489" s="5" t="s">
        <v>24</v>
      </c>
      <c r="K489" s="5" t="s">
        <v>25</v>
      </c>
      <c r="L489" s="11" t="s">
        <v>26</v>
      </c>
      <c r="M489" s="5" t="s">
        <v>27</v>
      </c>
      <c r="N489" t="str">
        <f t="shared" si="1"/>
        <v>URBS 4</v>
      </c>
      <c r="O489" s="12" t="str">
        <f t="shared" si="2"/>
        <v>https://monitoramento.pm.pr.gov.br/proxy_image_4/Interface/Cameras/GetJPEGStream?Camera=Camera22&amp;AuthUser=copom_DDTQ&amp;AuthPass=DDTQcopom&amp;Width=1024&amp;Height=768&amp;Quality=70&amp;FPS=10&amp;ResponseFormat=Text</v>
      </c>
      <c r="P489" s="6">
        <v>1.0</v>
      </c>
    </row>
    <row r="490">
      <c r="A490" s="7" t="s">
        <v>1799</v>
      </c>
      <c r="B490" s="2" t="s">
        <v>17</v>
      </c>
      <c r="C490" s="13" t="s">
        <v>1800</v>
      </c>
      <c r="D490" s="9">
        <v>48601.0</v>
      </c>
      <c r="E490" s="9" t="s">
        <v>112</v>
      </c>
      <c r="F490" s="14" t="s">
        <v>1895</v>
      </c>
      <c r="G490" s="4" t="s">
        <v>1896</v>
      </c>
      <c r="H490" s="4" t="s">
        <v>1897</v>
      </c>
      <c r="I490" s="5" t="s">
        <v>23</v>
      </c>
      <c r="J490" s="5" t="s">
        <v>24</v>
      </c>
      <c r="K490" s="5" t="s">
        <v>25</v>
      </c>
      <c r="L490" s="11" t="s">
        <v>26</v>
      </c>
      <c r="M490" s="5" t="s">
        <v>27</v>
      </c>
      <c r="N490" t="str">
        <f t="shared" si="1"/>
        <v>URBS 4</v>
      </c>
      <c r="O490" s="12" t="str">
        <f t="shared" si="2"/>
        <v>https://monitoramento.pm.pr.gov.br/proxy_image_4/Interface/Cameras/GetJPEGStream?Camera=Camera23&amp;AuthUser=copom_DDTQ&amp;AuthPass=DDTQcopom&amp;Width=1024&amp;Height=768&amp;Quality=70&amp;FPS=10&amp;ResponseFormat=Text</v>
      </c>
      <c r="P490" s="6">
        <v>1.0</v>
      </c>
    </row>
    <row r="491">
      <c r="A491" s="7" t="s">
        <v>1799</v>
      </c>
      <c r="B491" s="2" t="s">
        <v>17</v>
      </c>
      <c r="C491" s="13" t="s">
        <v>1800</v>
      </c>
      <c r="D491" s="9">
        <v>48601.0</v>
      </c>
      <c r="E491" s="9" t="s">
        <v>116</v>
      </c>
      <c r="F491" s="16" t="s">
        <v>1898</v>
      </c>
      <c r="G491" s="4" t="s">
        <v>1899</v>
      </c>
      <c r="H491" s="4" t="s">
        <v>1900</v>
      </c>
      <c r="I491" s="5" t="s">
        <v>23</v>
      </c>
      <c r="J491" s="5" t="s">
        <v>24</v>
      </c>
      <c r="K491" s="5" t="s">
        <v>25</v>
      </c>
      <c r="L491" s="11" t="s">
        <v>26</v>
      </c>
      <c r="M491" s="5" t="s">
        <v>27</v>
      </c>
      <c r="N491" t="str">
        <f t="shared" si="1"/>
        <v>URBS 4</v>
      </c>
      <c r="O491" s="12" t="str">
        <f t="shared" si="2"/>
        <v>https://monitoramento.pm.pr.gov.br/proxy_image_4/Interface/Cameras/GetJPEGStream?Camera=Camera24&amp;AuthUser=copom_DDTQ&amp;AuthPass=DDTQcopom&amp;Width=1024&amp;Height=768&amp;Quality=70&amp;FPS=10&amp;ResponseFormat=Text</v>
      </c>
      <c r="P491" s="6">
        <v>1.0</v>
      </c>
    </row>
    <row r="492">
      <c r="A492" s="7" t="s">
        <v>1799</v>
      </c>
      <c r="B492" s="2" t="s">
        <v>17</v>
      </c>
      <c r="C492" s="13" t="s">
        <v>1800</v>
      </c>
      <c r="D492" s="9">
        <v>48601.0</v>
      </c>
      <c r="E492" s="9" t="s">
        <v>120</v>
      </c>
      <c r="F492" s="14" t="s">
        <v>1901</v>
      </c>
      <c r="G492" s="4" t="s">
        <v>1902</v>
      </c>
      <c r="H492" s="4" t="s">
        <v>1903</v>
      </c>
      <c r="I492" s="5" t="s">
        <v>23</v>
      </c>
      <c r="J492" s="5" t="s">
        <v>24</v>
      </c>
      <c r="K492" s="5" t="s">
        <v>25</v>
      </c>
      <c r="L492" s="11" t="s">
        <v>26</v>
      </c>
      <c r="M492" s="5" t="s">
        <v>27</v>
      </c>
      <c r="N492" t="str">
        <f t="shared" si="1"/>
        <v>URBS 4</v>
      </c>
      <c r="O492" s="12" t="str">
        <f t="shared" si="2"/>
        <v>https://monitoramento.pm.pr.gov.br/proxy_image_4/Interface/Cameras/GetJPEGStream?Camera=Camera25&amp;AuthUser=copom_DDTQ&amp;AuthPass=DDTQcopom&amp;Width=1024&amp;Height=768&amp;Quality=70&amp;FPS=10&amp;ResponseFormat=Text</v>
      </c>
      <c r="P492" s="6">
        <v>1.0</v>
      </c>
    </row>
    <row r="493">
      <c r="A493" s="7" t="s">
        <v>1799</v>
      </c>
      <c r="B493" s="2" t="s">
        <v>17</v>
      </c>
      <c r="C493" s="13" t="s">
        <v>1800</v>
      </c>
      <c r="D493" s="9">
        <v>48601.0</v>
      </c>
      <c r="E493" s="9" t="s">
        <v>124</v>
      </c>
      <c r="F493" s="14" t="s">
        <v>1904</v>
      </c>
      <c r="G493" s="4" t="s">
        <v>1905</v>
      </c>
      <c r="H493" s="4" t="s">
        <v>1906</v>
      </c>
      <c r="I493" s="5" t="s">
        <v>23</v>
      </c>
      <c r="J493" s="5" t="s">
        <v>24</v>
      </c>
      <c r="K493" s="5" t="s">
        <v>25</v>
      </c>
      <c r="L493" s="11" t="s">
        <v>26</v>
      </c>
      <c r="M493" s="5" t="s">
        <v>27</v>
      </c>
      <c r="N493" t="str">
        <f t="shared" si="1"/>
        <v>URBS 4</v>
      </c>
      <c r="O493" s="12" t="str">
        <f t="shared" si="2"/>
        <v>https://monitoramento.pm.pr.gov.br/proxy_image_4/Interface/Cameras/GetJPEGStream?Camera=Camera26&amp;AuthUser=copom_DDTQ&amp;AuthPass=DDTQcopom&amp;Width=1024&amp;Height=768&amp;Quality=70&amp;FPS=10&amp;ResponseFormat=Text</v>
      </c>
      <c r="P493" s="6">
        <v>1.0</v>
      </c>
    </row>
    <row r="494">
      <c r="A494" s="7" t="s">
        <v>1799</v>
      </c>
      <c r="B494" s="2" t="s">
        <v>17</v>
      </c>
      <c r="C494" s="13" t="s">
        <v>1800</v>
      </c>
      <c r="D494" s="9">
        <v>48601.0</v>
      </c>
      <c r="E494" s="9" t="s">
        <v>128</v>
      </c>
      <c r="F494" s="14" t="s">
        <v>1907</v>
      </c>
      <c r="G494" s="4" t="s">
        <v>1908</v>
      </c>
      <c r="H494" s="4" t="s">
        <v>1909</v>
      </c>
      <c r="I494" s="5" t="s">
        <v>23</v>
      </c>
      <c r="J494" s="5" t="s">
        <v>24</v>
      </c>
      <c r="K494" s="5" t="s">
        <v>25</v>
      </c>
      <c r="L494" s="11" t="s">
        <v>26</v>
      </c>
      <c r="M494" s="5" t="s">
        <v>27</v>
      </c>
      <c r="N494" t="str">
        <f t="shared" si="1"/>
        <v>URBS 4</v>
      </c>
      <c r="O494" s="12" t="str">
        <f t="shared" si="2"/>
        <v>https://monitoramento.pm.pr.gov.br/proxy_image_4/Interface/Cameras/GetJPEGStream?Camera=Camera27&amp;AuthUser=copom_DDTQ&amp;AuthPass=DDTQcopom&amp;Width=1024&amp;Height=768&amp;Quality=70&amp;FPS=10&amp;ResponseFormat=Text</v>
      </c>
      <c r="P494" s="6">
        <v>1.0</v>
      </c>
    </row>
    <row r="495">
      <c r="A495" s="7" t="s">
        <v>1799</v>
      </c>
      <c r="B495" s="2" t="s">
        <v>17</v>
      </c>
      <c r="C495" s="13" t="s">
        <v>1800</v>
      </c>
      <c r="D495" s="9">
        <v>48601.0</v>
      </c>
      <c r="E495" s="9" t="s">
        <v>132</v>
      </c>
      <c r="F495" s="14" t="s">
        <v>1910</v>
      </c>
      <c r="G495" s="4" t="s">
        <v>1911</v>
      </c>
      <c r="H495" s="4" t="s">
        <v>1912</v>
      </c>
      <c r="I495" s="5" t="s">
        <v>23</v>
      </c>
      <c r="J495" s="5" t="s">
        <v>24</v>
      </c>
      <c r="K495" s="5" t="s">
        <v>25</v>
      </c>
      <c r="L495" s="11" t="s">
        <v>26</v>
      </c>
      <c r="M495" s="5" t="s">
        <v>27</v>
      </c>
      <c r="N495" t="str">
        <f t="shared" si="1"/>
        <v>URBS 4</v>
      </c>
      <c r="O495" s="12" t="str">
        <f t="shared" si="2"/>
        <v>https://monitoramento.pm.pr.gov.br/proxy_image_4/Interface/Cameras/GetJPEGStream?Camera=Camera28&amp;AuthUser=copom_DDTQ&amp;AuthPass=DDTQcopom&amp;Width=1024&amp;Height=768&amp;Quality=70&amp;FPS=10&amp;ResponseFormat=Text</v>
      </c>
      <c r="P495" s="6">
        <v>1.0</v>
      </c>
    </row>
    <row r="496">
      <c r="A496" s="7" t="s">
        <v>1799</v>
      </c>
      <c r="B496" s="2" t="s">
        <v>17</v>
      </c>
      <c r="C496" s="13" t="s">
        <v>1800</v>
      </c>
      <c r="D496" s="9">
        <v>48601.0</v>
      </c>
      <c r="E496" s="9" t="s">
        <v>1913</v>
      </c>
      <c r="F496" s="14" t="s">
        <v>1914</v>
      </c>
      <c r="G496" s="4" t="s">
        <v>1915</v>
      </c>
      <c r="H496" s="4" t="s">
        <v>1916</v>
      </c>
      <c r="I496" s="5" t="s">
        <v>23</v>
      </c>
      <c r="J496" s="5" t="s">
        <v>24</v>
      </c>
      <c r="K496" s="5" t="s">
        <v>25</v>
      </c>
      <c r="L496" s="11" t="s">
        <v>26</v>
      </c>
      <c r="M496" s="5" t="s">
        <v>27</v>
      </c>
      <c r="N496" t="str">
        <f t="shared" si="1"/>
        <v>URBS 4</v>
      </c>
      <c r="O496" s="12" t="str">
        <f t="shared" si="2"/>
        <v>https://monitoramento.pm.pr.gov.br/proxy_image_4/Interface/Cameras/GetJPEGStream?Camera=Camera29&amp;AuthUser=copom_DDTQ&amp;AuthPass=DDTQcopom&amp;Width=1024&amp;Height=768&amp;Quality=70&amp;FPS=10&amp;ResponseFormat=Text</v>
      </c>
      <c r="P496" s="6">
        <v>1.0</v>
      </c>
    </row>
    <row r="497">
      <c r="A497" s="7" t="s">
        <v>1799</v>
      </c>
      <c r="B497" s="2" t="s">
        <v>17</v>
      </c>
      <c r="C497" s="13" t="s">
        <v>1800</v>
      </c>
      <c r="D497" s="9">
        <v>48601.0</v>
      </c>
      <c r="E497" s="9" t="s">
        <v>1917</v>
      </c>
      <c r="F497" s="14" t="s">
        <v>1918</v>
      </c>
      <c r="G497" s="4" t="s">
        <v>1919</v>
      </c>
      <c r="H497" s="4" t="s">
        <v>1920</v>
      </c>
      <c r="I497" s="5" t="s">
        <v>23</v>
      </c>
      <c r="J497" s="5" t="s">
        <v>24</v>
      </c>
      <c r="K497" s="5" t="s">
        <v>25</v>
      </c>
      <c r="L497" s="11" t="s">
        <v>26</v>
      </c>
      <c r="M497" s="5" t="s">
        <v>27</v>
      </c>
      <c r="N497" t="str">
        <f t="shared" si="1"/>
        <v>URBS 4</v>
      </c>
      <c r="O497" s="12" t="str">
        <f t="shared" si="2"/>
        <v>https://monitoramento.pm.pr.gov.br/proxy_image_4/Interface/Cameras/GetJPEGStream?Camera=Camera30&amp;AuthUser=copom_DDTQ&amp;AuthPass=DDTQcopom&amp;Width=1024&amp;Height=768&amp;Quality=70&amp;FPS=10&amp;ResponseFormat=Text</v>
      </c>
      <c r="P497" s="6">
        <v>1.0</v>
      </c>
    </row>
    <row r="498">
      <c r="A498" s="7" t="s">
        <v>1799</v>
      </c>
      <c r="B498" s="2" t="s">
        <v>17</v>
      </c>
      <c r="C498" s="13" t="s">
        <v>1800</v>
      </c>
      <c r="D498" s="9">
        <v>48601.0</v>
      </c>
      <c r="E498" s="9" t="s">
        <v>1921</v>
      </c>
      <c r="F498" s="14" t="s">
        <v>1922</v>
      </c>
      <c r="G498" s="4" t="s">
        <v>1923</v>
      </c>
      <c r="H498" s="4" t="s">
        <v>1924</v>
      </c>
      <c r="I498" s="5" t="s">
        <v>23</v>
      </c>
      <c r="J498" s="5" t="s">
        <v>24</v>
      </c>
      <c r="K498" s="5" t="s">
        <v>25</v>
      </c>
      <c r="L498" s="11" t="s">
        <v>26</v>
      </c>
      <c r="M498" s="5" t="s">
        <v>27</v>
      </c>
      <c r="N498" t="str">
        <f t="shared" si="1"/>
        <v>URBS 4</v>
      </c>
      <c r="O498" s="12" t="str">
        <f t="shared" si="2"/>
        <v>https://monitoramento.pm.pr.gov.br/proxy_image_4/Interface/Cameras/GetJPEGStream?Camera=Camera31&amp;AuthUser=copom_DDTQ&amp;AuthPass=DDTQcopom&amp;Width=1024&amp;Height=768&amp;Quality=70&amp;FPS=10&amp;ResponseFormat=Text</v>
      </c>
      <c r="P498" s="6">
        <v>1.0</v>
      </c>
    </row>
    <row r="499">
      <c r="A499" s="7" t="s">
        <v>1799</v>
      </c>
      <c r="B499" s="2" t="s">
        <v>17</v>
      </c>
      <c r="C499" s="13" t="s">
        <v>1800</v>
      </c>
      <c r="D499" s="9">
        <v>48601.0</v>
      </c>
      <c r="E499" s="9" t="s">
        <v>1925</v>
      </c>
      <c r="F499" s="16" t="s">
        <v>1926</v>
      </c>
      <c r="G499" s="4" t="s">
        <v>1927</v>
      </c>
      <c r="H499" s="4" t="s">
        <v>1928</v>
      </c>
      <c r="I499" s="5" t="s">
        <v>23</v>
      </c>
      <c r="J499" s="5" t="s">
        <v>24</v>
      </c>
      <c r="K499" s="5" t="s">
        <v>25</v>
      </c>
      <c r="L499" s="11" t="s">
        <v>26</v>
      </c>
      <c r="M499" s="5" t="s">
        <v>27</v>
      </c>
      <c r="N499" t="str">
        <f t="shared" si="1"/>
        <v>URBS 4</v>
      </c>
      <c r="O499" s="12" t="str">
        <f t="shared" si="2"/>
        <v>https://monitoramento.pm.pr.gov.br/proxy_image_4/Interface/Cameras/GetJPEGStream?Camera=Camera32&amp;AuthUser=copom_DDTQ&amp;AuthPass=DDTQcopom&amp;Width=1024&amp;Height=768&amp;Quality=70&amp;FPS=10&amp;ResponseFormat=Text</v>
      </c>
      <c r="P499" s="6">
        <v>1.0</v>
      </c>
    </row>
    <row r="500">
      <c r="A500" s="7" t="s">
        <v>1799</v>
      </c>
      <c r="B500" s="2" t="s">
        <v>17</v>
      </c>
      <c r="C500" s="13" t="s">
        <v>1800</v>
      </c>
      <c r="D500" s="9">
        <v>48601.0</v>
      </c>
      <c r="E500" s="9" t="s">
        <v>1929</v>
      </c>
      <c r="F500" s="14" t="s">
        <v>1930</v>
      </c>
      <c r="G500" s="4" t="s">
        <v>1931</v>
      </c>
      <c r="H500" s="4" t="s">
        <v>1932</v>
      </c>
      <c r="I500" s="5" t="s">
        <v>23</v>
      </c>
      <c r="J500" s="5" t="s">
        <v>24</v>
      </c>
      <c r="K500" s="5" t="s">
        <v>25</v>
      </c>
      <c r="L500" s="11" t="s">
        <v>26</v>
      </c>
      <c r="M500" s="5" t="s">
        <v>27</v>
      </c>
      <c r="N500" t="str">
        <f t="shared" si="1"/>
        <v>URBS 4</v>
      </c>
      <c r="O500" s="12" t="str">
        <f t="shared" si="2"/>
        <v>https://monitoramento.pm.pr.gov.br/proxy_image_4/Interface/Cameras/GetJPEGStream?Camera=Camera33&amp;AuthUser=copom_DDTQ&amp;AuthPass=DDTQcopom&amp;Width=1024&amp;Height=768&amp;Quality=70&amp;FPS=10&amp;ResponseFormat=Text</v>
      </c>
      <c r="P500" s="6">
        <v>1.0</v>
      </c>
    </row>
    <row r="501">
      <c r="A501" s="31" t="s">
        <v>1799</v>
      </c>
      <c r="B501" s="2" t="s">
        <v>17</v>
      </c>
      <c r="C501" s="13" t="s">
        <v>1800</v>
      </c>
      <c r="D501" s="18">
        <v>48601.0</v>
      </c>
      <c r="E501" s="18" t="s">
        <v>1933</v>
      </c>
      <c r="F501" s="19" t="s">
        <v>1934</v>
      </c>
      <c r="G501" s="4" t="s">
        <v>1935</v>
      </c>
      <c r="H501" s="4" t="s">
        <v>1936</v>
      </c>
      <c r="I501" s="20" t="s">
        <v>23</v>
      </c>
      <c r="J501" s="20" t="s">
        <v>24</v>
      </c>
      <c r="K501" s="5" t="s">
        <v>25</v>
      </c>
      <c r="L501" s="20" t="s">
        <v>26</v>
      </c>
      <c r="M501" s="20" t="s">
        <v>27</v>
      </c>
      <c r="N501" s="21" t="str">
        <f t="shared" si="1"/>
        <v>URBS 4</v>
      </c>
      <c r="O501" s="12" t="str">
        <f t="shared" si="2"/>
        <v>https://monitoramento.pm.pr.gov.br/proxy_image_4/Interface/Cameras/GetJPEGStream?Camera=Camera34&amp;AuthUser=copom_DDTQ&amp;AuthPass=DDTQcopom&amp;Width=1024&amp;Height=768&amp;Quality=70&amp;FPS=10&amp;ResponseFormat=Text</v>
      </c>
      <c r="P501" s="22">
        <v>1.0</v>
      </c>
    </row>
    <row r="502">
      <c r="A502" s="7" t="s">
        <v>1799</v>
      </c>
      <c r="B502" s="2" t="s">
        <v>17</v>
      </c>
      <c r="C502" s="13" t="s">
        <v>1800</v>
      </c>
      <c r="D502" s="9">
        <v>48601.0</v>
      </c>
      <c r="E502" s="9" t="s">
        <v>1937</v>
      </c>
      <c r="F502" s="16" t="s">
        <v>1938</v>
      </c>
      <c r="G502" s="4" t="s">
        <v>1939</v>
      </c>
      <c r="H502" s="4" t="s">
        <v>1940</v>
      </c>
      <c r="I502" s="5" t="s">
        <v>23</v>
      </c>
      <c r="J502" s="5" t="s">
        <v>24</v>
      </c>
      <c r="K502" s="5" t="s">
        <v>25</v>
      </c>
      <c r="L502" s="11" t="s">
        <v>26</v>
      </c>
      <c r="M502" s="5" t="s">
        <v>27</v>
      </c>
      <c r="N502" t="str">
        <f t="shared" si="1"/>
        <v>URBS 4</v>
      </c>
      <c r="O502" s="12" t="str">
        <f t="shared" si="2"/>
        <v>https://monitoramento.pm.pr.gov.br/proxy_image_4/Interface/Cameras/GetJPEGStream?Camera=Camera35&amp;AuthUser=copom_DDTQ&amp;AuthPass=DDTQcopom&amp;Width=1024&amp;Height=768&amp;Quality=70&amp;FPS=10&amp;ResponseFormat=Text</v>
      </c>
      <c r="P502" s="6">
        <v>1.0</v>
      </c>
    </row>
    <row r="503">
      <c r="A503" s="7" t="s">
        <v>1799</v>
      </c>
      <c r="B503" s="2" t="s">
        <v>17</v>
      </c>
      <c r="C503" s="13" t="s">
        <v>1800</v>
      </c>
      <c r="D503" s="9">
        <v>48601.0</v>
      </c>
      <c r="E503" s="9" t="s">
        <v>1941</v>
      </c>
      <c r="F503" s="14" t="s">
        <v>1942</v>
      </c>
      <c r="G503" s="4" t="s">
        <v>1943</v>
      </c>
      <c r="H503" s="4" t="s">
        <v>1944</v>
      </c>
      <c r="I503" s="5" t="s">
        <v>23</v>
      </c>
      <c r="J503" s="5" t="s">
        <v>24</v>
      </c>
      <c r="K503" s="5" t="s">
        <v>25</v>
      </c>
      <c r="L503" s="11" t="s">
        <v>26</v>
      </c>
      <c r="M503" s="5" t="s">
        <v>27</v>
      </c>
      <c r="N503" t="str">
        <f t="shared" si="1"/>
        <v>URBS 4</v>
      </c>
      <c r="O503" s="12" t="str">
        <f t="shared" si="2"/>
        <v>https://monitoramento.pm.pr.gov.br/proxy_image_4/Interface/Cameras/GetJPEGStream?Camera=Camera36&amp;AuthUser=copom_DDTQ&amp;AuthPass=DDTQcopom&amp;Width=1024&amp;Height=768&amp;Quality=70&amp;FPS=10&amp;ResponseFormat=Text</v>
      </c>
      <c r="P503" s="6">
        <v>1.0</v>
      </c>
    </row>
    <row r="504">
      <c r="A504" s="7" t="s">
        <v>1799</v>
      </c>
      <c r="B504" s="2" t="s">
        <v>17</v>
      </c>
      <c r="C504" s="13" t="s">
        <v>1800</v>
      </c>
      <c r="D504" s="9">
        <v>48601.0</v>
      </c>
      <c r="E504" s="9" t="s">
        <v>1945</v>
      </c>
      <c r="F504" s="14" t="s">
        <v>1946</v>
      </c>
      <c r="G504" s="4" t="s">
        <v>1947</v>
      </c>
      <c r="H504" s="4" t="s">
        <v>1948</v>
      </c>
      <c r="I504" s="5" t="s">
        <v>23</v>
      </c>
      <c r="J504" s="5" t="s">
        <v>24</v>
      </c>
      <c r="K504" s="5" t="s">
        <v>25</v>
      </c>
      <c r="L504" s="11" t="s">
        <v>26</v>
      </c>
      <c r="M504" s="5" t="s">
        <v>27</v>
      </c>
      <c r="N504" t="str">
        <f t="shared" si="1"/>
        <v>URBS 4</v>
      </c>
      <c r="O504" s="12" t="str">
        <f t="shared" si="2"/>
        <v>https://monitoramento.pm.pr.gov.br/proxy_image_4/Interface/Cameras/GetJPEGStream?Camera=Camera37&amp;AuthUser=copom_DDTQ&amp;AuthPass=DDTQcopom&amp;Width=1024&amp;Height=768&amp;Quality=70&amp;FPS=10&amp;ResponseFormat=Text</v>
      </c>
      <c r="P504" s="6">
        <v>1.0</v>
      </c>
    </row>
    <row r="505">
      <c r="A505" s="7" t="s">
        <v>1799</v>
      </c>
      <c r="B505" s="2" t="s">
        <v>17</v>
      </c>
      <c r="C505" s="13" t="s">
        <v>1800</v>
      </c>
      <c r="D505" s="9">
        <v>48601.0</v>
      </c>
      <c r="E505" s="9" t="s">
        <v>1949</v>
      </c>
      <c r="F505" s="14" t="s">
        <v>1950</v>
      </c>
      <c r="G505" s="4" t="s">
        <v>1951</v>
      </c>
      <c r="H505" s="4" t="s">
        <v>1952</v>
      </c>
      <c r="I505" s="5" t="s">
        <v>23</v>
      </c>
      <c r="J505" s="5" t="s">
        <v>24</v>
      </c>
      <c r="K505" s="5" t="s">
        <v>25</v>
      </c>
      <c r="L505" s="11" t="s">
        <v>26</v>
      </c>
      <c r="M505" s="5" t="s">
        <v>27</v>
      </c>
      <c r="N505" t="str">
        <f t="shared" si="1"/>
        <v>URBS 4</v>
      </c>
      <c r="O505" s="12" t="str">
        <f t="shared" si="2"/>
        <v>https://monitoramento.pm.pr.gov.br/proxy_image_4/Interface/Cameras/GetJPEGStream?Camera=Camera38&amp;AuthUser=copom_DDTQ&amp;AuthPass=DDTQcopom&amp;Width=1024&amp;Height=768&amp;Quality=70&amp;FPS=10&amp;ResponseFormat=Text</v>
      </c>
      <c r="P505" s="6">
        <v>1.0</v>
      </c>
    </row>
    <row r="506">
      <c r="A506" s="7" t="s">
        <v>1799</v>
      </c>
      <c r="B506" s="2" t="s">
        <v>17</v>
      </c>
      <c r="C506" s="13" t="s">
        <v>1800</v>
      </c>
      <c r="D506" s="9">
        <v>48601.0</v>
      </c>
      <c r="E506" s="9" t="s">
        <v>1953</v>
      </c>
      <c r="F506" s="14" t="s">
        <v>1954</v>
      </c>
      <c r="G506" s="4" t="s">
        <v>1955</v>
      </c>
      <c r="H506" s="4" t="s">
        <v>1956</v>
      </c>
      <c r="I506" s="5" t="s">
        <v>23</v>
      </c>
      <c r="J506" s="5" t="s">
        <v>24</v>
      </c>
      <c r="K506" s="5" t="s">
        <v>25</v>
      </c>
      <c r="L506" s="11" t="s">
        <v>26</v>
      </c>
      <c r="M506" s="5" t="s">
        <v>27</v>
      </c>
      <c r="N506" t="str">
        <f t="shared" si="1"/>
        <v>URBS 4</v>
      </c>
      <c r="O506" s="12" t="str">
        <f t="shared" si="2"/>
        <v>https://monitoramento.pm.pr.gov.br/proxy_image_4/Interface/Cameras/GetJPEGStream?Camera=Camera40&amp;AuthUser=copom_DDTQ&amp;AuthPass=DDTQcopom&amp;Width=1024&amp;Height=768&amp;Quality=70&amp;FPS=10&amp;ResponseFormat=Text</v>
      </c>
      <c r="P506" s="6">
        <v>1.0</v>
      </c>
    </row>
    <row r="507">
      <c r="A507" s="7" t="s">
        <v>1799</v>
      </c>
      <c r="B507" s="2" t="s">
        <v>17</v>
      </c>
      <c r="C507" s="13" t="s">
        <v>1800</v>
      </c>
      <c r="D507" s="9">
        <v>48601.0</v>
      </c>
      <c r="E507" s="9" t="s">
        <v>1957</v>
      </c>
      <c r="F507" s="14" t="s">
        <v>1958</v>
      </c>
      <c r="G507" s="4" t="s">
        <v>1959</v>
      </c>
      <c r="H507" s="4" t="s">
        <v>1960</v>
      </c>
      <c r="I507" s="5" t="s">
        <v>23</v>
      </c>
      <c r="J507" s="5" t="s">
        <v>24</v>
      </c>
      <c r="K507" s="5" t="s">
        <v>25</v>
      </c>
      <c r="L507" s="11" t="s">
        <v>26</v>
      </c>
      <c r="M507" s="5" t="s">
        <v>27</v>
      </c>
      <c r="N507" t="str">
        <f t="shared" si="1"/>
        <v>URBS 4</v>
      </c>
      <c r="O507" s="12" t="str">
        <f t="shared" si="2"/>
        <v>https://monitoramento.pm.pr.gov.br/proxy_image_4/Interface/Cameras/GetJPEGStream?Camera=Camera41&amp;AuthUser=copom_DDTQ&amp;AuthPass=DDTQcopom&amp;Width=1024&amp;Height=768&amp;Quality=70&amp;FPS=10&amp;ResponseFormat=Text</v>
      </c>
      <c r="P507" s="6">
        <v>1.0</v>
      </c>
    </row>
    <row r="508">
      <c r="A508" s="7" t="s">
        <v>1799</v>
      </c>
      <c r="B508" s="2" t="s">
        <v>17</v>
      </c>
      <c r="C508" s="13" t="s">
        <v>1800</v>
      </c>
      <c r="D508" s="9">
        <v>48601.0</v>
      </c>
      <c r="E508" s="9" t="s">
        <v>1961</v>
      </c>
      <c r="F508" s="14" t="s">
        <v>1962</v>
      </c>
      <c r="G508" s="4" t="s">
        <v>1902</v>
      </c>
      <c r="H508" s="4" t="s">
        <v>1963</v>
      </c>
      <c r="I508" s="5" t="s">
        <v>23</v>
      </c>
      <c r="J508" s="5" t="s">
        <v>24</v>
      </c>
      <c r="K508" s="5" t="s">
        <v>25</v>
      </c>
      <c r="L508" s="11" t="s">
        <v>26</v>
      </c>
      <c r="M508" s="5" t="s">
        <v>27</v>
      </c>
      <c r="N508" t="str">
        <f t="shared" si="1"/>
        <v>URBS 4</v>
      </c>
      <c r="O508" s="12" t="str">
        <f t="shared" si="2"/>
        <v>https://monitoramento.pm.pr.gov.br/proxy_image_4/Interface/Cameras/GetJPEGStream?Camera=Camera42&amp;AuthUser=copom_DDTQ&amp;AuthPass=DDTQcopom&amp;Width=1024&amp;Height=768&amp;Quality=70&amp;FPS=10&amp;ResponseFormat=Text</v>
      </c>
      <c r="P508" s="6">
        <v>1.0</v>
      </c>
    </row>
    <row r="509">
      <c r="A509" s="7" t="s">
        <v>1799</v>
      </c>
      <c r="B509" s="2" t="s">
        <v>17</v>
      </c>
      <c r="C509" s="13" t="s">
        <v>1800</v>
      </c>
      <c r="D509" s="9">
        <v>48601.0</v>
      </c>
      <c r="E509" s="9" t="s">
        <v>1964</v>
      </c>
      <c r="F509" s="14" t="s">
        <v>1965</v>
      </c>
      <c r="G509" s="4" t="s">
        <v>1966</v>
      </c>
      <c r="H509" s="4" t="s">
        <v>1967</v>
      </c>
      <c r="I509" s="5" t="s">
        <v>23</v>
      </c>
      <c r="J509" s="5" t="s">
        <v>24</v>
      </c>
      <c r="K509" s="5" t="s">
        <v>25</v>
      </c>
      <c r="L509" s="11" t="s">
        <v>26</v>
      </c>
      <c r="M509" s="5" t="s">
        <v>27</v>
      </c>
      <c r="N509" t="str">
        <f t="shared" si="1"/>
        <v>URBS 4</v>
      </c>
      <c r="O509" s="12" t="str">
        <f t="shared" si="2"/>
        <v>https://monitoramento.pm.pr.gov.br/proxy_image_4/Interface/Cameras/GetJPEGStream?Camera=Camera43&amp;AuthUser=copom_DDTQ&amp;AuthPass=DDTQcopom&amp;Width=1024&amp;Height=768&amp;Quality=70&amp;FPS=10&amp;ResponseFormat=Text</v>
      </c>
      <c r="P509" s="6">
        <v>1.0</v>
      </c>
    </row>
    <row r="510">
      <c r="A510" s="7" t="s">
        <v>1799</v>
      </c>
      <c r="B510" s="2" t="s">
        <v>17</v>
      </c>
      <c r="C510" s="13" t="s">
        <v>1800</v>
      </c>
      <c r="D510" s="9">
        <v>48601.0</v>
      </c>
      <c r="E510" s="9" t="s">
        <v>1968</v>
      </c>
      <c r="F510" s="14" t="s">
        <v>1962</v>
      </c>
      <c r="G510" s="4" t="s">
        <v>1969</v>
      </c>
      <c r="H510" s="4" t="s">
        <v>1970</v>
      </c>
      <c r="I510" s="5" t="s">
        <v>23</v>
      </c>
      <c r="J510" s="5" t="s">
        <v>24</v>
      </c>
      <c r="K510" s="5" t="s">
        <v>25</v>
      </c>
      <c r="L510" s="11" t="s">
        <v>26</v>
      </c>
      <c r="M510" s="5" t="s">
        <v>27</v>
      </c>
      <c r="N510" t="str">
        <f t="shared" si="1"/>
        <v>URBS 4</v>
      </c>
      <c r="O510" s="12" t="str">
        <f t="shared" si="2"/>
        <v>https://monitoramento.pm.pr.gov.br/proxy_image_4/Interface/Cameras/GetJPEGStream?Camera=Camera44&amp;AuthUser=copom_DDTQ&amp;AuthPass=DDTQcopom&amp;Width=1024&amp;Height=768&amp;Quality=70&amp;FPS=10&amp;ResponseFormat=Text</v>
      </c>
      <c r="P510" s="6">
        <v>1.0</v>
      </c>
    </row>
    <row r="511">
      <c r="A511" s="7" t="s">
        <v>1799</v>
      </c>
      <c r="B511" s="2" t="s">
        <v>17</v>
      </c>
      <c r="C511" s="13" t="s">
        <v>1800</v>
      </c>
      <c r="D511" s="9">
        <v>48601.0</v>
      </c>
      <c r="E511" s="9" t="s">
        <v>1971</v>
      </c>
      <c r="F511" s="14" t="s">
        <v>1972</v>
      </c>
      <c r="G511" s="4" t="s">
        <v>1973</v>
      </c>
      <c r="H511" s="4" t="s">
        <v>1974</v>
      </c>
      <c r="I511" s="5" t="s">
        <v>23</v>
      </c>
      <c r="J511" s="5" t="s">
        <v>24</v>
      </c>
      <c r="K511" s="5" t="s">
        <v>25</v>
      </c>
      <c r="L511" s="11" t="s">
        <v>26</v>
      </c>
      <c r="M511" s="5" t="s">
        <v>27</v>
      </c>
      <c r="N511" t="str">
        <f t="shared" si="1"/>
        <v>URBS 4</v>
      </c>
      <c r="O511" s="12" t="str">
        <f t="shared" si="2"/>
        <v>https://monitoramento.pm.pr.gov.br/proxy_image_4/Interface/Cameras/GetJPEGStream?Camera=Camera45&amp;AuthUser=copom_DDTQ&amp;AuthPass=DDTQcopom&amp;Width=1024&amp;Height=768&amp;Quality=70&amp;FPS=10&amp;ResponseFormat=Text</v>
      </c>
      <c r="P511" s="6">
        <v>1.0</v>
      </c>
    </row>
    <row r="512">
      <c r="A512" s="7" t="s">
        <v>1799</v>
      </c>
      <c r="B512" s="2" t="s">
        <v>17</v>
      </c>
      <c r="C512" s="13" t="s">
        <v>1800</v>
      </c>
      <c r="D512" s="9">
        <v>48601.0</v>
      </c>
      <c r="E512" s="9" t="s">
        <v>1975</v>
      </c>
      <c r="F512" s="14" t="s">
        <v>1976</v>
      </c>
      <c r="G512" s="4" t="s">
        <v>1977</v>
      </c>
      <c r="H512" s="4" t="s">
        <v>1978</v>
      </c>
      <c r="I512" s="5" t="s">
        <v>23</v>
      </c>
      <c r="J512" s="5" t="s">
        <v>24</v>
      </c>
      <c r="K512" s="5" t="s">
        <v>25</v>
      </c>
      <c r="L512" s="11" t="s">
        <v>26</v>
      </c>
      <c r="M512" s="5" t="s">
        <v>27</v>
      </c>
      <c r="N512" t="str">
        <f t="shared" si="1"/>
        <v>URBS 4</v>
      </c>
      <c r="O512" s="12" t="str">
        <f t="shared" si="2"/>
        <v>https://monitoramento.pm.pr.gov.br/proxy_image_4/Interface/Cameras/GetJPEGStream?Camera=Camera46&amp;AuthUser=copom_DDTQ&amp;AuthPass=DDTQcopom&amp;Width=1024&amp;Height=768&amp;Quality=70&amp;FPS=10&amp;ResponseFormat=Text</v>
      </c>
      <c r="P512" s="6">
        <v>1.0</v>
      </c>
    </row>
    <row r="513">
      <c r="A513" s="7" t="s">
        <v>1799</v>
      </c>
      <c r="B513" s="2" t="s">
        <v>17</v>
      </c>
      <c r="C513" s="13" t="s">
        <v>1800</v>
      </c>
      <c r="D513" s="9">
        <v>48601.0</v>
      </c>
      <c r="E513" s="9" t="s">
        <v>1979</v>
      </c>
      <c r="F513" s="14" t="s">
        <v>1980</v>
      </c>
      <c r="G513" s="4" t="s">
        <v>1981</v>
      </c>
      <c r="H513" s="4" t="s">
        <v>1982</v>
      </c>
      <c r="I513" s="5" t="s">
        <v>23</v>
      </c>
      <c r="J513" s="5" t="s">
        <v>24</v>
      </c>
      <c r="K513" s="5" t="s">
        <v>25</v>
      </c>
      <c r="L513" s="11" t="s">
        <v>26</v>
      </c>
      <c r="M513" s="5" t="s">
        <v>27</v>
      </c>
      <c r="N513" t="str">
        <f t="shared" si="1"/>
        <v>URBS 4</v>
      </c>
      <c r="O513" s="12" t="str">
        <f t="shared" si="2"/>
        <v>https://monitoramento.pm.pr.gov.br/proxy_image_4/Interface/Cameras/GetJPEGStream?Camera=Camera47&amp;AuthUser=copom_DDTQ&amp;AuthPass=DDTQcopom&amp;Width=1024&amp;Height=768&amp;Quality=70&amp;FPS=10&amp;ResponseFormat=Text</v>
      </c>
      <c r="P513" s="6">
        <v>1.0</v>
      </c>
    </row>
    <row r="514">
      <c r="A514" s="7" t="s">
        <v>1799</v>
      </c>
      <c r="B514" s="2" t="s">
        <v>17</v>
      </c>
      <c r="C514" s="13" t="s">
        <v>1800</v>
      </c>
      <c r="D514" s="9">
        <v>48601.0</v>
      </c>
      <c r="E514" s="9" t="s">
        <v>1983</v>
      </c>
      <c r="F514" s="14" t="s">
        <v>1984</v>
      </c>
      <c r="G514" s="4" t="s">
        <v>1911</v>
      </c>
      <c r="H514" s="4" t="s">
        <v>1985</v>
      </c>
      <c r="I514" s="5" t="s">
        <v>23</v>
      </c>
      <c r="J514" s="5" t="s">
        <v>24</v>
      </c>
      <c r="K514" s="5" t="s">
        <v>25</v>
      </c>
      <c r="L514" s="11" t="s">
        <v>26</v>
      </c>
      <c r="M514" s="5" t="s">
        <v>27</v>
      </c>
      <c r="N514" t="str">
        <f t="shared" si="1"/>
        <v>URBS 4</v>
      </c>
      <c r="O514" s="12" t="str">
        <f t="shared" si="2"/>
        <v>https://monitoramento.pm.pr.gov.br/proxy_image_4/Interface/Cameras/GetJPEGStream?Camera=Camera48&amp;AuthUser=copom_DDTQ&amp;AuthPass=DDTQcopom&amp;Width=1024&amp;Height=768&amp;Quality=70&amp;FPS=10&amp;ResponseFormat=Text</v>
      </c>
      <c r="P514" s="6">
        <v>1.0</v>
      </c>
    </row>
    <row r="515">
      <c r="A515" s="7" t="s">
        <v>1799</v>
      </c>
      <c r="B515" s="2" t="s">
        <v>17</v>
      </c>
      <c r="C515" s="13" t="s">
        <v>1800</v>
      </c>
      <c r="D515" s="9">
        <v>48601.0</v>
      </c>
      <c r="E515" s="9" t="s">
        <v>1986</v>
      </c>
      <c r="F515" s="14" t="s">
        <v>1987</v>
      </c>
      <c r="G515" s="4" t="s">
        <v>1988</v>
      </c>
      <c r="H515" s="4" t="s">
        <v>1989</v>
      </c>
      <c r="I515" s="5" t="s">
        <v>23</v>
      </c>
      <c r="J515" s="5" t="s">
        <v>24</v>
      </c>
      <c r="K515" s="5" t="s">
        <v>25</v>
      </c>
      <c r="L515" s="11" t="s">
        <v>26</v>
      </c>
      <c r="M515" s="5" t="s">
        <v>27</v>
      </c>
      <c r="N515" t="str">
        <f t="shared" si="1"/>
        <v>URBS 4</v>
      </c>
      <c r="O515" s="12" t="str">
        <f t="shared" si="2"/>
        <v>https://monitoramento.pm.pr.gov.br/proxy_image_4/Interface/Cameras/GetJPEGStream?Camera=Camera49&amp;AuthUser=copom_DDTQ&amp;AuthPass=DDTQcopom&amp;Width=1024&amp;Height=768&amp;Quality=70&amp;FPS=10&amp;ResponseFormat=Text</v>
      </c>
      <c r="P515" s="6">
        <v>1.0</v>
      </c>
    </row>
    <row r="516">
      <c r="A516" s="7" t="s">
        <v>1799</v>
      </c>
      <c r="B516" s="2" t="s">
        <v>17</v>
      </c>
      <c r="C516" s="13" t="s">
        <v>1800</v>
      </c>
      <c r="D516" s="9">
        <v>48601.0</v>
      </c>
      <c r="E516" s="9" t="s">
        <v>1990</v>
      </c>
      <c r="F516" s="14" t="s">
        <v>1991</v>
      </c>
      <c r="G516" s="4" t="s">
        <v>1992</v>
      </c>
      <c r="H516" s="4" t="s">
        <v>1993</v>
      </c>
      <c r="I516" s="5" t="s">
        <v>23</v>
      </c>
      <c r="J516" s="5" t="s">
        <v>24</v>
      </c>
      <c r="K516" s="5" t="s">
        <v>25</v>
      </c>
      <c r="L516" s="11" t="s">
        <v>26</v>
      </c>
      <c r="M516" s="5" t="s">
        <v>27</v>
      </c>
      <c r="N516" t="str">
        <f t="shared" si="1"/>
        <v>URBS 4</v>
      </c>
      <c r="O516" s="12" t="str">
        <f t="shared" si="2"/>
        <v>https://monitoramento.pm.pr.gov.br/proxy_image_4/Interface/Cameras/GetJPEGStream?Camera=Camera50&amp;AuthUser=copom_DDTQ&amp;AuthPass=DDTQcopom&amp;Width=1024&amp;Height=768&amp;Quality=70&amp;FPS=10&amp;ResponseFormat=Text</v>
      </c>
      <c r="P516" s="6">
        <v>1.0</v>
      </c>
    </row>
    <row r="517">
      <c r="A517" s="7" t="s">
        <v>1799</v>
      </c>
      <c r="B517" s="2" t="s">
        <v>17</v>
      </c>
      <c r="C517" s="13" t="s">
        <v>1800</v>
      </c>
      <c r="D517" s="9">
        <v>48601.0</v>
      </c>
      <c r="E517" s="9" t="s">
        <v>1994</v>
      </c>
      <c r="F517" s="14" t="s">
        <v>1995</v>
      </c>
      <c r="G517" s="4" t="s">
        <v>1996</v>
      </c>
      <c r="H517" s="4" t="s">
        <v>1997</v>
      </c>
      <c r="I517" s="5" t="s">
        <v>23</v>
      </c>
      <c r="J517" s="5" t="s">
        <v>24</v>
      </c>
      <c r="K517" s="5" t="s">
        <v>25</v>
      </c>
      <c r="L517" s="11" t="s">
        <v>26</v>
      </c>
      <c r="M517" s="5" t="s">
        <v>27</v>
      </c>
      <c r="N517" t="str">
        <f t="shared" si="1"/>
        <v>URBS 4</v>
      </c>
      <c r="O517" s="12" t="str">
        <f t="shared" si="2"/>
        <v>https://monitoramento.pm.pr.gov.br/proxy_image_4/Interface/Cameras/GetJPEGStream?Camera=Camera51&amp;AuthUser=copom_DDTQ&amp;AuthPass=DDTQcopom&amp;Width=1024&amp;Height=768&amp;Quality=70&amp;FPS=10&amp;ResponseFormat=Text</v>
      </c>
      <c r="P517" s="6">
        <v>1.0</v>
      </c>
    </row>
    <row r="518">
      <c r="A518" s="7" t="s">
        <v>1799</v>
      </c>
      <c r="B518" s="2" t="s">
        <v>17</v>
      </c>
      <c r="C518" s="13" t="s">
        <v>1800</v>
      </c>
      <c r="D518" s="9">
        <v>48601.0</v>
      </c>
      <c r="E518" s="9" t="s">
        <v>1998</v>
      </c>
      <c r="F518" s="14" t="s">
        <v>1999</v>
      </c>
      <c r="G518" s="4" t="s">
        <v>2000</v>
      </c>
      <c r="H518" s="4" t="s">
        <v>2001</v>
      </c>
      <c r="I518" s="5" t="s">
        <v>23</v>
      </c>
      <c r="J518" s="5" t="s">
        <v>24</v>
      </c>
      <c r="K518" s="5" t="s">
        <v>25</v>
      </c>
      <c r="L518" s="11" t="s">
        <v>26</v>
      </c>
      <c r="M518" s="5" t="s">
        <v>27</v>
      </c>
      <c r="N518" t="str">
        <f t="shared" si="1"/>
        <v>URBS 4</v>
      </c>
      <c r="O518" s="12" t="str">
        <f t="shared" si="2"/>
        <v>https://monitoramento.pm.pr.gov.br/proxy_image_4/Interface/Cameras/GetJPEGStream?Camera=Camera52&amp;AuthUser=copom_DDTQ&amp;AuthPass=DDTQcopom&amp;Width=1024&amp;Height=768&amp;Quality=70&amp;FPS=10&amp;ResponseFormat=Text</v>
      </c>
      <c r="P518" s="6">
        <v>1.0</v>
      </c>
    </row>
    <row r="519">
      <c r="A519" s="7" t="s">
        <v>1799</v>
      </c>
      <c r="B519" s="2" t="s">
        <v>17</v>
      </c>
      <c r="C519" s="13" t="s">
        <v>1800</v>
      </c>
      <c r="D519" s="9">
        <v>48601.0</v>
      </c>
      <c r="E519" s="9" t="s">
        <v>2002</v>
      </c>
      <c r="F519" s="14" t="s">
        <v>2003</v>
      </c>
      <c r="G519" s="4" t="s">
        <v>2004</v>
      </c>
      <c r="H519" s="4" t="s">
        <v>2005</v>
      </c>
      <c r="I519" s="5" t="s">
        <v>23</v>
      </c>
      <c r="J519" s="5" t="s">
        <v>24</v>
      </c>
      <c r="K519" s="5" t="s">
        <v>25</v>
      </c>
      <c r="L519" s="11" t="s">
        <v>26</v>
      </c>
      <c r="M519" s="5" t="s">
        <v>27</v>
      </c>
      <c r="N519" t="str">
        <f t="shared" si="1"/>
        <v>URBS 4</v>
      </c>
      <c r="O519" s="12" t="str">
        <f t="shared" si="2"/>
        <v>https://monitoramento.pm.pr.gov.br/proxy_image_4/Interface/Cameras/GetJPEGStream?Camera=Camera53&amp;AuthUser=copom_DDTQ&amp;AuthPass=DDTQcopom&amp;Width=1024&amp;Height=768&amp;Quality=70&amp;FPS=10&amp;ResponseFormat=Text</v>
      </c>
      <c r="P519" s="6">
        <v>1.0</v>
      </c>
    </row>
    <row r="520">
      <c r="A520" s="7" t="s">
        <v>1799</v>
      </c>
      <c r="B520" s="2" t="s">
        <v>17</v>
      </c>
      <c r="C520" s="13" t="s">
        <v>1800</v>
      </c>
      <c r="D520" s="9">
        <v>48601.0</v>
      </c>
      <c r="E520" s="9" t="s">
        <v>2006</v>
      </c>
      <c r="F520" s="14" t="s">
        <v>2007</v>
      </c>
      <c r="G520" s="4" t="s">
        <v>2008</v>
      </c>
      <c r="H520" s="4" t="s">
        <v>2009</v>
      </c>
      <c r="I520" s="5" t="s">
        <v>23</v>
      </c>
      <c r="J520" s="5" t="s">
        <v>24</v>
      </c>
      <c r="K520" s="5" t="s">
        <v>25</v>
      </c>
      <c r="L520" s="11" t="s">
        <v>26</v>
      </c>
      <c r="M520" s="5" t="s">
        <v>27</v>
      </c>
      <c r="N520" t="str">
        <f t="shared" si="1"/>
        <v>URBS 4</v>
      </c>
      <c r="O520" s="12" t="str">
        <f t="shared" si="2"/>
        <v>https://monitoramento.pm.pr.gov.br/proxy_image_4/Interface/Cameras/GetJPEGStream?Camera=Camera54&amp;AuthUser=copom_DDTQ&amp;AuthPass=DDTQcopom&amp;Width=1024&amp;Height=768&amp;Quality=70&amp;FPS=10&amp;ResponseFormat=Text</v>
      </c>
      <c r="P520" s="6">
        <v>1.0</v>
      </c>
    </row>
    <row r="521">
      <c r="A521" s="7" t="s">
        <v>1799</v>
      </c>
      <c r="B521" s="2" t="s">
        <v>17</v>
      </c>
      <c r="C521" s="13" t="s">
        <v>1800</v>
      </c>
      <c r="D521" s="9">
        <v>48601.0</v>
      </c>
      <c r="E521" s="9" t="s">
        <v>2010</v>
      </c>
      <c r="F521" s="14" t="s">
        <v>2011</v>
      </c>
      <c r="G521" s="4" t="s">
        <v>2012</v>
      </c>
      <c r="H521" s="4" t="s">
        <v>2013</v>
      </c>
      <c r="I521" s="5" t="s">
        <v>23</v>
      </c>
      <c r="J521" s="5" t="s">
        <v>24</v>
      </c>
      <c r="K521" s="5" t="s">
        <v>25</v>
      </c>
      <c r="L521" s="11" t="s">
        <v>26</v>
      </c>
      <c r="M521" s="5" t="s">
        <v>27</v>
      </c>
      <c r="N521" t="str">
        <f t="shared" si="1"/>
        <v>URBS 4</v>
      </c>
      <c r="O521" s="12" t="str">
        <f t="shared" si="2"/>
        <v>https://monitoramento.pm.pr.gov.br/proxy_image_4/Interface/Cameras/GetJPEGStream?Camera=Camera55&amp;AuthUser=copom_DDTQ&amp;AuthPass=DDTQcopom&amp;Width=1024&amp;Height=768&amp;Quality=70&amp;FPS=10&amp;ResponseFormat=Text</v>
      </c>
      <c r="P521" s="6">
        <v>1.0</v>
      </c>
    </row>
    <row r="522">
      <c r="A522" s="7" t="s">
        <v>1799</v>
      </c>
      <c r="B522" s="2" t="s">
        <v>17</v>
      </c>
      <c r="C522" s="13" t="s">
        <v>1800</v>
      </c>
      <c r="D522" s="9">
        <v>48601.0</v>
      </c>
      <c r="E522" s="9" t="s">
        <v>2014</v>
      </c>
      <c r="F522" s="14" t="s">
        <v>2015</v>
      </c>
      <c r="G522" s="4" t="s">
        <v>2016</v>
      </c>
      <c r="H522" s="4" t="s">
        <v>2017</v>
      </c>
      <c r="I522" s="5" t="s">
        <v>23</v>
      </c>
      <c r="J522" s="5" t="s">
        <v>24</v>
      </c>
      <c r="K522" s="5" t="s">
        <v>25</v>
      </c>
      <c r="L522" s="11" t="s">
        <v>26</v>
      </c>
      <c r="M522" s="5" t="s">
        <v>27</v>
      </c>
      <c r="N522" t="str">
        <f t="shared" si="1"/>
        <v>URBS 4</v>
      </c>
      <c r="O522" s="12" t="str">
        <f t="shared" si="2"/>
        <v>https://monitoramento.pm.pr.gov.br/proxy_image_4/Interface/Cameras/GetJPEGStream?Camera=Camera56&amp;AuthUser=copom_DDTQ&amp;AuthPass=DDTQcopom&amp;Width=1024&amp;Height=768&amp;Quality=70&amp;FPS=10&amp;ResponseFormat=Text</v>
      </c>
      <c r="P522" s="6">
        <v>1.0</v>
      </c>
    </row>
    <row r="523">
      <c r="A523" s="7" t="s">
        <v>1799</v>
      </c>
      <c r="B523" s="2" t="s">
        <v>17</v>
      </c>
      <c r="C523" s="13" t="s">
        <v>1800</v>
      </c>
      <c r="D523" s="9">
        <v>48601.0</v>
      </c>
      <c r="E523" s="9" t="s">
        <v>2018</v>
      </c>
      <c r="F523" s="16" t="s">
        <v>2019</v>
      </c>
      <c r="G523" s="4" t="s">
        <v>2020</v>
      </c>
      <c r="H523" s="4" t="s">
        <v>2021</v>
      </c>
      <c r="I523" s="5" t="s">
        <v>23</v>
      </c>
      <c r="J523" s="5" t="s">
        <v>24</v>
      </c>
      <c r="K523" s="5" t="s">
        <v>25</v>
      </c>
      <c r="L523" s="11" t="s">
        <v>26</v>
      </c>
      <c r="M523" s="5" t="s">
        <v>27</v>
      </c>
      <c r="N523" t="str">
        <f t="shared" si="1"/>
        <v>URBS 4</v>
      </c>
      <c r="O523" s="12" t="str">
        <f t="shared" si="2"/>
        <v>https://monitoramento.pm.pr.gov.br/proxy_image_4/Interface/Cameras/GetJPEGStream?Camera=Camera57&amp;AuthUser=copom_DDTQ&amp;AuthPass=DDTQcopom&amp;Width=1024&amp;Height=768&amp;Quality=70&amp;FPS=10&amp;ResponseFormat=Text</v>
      </c>
      <c r="P523" s="6">
        <v>1.0</v>
      </c>
    </row>
    <row r="524">
      <c r="A524" s="7" t="s">
        <v>1799</v>
      </c>
      <c r="B524" s="2" t="s">
        <v>17</v>
      </c>
      <c r="C524" s="13" t="s">
        <v>1800</v>
      </c>
      <c r="D524" s="9">
        <v>48601.0</v>
      </c>
      <c r="E524" s="9" t="s">
        <v>2022</v>
      </c>
      <c r="F524" s="14" t="s">
        <v>2023</v>
      </c>
      <c r="G524" s="4" t="s">
        <v>2024</v>
      </c>
      <c r="H524" s="4" t="s">
        <v>2025</v>
      </c>
      <c r="I524" s="5" t="s">
        <v>23</v>
      </c>
      <c r="J524" s="5" t="s">
        <v>24</v>
      </c>
      <c r="K524" s="5" t="s">
        <v>25</v>
      </c>
      <c r="L524" s="11" t="s">
        <v>26</v>
      </c>
      <c r="M524" s="5" t="s">
        <v>27</v>
      </c>
      <c r="N524" t="str">
        <f t="shared" si="1"/>
        <v>URBS 4</v>
      </c>
      <c r="O524" s="12" t="str">
        <f t="shared" si="2"/>
        <v>https://monitoramento.pm.pr.gov.br/proxy_image_4/Interface/Cameras/GetJPEGStream?Camera=Camera58&amp;AuthUser=copom_DDTQ&amp;AuthPass=DDTQcopom&amp;Width=1024&amp;Height=768&amp;Quality=70&amp;FPS=10&amp;ResponseFormat=Text</v>
      </c>
      <c r="P524" s="6">
        <v>1.0</v>
      </c>
    </row>
    <row r="525">
      <c r="A525" s="7" t="s">
        <v>1799</v>
      </c>
      <c r="B525" s="2" t="s">
        <v>17</v>
      </c>
      <c r="C525" s="13" t="s">
        <v>1800</v>
      </c>
      <c r="D525" s="9">
        <v>48601.0</v>
      </c>
      <c r="E525" s="9" t="s">
        <v>2026</v>
      </c>
      <c r="F525" s="14" t="s">
        <v>2027</v>
      </c>
      <c r="G525" s="4" t="s">
        <v>2028</v>
      </c>
      <c r="H525" s="4" t="s">
        <v>265</v>
      </c>
      <c r="I525" s="5" t="s">
        <v>23</v>
      </c>
      <c r="J525" s="5" t="s">
        <v>24</v>
      </c>
      <c r="K525" s="5" t="s">
        <v>25</v>
      </c>
      <c r="L525" s="11" t="s">
        <v>26</v>
      </c>
      <c r="M525" s="5" t="s">
        <v>27</v>
      </c>
      <c r="N525" t="str">
        <f t="shared" si="1"/>
        <v>URBS 4</v>
      </c>
      <c r="O525" s="12" t="str">
        <f t="shared" si="2"/>
        <v>https://monitoramento.pm.pr.gov.br/proxy_image_4/Interface/Cameras/GetJPEGStream?Camera=Camera59&amp;AuthUser=copom_DDTQ&amp;AuthPass=DDTQcopom&amp;Width=1024&amp;Height=768&amp;Quality=70&amp;FPS=10&amp;ResponseFormat=Text</v>
      </c>
      <c r="P525" s="6">
        <v>1.0</v>
      </c>
    </row>
    <row r="526">
      <c r="A526" s="31" t="s">
        <v>1799</v>
      </c>
      <c r="B526" s="2" t="s">
        <v>17</v>
      </c>
      <c r="C526" s="13" t="s">
        <v>1800</v>
      </c>
      <c r="D526" s="18">
        <v>48601.0</v>
      </c>
      <c r="E526" s="18" t="s">
        <v>2029</v>
      </c>
      <c r="F526" s="19" t="s">
        <v>2030</v>
      </c>
      <c r="G526" s="4" t="s">
        <v>2031</v>
      </c>
      <c r="H526" s="4" t="s">
        <v>2032</v>
      </c>
      <c r="I526" s="20" t="s">
        <v>23</v>
      </c>
      <c r="J526" s="20" t="s">
        <v>24</v>
      </c>
      <c r="K526" s="5" t="s">
        <v>25</v>
      </c>
      <c r="L526" s="20" t="s">
        <v>26</v>
      </c>
      <c r="M526" s="20" t="s">
        <v>27</v>
      </c>
      <c r="N526" s="21" t="str">
        <f t="shared" si="1"/>
        <v>URBS 4</v>
      </c>
      <c r="O526" s="12" t="str">
        <f t="shared" si="2"/>
        <v>https://monitoramento.pm.pr.gov.br/proxy_image_4/Interface/Cameras/GetJPEGStream?Camera=Camera62&amp;AuthUser=copom_DDTQ&amp;AuthPass=DDTQcopom&amp;Width=1024&amp;Height=768&amp;Quality=70&amp;FPS=10&amp;ResponseFormat=Text</v>
      </c>
      <c r="P526" s="22">
        <v>1.0</v>
      </c>
    </row>
    <row r="527">
      <c r="A527" s="31" t="s">
        <v>1799</v>
      </c>
      <c r="B527" s="2" t="s">
        <v>17</v>
      </c>
      <c r="C527" s="13" t="s">
        <v>1800</v>
      </c>
      <c r="D527" s="18">
        <v>48601.0</v>
      </c>
      <c r="E527" s="18" t="s">
        <v>2033</v>
      </c>
      <c r="F527" s="19" t="s">
        <v>2034</v>
      </c>
      <c r="G527" s="4" t="s">
        <v>2035</v>
      </c>
      <c r="H527" s="4" t="s">
        <v>2036</v>
      </c>
      <c r="I527" s="20" t="s">
        <v>23</v>
      </c>
      <c r="J527" s="20" t="s">
        <v>24</v>
      </c>
      <c r="K527" s="5" t="s">
        <v>25</v>
      </c>
      <c r="L527" s="20" t="s">
        <v>26</v>
      </c>
      <c r="M527" s="20" t="s">
        <v>27</v>
      </c>
      <c r="N527" s="21" t="str">
        <f t="shared" si="1"/>
        <v>URBS 4</v>
      </c>
      <c r="O527" s="12" t="str">
        <f t="shared" si="2"/>
        <v>https://monitoramento.pm.pr.gov.br/proxy_image_4/Interface/Cameras/GetJPEGStream?Camera=Camera63&amp;AuthUser=copom_DDTQ&amp;AuthPass=DDTQcopom&amp;Width=1024&amp;Height=768&amp;Quality=70&amp;FPS=10&amp;ResponseFormat=Text</v>
      </c>
      <c r="P527" s="22">
        <v>1.0</v>
      </c>
    </row>
    <row r="528">
      <c r="A528" s="7" t="s">
        <v>1799</v>
      </c>
      <c r="B528" s="2" t="s">
        <v>17</v>
      </c>
      <c r="C528" s="13" t="s">
        <v>1800</v>
      </c>
      <c r="D528" s="9">
        <v>48601.0</v>
      </c>
      <c r="E528" s="9" t="s">
        <v>2037</v>
      </c>
      <c r="F528" s="14" t="s">
        <v>2038</v>
      </c>
      <c r="G528" s="4" t="s">
        <v>2039</v>
      </c>
      <c r="H528" s="4" t="s">
        <v>2040</v>
      </c>
      <c r="I528" s="5" t="s">
        <v>23</v>
      </c>
      <c r="J528" s="5" t="s">
        <v>24</v>
      </c>
      <c r="K528" s="5" t="s">
        <v>25</v>
      </c>
      <c r="L528" s="11" t="s">
        <v>26</v>
      </c>
      <c r="M528" s="5" t="s">
        <v>27</v>
      </c>
      <c r="N528" t="str">
        <f t="shared" si="1"/>
        <v>URBS 4</v>
      </c>
      <c r="O528" s="12" t="str">
        <f t="shared" si="2"/>
        <v>https://monitoramento.pm.pr.gov.br/proxy_image_4/Interface/Cameras/GetJPEGStream?Camera=Camera89&amp;AuthUser=copom_DDTQ&amp;AuthPass=DDTQcopom&amp;Width=1024&amp;Height=768&amp;Quality=70&amp;FPS=10&amp;ResponseFormat=Text</v>
      </c>
      <c r="P528" s="6">
        <v>1.0</v>
      </c>
    </row>
    <row r="529">
      <c r="A529" s="7" t="s">
        <v>1799</v>
      </c>
      <c r="B529" s="2" t="s">
        <v>17</v>
      </c>
      <c r="C529" s="13" t="s">
        <v>1800</v>
      </c>
      <c r="D529" s="9">
        <v>48601.0</v>
      </c>
      <c r="E529" s="14" t="s">
        <v>2041</v>
      </c>
      <c r="F529" s="14" t="s">
        <v>2042</v>
      </c>
      <c r="G529" s="4">
        <v>0.0</v>
      </c>
      <c r="H529" s="4">
        <v>0.0</v>
      </c>
      <c r="I529" s="5" t="s">
        <v>23</v>
      </c>
      <c r="J529" s="5">
        <v>1.0</v>
      </c>
      <c r="K529" s="5" t="s">
        <v>25</v>
      </c>
      <c r="L529" s="33"/>
      <c r="M529" s="5" t="s">
        <v>27</v>
      </c>
      <c r="N529" s="34" t="s">
        <v>1799</v>
      </c>
      <c r="O529" s="35" t="str">
        <f t="shared" si="2"/>
        <v>#</v>
      </c>
      <c r="P529" s="6">
        <v>0.0</v>
      </c>
    </row>
    <row r="530">
      <c r="A530" s="7" t="s">
        <v>1799</v>
      </c>
      <c r="B530" s="2" t="s">
        <v>17</v>
      </c>
      <c r="C530" s="13" t="s">
        <v>1800</v>
      </c>
      <c r="D530" s="9">
        <v>48601.0</v>
      </c>
      <c r="E530" s="14" t="s">
        <v>2043</v>
      </c>
      <c r="F530" s="14" t="s">
        <v>2044</v>
      </c>
      <c r="G530" s="4">
        <v>0.0</v>
      </c>
      <c r="H530" s="4">
        <v>0.0</v>
      </c>
      <c r="I530" s="5" t="s">
        <v>23</v>
      </c>
      <c r="J530" s="5">
        <v>1.0</v>
      </c>
      <c r="K530" s="5" t="s">
        <v>25</v>
      </c>
      <c r="L530" s="33"/>
      <c r="M530" s="5" t="s">
        <v>27</v>
      </c>
      <c r="N530" s="34" t="s">
        <v>1799</v>
      </c>
      <c r="O530" s="35" t="str">
        <f t="shared" si="2"/>
        <v>#</v>
      </c>
      <c r="P530" s="6">
        <v>1.0</v>
      </c>
    </row>
    <row r="531">
      <c r="A531" s="7" t="s">
        <v>1799</v>
      </c>
      <c r="B531" s="2" t="s">
        <v>17</v>
      </c>
      <c r="C531" s="13" t="s">
        <v>1800</v>
      </c>
      <c r="D531" s="9">
        <v>48601.0</v>
      </c>
      <c r="E531" s="14" t="s">
        <v>2045</v>
      </c>
      <c r="F531" s="14" t="s">
        <v>2046</v>
      </c>
      <c r="G531" s="4">
        <v>0.0</v>
      </c>
      <c r="H531" s="4">
        <v>0.0</v>
      </c>
      <c r="I531" s="5" t="s">
        <v>23</v>
      </c>
      <c r="J531" s="5">
        <v>1.0</v>
      </c>
      <c r="K531" s="5" t="s">
        <v>25</v>
      </c>
      <c r="L531" s="33"/>
      <c r="M531" s="5" t="s">
        <v>27</v>
      </c>
      <c r="N531" s="34" t="s">
        <v>1799</v>
      </c>
      <c r="O531" s="35" t="str">
        <f t="shared" si="2"/>
        <v>#</v>
      </c>
      <c r="P531" s="6">
        <v>1.0</v>
      </c>
    </row>
    <row r="532">
      <c r="A532" s="7" t="s">
        <v>1799</v>
      </c>
      <c r="B532" s="2" t="s">
        <v>17</v>
      </c>
      <c r="C532" s="13" t="s">
        <v>1800</v>
      </c>
      <c r="D532" s="9">
        <v>48601.0</v>
      </c>
      <c r="E532" s="14" t="s">
        <v>2047</v>
      </c>
      <c r="F532" s="14" t="s">
        <v>2048</v>
      </c>
      <c r="G532" s="4">
        <v>0.0</v>
      </c>
      <c r="H532" s="4">
        <v>0.0</v>
      </c>
      <c r="I532" s="5" t="s">
        <v>23</v>
      </c>
      <c r="J532" s="5">
        <v>1.0</v>
      </c>
      <c r="K532" s="5" t="s">
        <v>25</v>
      </c>
      <c r="L532" s="33"/>
      <c r="M532" s="5" t="s">
        <v>27</v>
      </c>
      <c r="N532" s="34" t="s">
        <v>1799</v>
      </c>
      <c r="O532" s="35" t="str">
        <f t="shared" si="2"/>
        <v>#</v>
      </c>
      <c r="P532" s="6">
        <v>1.0</v>
      </c>
    </row>
    <row r="533">
      <c r="A533" s="7" t="s">
        <v>1799</v>
      </c>
      <c r="B533" s="2" t="s">
        <v>17</v>
      </c>
      <c r="C533" s="13" t="s">
        <v>1800</v>
      </c>
      <c r="D533" s="9">
        <v>48601.0</v>
      </c>
      <c r="E533" s="14" t="s">
        <v>2049</v>
      </c>
      <c r="F533" s="14" t="s">
        <v>2050</v>
      </c>
      <c r="G533" s="4">
        <v>0.0</v>
      </c>
      <c r="H533" s="4">
        <v>0.0</v>
      </c>
      <c r="I533" s="5" t="s">
        <v>23</v>
      </c>
      <c r="J533" s="5">
        <v>1.0</v>
      </c>
      <c r="K533" s="5" t="s">
        <v>25</v>
      </c>
      <c r="L533" s="33"/>
      <c r="M533" s="5" t="s">
        <v>27</v>
      </c>
      <c r="N533" s="34" t="s">
        <v>1799</v>
      </c>
      <c r="O533" s="35" t="str">
        <f t="shared" si="2"/>
        <v>#</v>
      </c>
      <c r="P533" s="6">
        <v>1.0</v>
      </c>
    </row>
    <row r="534">
      <c r="A534" s="7" t="s">
        <v>1799</v>
      </c>
      <c r="B534" s="2" t="s">
        <v>17</v>
      </c>
      <c r="C534" s="13" t="s">
        <v>1800</v>
      </c>
      <c r="D534" s="9">
        <v>48601.0</v>
      </c>
      <c r="E534" s="14" t="s">
        <v>2051</v>
      </c>
      <c r="F534" s="14" t="s">
        <v>2052</v>
      </c>
      <c r="G534" s="4">
        <v>0.0</v>
      </c>
      <c r="H534" s="4">
        <v>0.0</v>
      </c>
      <c r="I534" s="5" t="s">
        <v>23</v>
      </c>
      <c r="J534" s="5">
        <v>1.0</v>
      </c>
      <c r="K534" s="5" t="s">
        <v>25</v>
      </c>
      <c r="L534" s="33"/>
      <c r="M534" s="5" t="s">
        <v>27</v>
      </c>
      <c r="N534" s="34" t="s">
        <v>1799</v>
      </c>
      <c r="O534" s="35" t="str">
        <f t="shared" si="2"/>
        <v>#</v>
      </c>
      <c r="P534" s="6">
        <v>1.0</v>
      </c>
    </row>
    <row r="535">
      <c r="A535" s="7" t="s">
        <v>1799</v>
      </c>
      <c r="B535" s="2" t="s">
        <v>17</v>
      </c>
      <c r="C535" s="13" t="s">
        <v>1800</v>
      </c>
      <c r="D535" s="9">
        <v>48601.0</v>
      </c>
      <c r="E535" s="14" t="s">
        <v>2053</v>
      </c>
      <c r="F535" s="14" t="s">
        <v>2054</v>
      </c>
      <c r="G535" s="4">
        <v>0.0</v>
      </c>
      <c r="H535" s="4">
        <v>0.0</v>
      </c>
      <c r="I535" s="5" t="s">
        <v>23</v>
      </c>
      <c r="J535" s="5">
        <v>1.0</v>
      </c>
      <c r="K535" s="5" t="s">
        <v>25</v>
      </c>
      <c r="L535" s="33"/>
      <c r="M535" s="5" t="s">
        <v>27</v>
      </c>
      <c r="N535" s="34" t="s">
        <v>1799</v>
      </c>
      <c r="O535" s="35" t="str">
        <f t="shared" si="2"/>
        <v>#</v>
      </c>
      <c r="P535" s="6">
        <v>1.0</v>
      </c>
    </row>
    <row r="536">
      <c r="A536" s="36" t="s">
        <v>2055</v>
      </c>
      <c r="B536" s="37" t="s">
        <v>2055</v>
      </c>
      <c r="C536" s="13" t="s">
        <v>2056</v>
      </c>
      <c r="D536" s="5">
        <v>8601.0</v>
      </c>
      <c r="E536" s="5" t="s">
        <v>2057</v>
      </c>
      <c r="F536" s="38" t="s">
        <v>2058</v>
      </c>
      <c r="G536" s="4" t="s">
        <v>2059</v>
      </c>
      <c r="H536" s="4" t="s">
        <v>2060</v>
      </c>
      <c r="I536" s="5" t="s">
        <v>8</v>
      </c>
      <c r="J536" s="5" t="s">
        <v>2061</v>
      </c>
      <c r="K536" s="5" t="s">
        <v>25</v>
      </c>
      <c r="L536" s="11" t="s">
        <v>26</v>
      </c>
      <c r="M536" s="5" t="s">
        <v>27</v>
      </c>
      <c r="N536" s="5" t="s">
        <v>2055</v>
      </c>
      <c r="O536" s="12" t="str">
        <f t="shared" si="2"/>
        <v>https://monitoramento.pm.pr.gov.br/proxy_image_6/Interface/Cameras/GetJPEGStream?Camera=C.001&amp;AuthUser=siscop&amp;AuthPass=Siscop1234&amp;Width=1024&amp;Height=768&amp;Quality=70&amp;FPS=10&amp;ResponseFormat=Text</v>
      </c>
      <c r="P536" s="6">
        <v>1.0</v>
      </c>
    </row>
    <row r="537">
      <c r="A537" s="36" t="s">
        <v>2055</v>
      </c>
      <c r="B537" s="37" t="s">
        <v>2055</v>
      </c>
      <c r="C537" s="13" t="s">
        <v>2056</v>
      </c>
      <c r="D537" s="5">
        <v>8601.0</v>
      </c>
      <c r="E537" s="5" t="s">
        <v>2062</v>
      </c>
      <c r="F537" s="38" t="s">
        <v>2063</v>
      </c>
      <c r="G537" s="4" t="s">
        <v>2059</v>
      </c>
      <c r="H537" s="4" t="s">
        <v>2064</v>
      </c>
      <c r="I537" s="5" t="s">
        <v>8</v>
      </c>
      <c r="J537" s="5" t="s">
        <v>2061</v>
      </c>
      <c r="K537" s="5" t="s">
        <v>25</v>
      </c>
      <c r="L537" s="11" t="s">
        <v>26</v>
      </c>
      <c r="M537" s="5" t="s">
        <v>27</v>
      </c>
      <c r="N537" s="5" t="s">
        <v>2055</v>
      </c>
      <c r="O537" s="12" t="str">
        <f t="shared" si="2"/>
        <v>https://monitoramento.pm.pr.gov.br/proxy_image_6/Interface/Cameras/GetJPEGStream?Camera=C.002&amp;AuthUser=siscop&amp;AuthPass=Siscop1234&amp;Width=1024&amp;Height=768&amp;Quality=70&amp;FPS=10&amp;ResponseFormat=Text</v>
      </c>
      <c r="P537" s="6">
        <v>1.0</v>
      </c>
    </row>
    <row r="538">
      <c r="A538" s="36" t="s">
        <v>2055</v>
      </c>
      <c r="B538" s="37" t="s">
        <v>2055</v>
      </c>
      <c r="C538" s="13" t="s">
        <v>2056</v>
      </c>
      <c r="D538" s="5">
        <v>8601.0</v>
      </c>
      <c r="E538" s="5" t="s">
        <v>2065</v>
      </c>
      <c r="F538" s="38" t="s">
        <v>2066</v>
      </c>
      <c r="G538" s="4" t="s">
        <v>2067</v>
      </c>
      <c r="H538" s="4" t="s">
        <v>2068</v>
      </c>
      <c r="I538" s="5" t="s">
        <v>8</v>
      </c>
      <c r="J538" s="5" t="s">
        <v>2061</v>
      </c>
      <c r="K538" s="5" t="s">
        <v>25</v>
      </c>
      <c r="L538" s="11" t="s">
        <v>26</v>
      </c>
      <c r="M538" s="5" t="s">
        <v>27</v>
      </c>
      <c r="N538" s="5" t="s">
        <v>2055</v>
      </c>
      <c r="O538" s="12" t="str">
        <f t="shared" si="2"/>
        <v>https://monitoramento.pm.pr.gov.br/proxy_image_6/Interface/Cameras/GetJPEGStream?Camera=C.003&amp;AuthUser=siscop&amp;AuthPass=Siscop1234&amp;Width=1024&amp;Height=768&amp;Quality=70&amp;FPS=10&amp;ResponseFormat=Text</v>
      </c>
      <c r="P538" s="6">
        <v>1.0</v>
      </c>
    </row>
    <row r="539">
      <c r="A539" s="36" t="s">
        <v>2055</v>
      </c>
      <c r="B539" s="37" t="s">
        <v>2055</v>
      </c>
      <c r="C539" s="13" t="s">
        <v>2056</v>
      </c>
      <c r="D539" s="5">
        <v>8601.0</v>
      </c>
      <c r="E539" s="5" t="s">
        <v>2069</v>
      </c>
      <c r="F539" s="38" t="s">
        <v>2070</v>
      </c>
      <c r="G539" s="4" t="s">
        <v>2071</v>
      </c>
      <c r="H539" s="4" t="s">
        <v>2072</v>
      </c>
      <c r="I539" s="5" t="s">
        <v>8</v>
      </c>
      <c r="J539" s="5" t="s">
        <v>2061</v>
      </c>
      <c r="K539" s="5" t="s">
        <v>25</v>
      </c>
      <c r="L539" s="11" t="s">
        <v>26</v>
      </c>
      <c r="M539" s="5" t="s">
        <v>27</v>
      </c>
      <c r="N539" s="5" t="s">
        <v>2055</v>
      </c>
      <c r="O539" s="12" t="str">
        <f t="shared" si="2"/>
        <v>https://monitoramento.pm.pr.gov.br/proxy_image_6/Interface/Cameras/GetJPEGStream?Camera=C.004&amp;AuthUser=siscop&amp;AuthPass=Siscop1234&amp;Width=1024&amp;Height=768&amp;Quality=70&amp;FPS=10&amp;ResponseFormat=Text</v>
      </c>
      <c r="P539" s="6">
        <v>1.0</v>
      </c>
    </row>
    <row r="540">
      <c r="A540" s="36" t="s">
        <v>2055</v>
      </c>
      <c r="B540" s="37" t="s">
        <v>2055</v>
      </c>
      <c r="C540" s="13" t="s">
        <v>2056</v>
      </c>
      <c r="D540" s="5">
        <v>8601.0</v>
      </c>
      <c r="E540" s="5" t="s">
        <v>2073</v>
      </c>
      <c r="F540" s="38" t="s">
        <v>2074</v>
      </c>
      <c r="G540" s="4" t="s">
        <v>2075</v>
      </c>
      <c r="H540" s="4" t="s">
        <v>2076</v>
      </c>
      <c r="I540" s="5" t="s">
        <v>8</v>
      </c>
      <c r="J540" s="5" t="s">
        <v>2061</v>
      </c>
      <c r="K540" s="5" t="s">
        <v>25</v>
      </c>
      <c r="L540" s="11" t="s">
        <v>26</v>
      </c>
      <c r="M540" s="5" t="s">
        <v>27</v>
      </c>
      <c r="N540" s="5" t="s">
        <v>2055</v>
      </c>
      <c r="O540" s="12" t="str">
        <f t="shared" si="2"/>
        <v>https://monitoramento.pm.pr.gov.br/proxy_image_6/Interface/Cameras/GetJPEGStream?Camera=C.005&amp;AuthUser=siscop&amp;AuthPass=Siscop1234&amp;Width=1024&amp;Height=768&amp;Quality=70&amp;FPS=10&amp;ResponseFormat=Text</v>
      </c>
      <c r="P540" s="6">
        <v>1.0</v>
      </c>
    </row>
    <row r="541">
      <c r="A541" s="36" t="s">
        <v>2055</v>
      </c>
      <c r="B541" s="37" t="s">
        <v>2055</v>
      </c>
      <c r="C541" s="13" t="s">
        <v>2056</v>
      </c>
      <c r="D541" s="5">
        <v>8601.0</v>
      </c>
      <c r="E541" s="5" t="s">
        <v>2077</v>
      </c>
      <c r="F541" s="38" t="s">
        <v>2074</v>
      </c>
      <c r="G541" s="4" t="s">
        <v>2078</v>
      </c>
      <c r="H541" s="4" t="s">
        <v>2079</v>
      </c>
      <c r="I541" s="5" t="s">
        <v>8</v>
      </c>
      <c r="J541" s="5" t="s">
        <v>2061</v>
      </c>
      <c r="K541" s="5" t="s">
        <v>25</v>
      </c>
      <c r="L541" s="11" t="s">
        <v>26</v>
      </c>
      <c r="M541" s="5" t="s">
        <v>27</v>
      </c>
      <c r="N541" s="5" t="s">
        <v>2055</v>
      </c>
      <c r="O541" s="12" t="str">
        <f t="shared" si="2"/>
        <v>https://monitoramento.pm.pr.gov.br/proxy_image_6/Interface/Cameras/GetJPEGStream?Camera=C.006&amp;AuthUser=siscop&amp;AuthPass=Siscop1234&amp;Width=1024&amp;Height=768&amp;Quality=70&amp;FPS=10&amp;ResponseFormat=Text</v>
      </c>
      <c r="P541" s="6">
        <v>1.0</v>
      </c>
    </row>
    <row r="542">
      <c r="A542" s="36" t="s">
        <v>2055</v>
      </c>
      <c r="B542" s="37" t="s">
        <v>2055</v>
      </c>
      <c r="C542" s="13" t="s">
        <v>2056</v>
      </c>
      <c r="D542" s="5">
        <v>8601.0</v>
      </c>
      <c r="E542" s="5" t="s">
        <v>2080</v>
      </c>
      <c r="F542" s="38" t="s">
        <v>2081</v>
      </c>
      <c r="G542" s="4" t="s">
        <v>2082</v>
      </c>
      <c r="H542" s="4" t="s">
        <v>2083</v>
      </c>
      <c r="I542" s="5" t="s">
        <v>8</v>
      </c>
      <c r="J542" s="5" t="s">
        <v>2061</v>
      </c>
      <c r="K542" s="5" t="s">
        <v>25</v>
      </c>
      <c r="L542" s="11" t="s">
        <v>26</v>
      </c>
      <c r="M542" s="5" t="s">
        <v>27</v>
      </c>
      <c r="N542" s="5" t="s">
        <v>2055</v>
      </c>
      <c r="O542" s="12" t="str">
        <f t="shared" si="2"/>
        <v>https://monitoramento.pm.pr.gov.br/proxy_image_6/Interface/Cameras/GetJPEGStream?Camera=C.007&amp;AuthUser=siscop&amp;AuthPass=Siscop1234&amp;Width=1024&amp;Height=768&amp;Quality=70&amp;FPS=10&amp;ResponseFormat=Text</v>
      </c>
      <c r="P542" s="6">
        <v>1.0</v>
      </c>
    </row>
    <row r="543">
      <c r="A543" s="36" t="s">
        <v>2055</v>
      </c>
      <c r="B543" s="37" t="s">
        <v>2055</v>
      </c>
      <c r="C543" s="13" t="s">
        <v>2056</v>
      </c>
      <c r="D543" s="5">
        <v>8601.0</v>
      </c>
      <c r="E543" s="5" t="s">
        <v>2084</v>
      </c>
      <c r="F543" s="38" t="s">
        <v>2085</v>
      </c>
      <c r="G543" s="4" t="s">
        <v>2086</v>
      </c>
      <c r="H543" s="4" t="s">
        <v>2087</v>
      </c>
      <c r="I543" s="5" t="s">
        <v>8</v>
      </c>
      <c r="J543" s="5" t="s">
        <v>2061</v>
      </c>
      <c r="K543" s="5" t="s">
        <v>25</v>
      </c>
      <c r="L543" s="11" t="s">
        <v>26</v>
      </c>
      <c r="M543" s="5" t="s">
        <v>27</v>
      </c>
      <c r="N543" s="5" t="s">
        <v>2055</v>
      </c>
      <c r="O543" s="12" t="str">
        <f t="shared" si="2"/>
        <v>https://monitoramento.pm.pr.gov.br/proxy_image_6/Interface/Cameras/GetJPEGStream?Camera=C.008&amp;AuthUser=siscop&amp;AuthPass=Siscop1234&amp;Width=1024&amp;Height=768&amp;Quality=70&amp;FPS=10&amp;ResponseFormat=Text</v>
      </c>
      <c r="P543" s="6">
        <v>1.0</v>
      </c>
    </row>
    <row r="544">
      <c r="A544" s="36" t="s">
        <v>2055</v>
      </c>
      <c r="B544" s="37" t="s">
        <v>2055</v>
      </c>
      <c r="C544" s="13" t="s">
        <v>2056</v>
      </c>
      <c r="D544" s="5">
        <v>8601.0</v>
      </c>
      <c r="E544" s="5" t="s">
        <v>2088</v>
      </c>
      <c r="F544" s="38" t="s">
        <v>2089</v>
      </c>
      <c r="G544" s="4" t="s">
        <v>2090</v>
      </c>
      <c r="H544" s="4" t="s">
        <v>2091</v>
      </c>
      <c r="I544" s="5" t="s">
        <v>8</v>
      </c>
      <c r="J544" s="5" t="s">
        <v>2061</v>
      </c>
      <c r="K544" s="5" t="s">
        <v>25</v>
      </c>
      <c r="L544" s="11" t="s">
        <v>26</v>
      </c>
      <c r="M544" s="5" t="s">
        <v>27</v>
      </c>
      <c r="N544" s="5" t="s">
        <v>2055</v>
      </c>
      <c r="O544" s="12" t="str">
        <f t="shared" si="2"/>
        <v>https://monitoramento.pm.pr.gov.br/proxy_image_6/Interface/Cameras/GetJPEGStream?Camera=C.009&amp;AuthUser=siscop&amp;AuthPass=Siscop1234&amp;Width=1024&amp;Height=768&amp;Quality=70&amp;FPS=10&amp;ResponseFormat=Text</v>
      </c>
      <c r="P544" s="6">
        <v>1.0</v>
      </c>
    </row>
    <row r="545">
      <c r="A545" s="36" t="s">
        <v>2055</v>
      </c>
      <c r="B545" s="37" t="s">
        <v>2055</v>
      </c>
      <c r="C545" s="13" t="s">
        <v>2056</v>
      </c>
      <c r="D545" s="5">
        <v>8601.0</v>
      </c>
      <c r="E545" s="5" t="s">
        <v>2092</v>
      </c>
      <c r="F545" s="38" t="s">
        <v>2093</v>
      </c>
      <c r="G545" s="4" t="s">
        <v>2094</v>
      </c>
      <c r="H545" s="4" t="s">
        <v>2095</v>
      </c>
      <c r="I545" s="5" t="s">
        <v>8</v>
      </c>
      <c r="J545" s="5" t="s">
        <v>2061</v>
      </c>
      <c r="K545" s="5" t="s">
        <v>25</v>
      </c>
      <c r="L545" s="11" t="s">
        <v>26</v>
      </c>
      <c r="M545" s="5" t="s">
        <v>27</v>
      </c>
      <c r="N545" s="5" t="s">
        <v>2055</v>
      </c>
      <c r="O545" s="12" t="str">
        <f t="shared" si="2"/>
        <v>https://monitoramento.pm.pr.gov.br/proxy_image_6/Interface/Cameras/GetJPEGStream?Camera=C.010&amp;AuthUser=siscop&amp;AuthPass=Siscop1234&amp;Width=1024&amp;Height=768&amp;Quality=70&amp;FPS=10&amp;ResponseFormat=Text</v>
      </c>
      <c r="P545" s="6">
        <v>1.0</v>
      </c>
    </row>
    <row r="546">
      <c r="A546" s="36" t="s">
        <v>2055</v>
      </c>
      <c r="B546" s="37" t="s">
        <v>2055</v>
      </c>
      <c r="C546" s="13" t="s">
        <v>2056</v>
      </c>
      <c r="D546" s="5">
        <v>8601.0</v>
      </c>
      <c r="E546" s="5" t="s">
        <v>2096</v>
      </c>
      <c r="F546" s="38" t="s">
        <v>2097</v>
      </c>
      <c r="G546" s="4" t="s">
        <v>2098</v>
      </c>
      <c r="H546" s="4" t="s">
        <v>2099</v>
      </c>
      <c r="I546" s="5" t="s">
        <v>8</v>
      </c>
      <c r="J546" s="5" t="s">
        <v>2061</v>
      </c>
      <c r="K546" s="5" t="s">
        <v>25</v>
      </c>
      <c r="L546" s="11" t="s">
        <v>26</v>
      </c>
      <c r="M546" s="5" t="s">
        <v>27</v>
      </c>
      <c r="N546" s="5" t="s">
        <v>2055</v>
      </c>
      <c r="O546" s="12" t="str">
        <f t="shared" si="2"/>
        <v>https://monitoramento.pm.pr.gov.br/proxy_image_6/Interface/Cameras/GetJPEGStream?Camera=C.011&amp;AuthUser=siscop&amp;AuthPass=Siscop1234&amp;Width=1024&amp;Height=768&amp;Quality=70&amp;FPS=10&amp;ResponseFormat=Text</v>
      </c>
      <c r="P546" s="6">
        <v>1.0</v>
      </c>
    </row>
    <row r="547">
      <c r="A547" s="36" t="s">
        <v>2055</v>
      </c>
      <c r="B547" s="37" t="s">
        <v>2055</v>
      </c>
      <c r="C547" s="13" t="s">
        <v>2056</v>
      </c>
      <c r="D547" s="5">
        <v>8601.0</v>
      </c>
      <c r="E547" s="5" t="s">
        <v>2100</v>
      </c>
      <c r="F547" s="38" t="s">
        <v>2101</v>
      </c>
      <c r="G547" s="4" t="s">
        <v>2102</v>
      </c>
      <c r="H547" s="4" t="s">
        <v>2103</v>
      </c>
      <c r="I547" s="5" t="s">
        <v>8</v>
      </c>
      <c r="J547" s="5" t="s">
        <v>2061</v>
      </c>
      <c r="K547" s="5" t="s">
        <v>25</v>
      </c>
      <c r="L547" s="11" t="s">
        <v>26</v>
      </c>
      <c r="M547" s="5" t="s">
        <v>27</v>
      </c>
      <c r="N547" s="5" t="s">
        <v>2055</v>
      </c>
      <c r="O547" s="12" t="str">
        <f t="shared" si="2"/>
        <v>https://monitoramento.pm.pr.gov.br/proxy_image_6/Interface/Cameras/GetJPEGStream?Camera=C.012&amp;AuthUser=siscop&amp;AuthPass=Siscop1234&amp;Width=1024&amp;Height=768&amp;Quality=70&amp;FPS=10&amp;ResponseFormat=Text</v>
      </c>
      <c r="P547" s="6">
        <v>1.0</v>
      </c>
    </row>
    <row r="548">
      <c r="A548" s="36" t="s">
        <v>2055</v>
      </c>
      <c r="B548" s="37" t="s">
        <v>2055</v>
      </c>
      <c r="C548" s="13" t="s">
        <v>2056</v>
      </c>
      <c r="D548" s="5">
        <v>8601.0</v>
      </c>
      <c r="E548" s="5" t="s">
        <v>2104</v>
      </c>
      <c r="F548" s="38" t="s">
        <v>2105</v>
      </c>
      <c r="G548" s="4" t="s">
        <v>2106</v>
      </c>
      <c r="H548" s="4" t="s">
        <v>2107</v>
      </c>
      <c r="I548" s="5" t="s">
        <v>8</v>
      </c>
      <c r="J548" s="5" t="s">
        <v>2061</v>
      </c>
      <c r="K548" s="5" t="s">
        <v>25</v>
      </c>
      <c r="L548" s="11" t="s">
        <v>26</v>
      </c>
      <c r="M548" s="5" t="s">
        <v>27</v>
      </c>
      <c r="N548" s="5" t="s">
        <v>2055</v>
      </c>
      <c r="O548" s="12" t="str">
        <f t="shared" si="2"/>
        <v>https://monitoramento.pm.pr.gov.br/proxy_image_6/Interface/Cameras/GetJPEGStream?Camera=C.013&amp;AuthUser=siscop&amp;AuthPass=Siscop1234&amp;Width=1024&amp;Height=768&amp;Quality=70&amp;FPS=10&amp;ResponseFormat=Text</v>
      </c>
      <c r="P548" s="6">
        <v>1.0</v>
      </c>
    </row>
    <row r="549">
      <c r="A549" s="36" t="s">
        <v>2055</v>
      </c>
      <c r="B549" s="37" t="s">
        <v>2055</v>
      </c>
      <c r="C549" s="13" t="s">
        <v>2056</v>
      </c>
      <c r="D549" s="5">
        <v>8601.0</v>
      </c>
      <c r="E549" s="5" t="s">
        <v>2108</v>
      </c>
      <c r="F549" s="38" t="s">
        <v>2109</v>
      </c>
      <c r="G549" s="4" t="s">
        <v>2110</v>
      </c>
      <c r="H549" s="4" t="s">
        <v>2111</v>
      </c>
      <c r="I549" s="5" t="s">
        <v>8</v>
      </c>
      <c r="J549" s="5" t="s">
        <v>2061</v>
      </c>
      <c r="K549" s="5" t="s">
        <v>25</v>
      </c>
      <c r="L549" s="11" t="s">
        <v>26</v>
      </c>
      <c r="M549" s="5" t="s">
        <v>27</v>
      </c>
      <c r="N549" s="5" t="s">
        <v>2055</v>
      </c>
      <c r="O549" s="12" t="str">
        <f t="shared" si="2"/>
        <v>https://monitoramento.pm.pr.gov.br/proxy_image_6/Interface/Cameras/GetJPEGStream?Camera=C.014&amp;AuthUser=siscop&amp;AuthPass=Siscop1234&amp;Width=1024&amp;Height=768&amp;Quality=70&amp;FPS=10&amp;ResponseFormat=Text</v>
      </c>
      <c r="P549" s="6">
        <v>1.0</v>
      </c>
    </row>
    <row r="550">
      <c r="A550" s="36" t="s">
        <v>2055</v>
      </c>
      <c r="B550" s="37" t="s">
        <v>2055</v>
      </c>
      <c r="C550" s="13" t="s">
        <v>2056</v>
      </c>
      <c r="D550" s="5">
        <v>8601.0</v>
      </c>
      <c r="E550" s="5" t="s">
        <v>2112</v>
      </c>
      <c r="F550" s="38" t="s">
        <v>2113</v>
      </c>
      <c r="G550" s="4" t="s">
        <v>2114</v>
      </c>
      <c r="H550" s="4" t="s">
        <v>2115</v>
      </c>
      <c r="I550" s="5" t="s">
        <v>8</v>
      </c>
      <c r="J550" s="5" t="s">
        <v>2061</v>
      </c>
      <c r="K550" s="5" t="s">
        <v>25</v>
      </c>
      <c r="L550" s="11" t="s">
        <v>26</v>
      </c>
      <c r="M550" s="5" t="s">
        <v>27</v>
      </c>
      <c r="N550" s="5" t="s">
        <v>2055</v>
      </c>
      <c r="O550" s="12" t="str">
        <f t="shared" si="2"/>
        <v>https://monitoramento.pm.pr.gov.br/proxy_image_6/Interface/Cameras/GetJPEGStream?Camera=C.015&amp;AuthUser=siscop&amp;AuthPass=Siscop1234&amp;Width=1024&amp;Height=768&amp;Quality=70&amp;FPS=10&amp;ResponseFormat=Text</v>
      </c>
      <c r="P550" s="6">
        <v>1.0</v>
      </c>
    </row>
    <row r="551">
      <c r="A551" s="36" t="s">
        <v>2055</v>
      </c>
      <c r="B551" s="37" t="s">
        <v>2055</v>
      </c>
      <c r="C551" s="13" t="s">
        <v>2056</v>
      </c>
      <c r="D551" s="5">
        <v>8601.0</v>
      </c>
      <c r="E551" s="5" t="s">
        <v>2116</v>
      </c>
      <c r="F551" s="38" t="s">
        <v>2117</v>
      </c>
      <c r="G551" s="4" t="s">
        <v>2110</v>
      </c>
      <c r="H551" s="4" t="s">
        <v>2111</v>
      </c>
      <c r="I551" s="5" t="s">
        <v>8</v>
      </c>
      <c r="J551" s="5" t="s">
        <v>2061</v>
      </c>
      <c r="K551" s="5" t="s">
        <v>25</v>
      </c>
      <c r="L551" s="11" t="s">
        <v>26</v>
      </c>
      <c r="M551" s="5" t="s">
        <v>27</v>
      </c>
      <c r="N551" s="5" t="s">
        <v>2055</v>
      </c>
      <c r="O551" s="12" t="str">
        <f t="shared" si="2"/>
        <v>https://monitoramento.pm.pr.gov.br/proxy_image_6/Interface/Cameras/GetJPEGStream?Camera=C.016&amp;AuthUser=siscop&amp;AuthPass=Siscop1234&amp;Width=1024&amp;Height=768&amp;Quality=70&amp;FPS=10&amp;ResponseFormat=Text</v>
      </c>
      <c r="P551" s="6">
        <v>1.0</v>
      </c>
    </row>
    <row r="552">
      <c r="A552" s="36" t="s">
        <v>2055</v>
      </c>
      <c r="B552" s="37" t="s">
        <v>2055</v>
      </c>
      <c r="C552" s="13" t="s">
        <v>2056</v>
      </c>
      <c r="D552" s="5">
        <v>8601.0</v>
      </c>
      <c r="E552" s="5" t="s">
        <v>2118</v>
      </c>
      <c r="F552" s="38" t="s">
        <v>2119</v>
      </c>
      <c r="G552" s="4" t="s">
        <v>2120</v>
      </c>
      <c r="H552" s="4" t="s">
        <v>2121</v>
      </c>
      <c r="I552" s="5" t="s">
        <v>8</v>
      </c>
      <c r="J552" s="5" t="s">
        <v>2061</v>
      </c>
      <c r="K552" s="5" t="s">
        <v>25</v>
      </c>
      <c r="L552" s="11" t="s">
        <v>26</v>
      </c>
      <c r="M552" s="5" t="s">
        <v>27</v>
      </c>
      <c r="N552" s="5" t="s">
        <v>2055</v>
      </c>
      <c r="O552" s="12" t="str">
        <f t="shared" si="2"/>
        <v>https://monitoramento.pm.pr.gov.br/proxy_image_6/Interface/Cameras/GetJPEGStream?Camera=C.017&amp;AuthUser=siscop&amp;AuthPass=Siscop1234&amp;Width=1024&amp;Height=768&amp;Quality=70&amp;FPS=10&amp;ResponseFormat=Text</v>
      </c>
      <c r="P552" s="6">
        <v>1.0</v>
      </c>
    </row>
    <row r="553">
      <c r="A553" s="36" t="s">
        <v>2055</v>
      </c>
      <c r="B553" s="37" t="s">
        <v>2055</v>
      </c>
      <c r="C553" s="13" t="s">
        <v>2056</v>
      </c>
      <c r="D553" s="5">
        <v>8601.0</v>
      </c>
      <c r="E553" s="5" t="s">
        <v>2122</v>
      </c>
      <c r="F553" s="38" t="s">
        <v>2123</v>
      </c>
      <c r="G553" s="4" t="s">
        <v>2124</v>
      </c>
      <c r="H553" s="4" t="s">
        <v>2125</v>
      </c>
      <c r="I553" s="5" t="s">
        <v>8</v>
      </c>
      <c r="J553" s="5" t="s">
        <v>2061</v>
      </c>
      <c r="K553" s="5" t="s">
        <v>25</v>
      </c>
      <c r="L553" s="11" t="s">
        <v>26</v>
      </c>
      <c r="M553" s="5" t="s">
        <v>27</v>
      </c>
      <c r="N553" s="5" t="s">
        <v>2055</v>
      </c>
      <c r="O553" s="12" t="str">
        <f t="shared" si="2"/>
        <v>https://monitoramento.pm.pr.gov.br/proxy_image_6/Interface/Cameras/GetJPEGStream?Camera=C.018&amp;AuthUser=siscop&amp;AuthPass=Siscop1234&amp;Width=1024&amp;Height=768&amp;Quality=70&amp;FPS=10&amp;ResponseFormat=Text</v>
      </c>
      <c r="P553" s="6">
        <v>1.0</v>
      </c>
    </row>
    <row r="554">
      <c r="A554" s="36" t="s">
        <v>2055</v>
      </c>
      <c r="B554" s="37" t="s">
        <v>2055</v>
      </c>
      <c r="C554" s="13" t="s">
        <v>2056</v>
      </c>
      <c r="D554" s="5">
        <v>8601.0</v>
      </c>
      <c r="E554" s="5" t="s">
        <v>2126</v>
      </c>
      <c r="F554" s="38" t="s">
        <v>2123</v>
      </c>
      <c r="G554" s="4" t="s">
        <v>2127</v>
      </c>
      <c r="H554" s="4" t="s">
        <v>2121</v>
      </c>
      <c r="I554" s="5" t="s">
        <v>8</v>
      </c>
      <c r="J554" s="5" t="s">
        <v>2061</v>
      </c>
      <c r="K554" s="5" t="s">
        <v>25</v>
      </c>
      <c r="L554" s="11" t="s">
        <v>26</v>
      </c>
      <c r="M554" s="5" t="s">
        <v>27</v>
      </c>
      <c r="N554" s="5" t="s">
        <v>2055</v>
      </c>
      <c r="O554" s="12" t="str">
        <f t="shared" si="2"/>
        <v>https://monitoramento.pm.pr.gov.br/proxy_image_6/Interface/Cameras/GetJPEGStream?Camera=C.019&amp;AuthUser=siscop&amp;AuthPass=Siscop1234&amp;Width=1024&amp;Height=768&amp;Quality=70&amp;FPS=10&amp;ResponseFormat=Text</v>
      </c>
      <c r="P554" s="6">
        <v>1.0</v>
      </c>
    </row>
    <row r="555">
      <c r="A555" s="36" t="s">
        <v>2055</v>
      </c>
      <c r="B555" s="37" t="s">
        <v>2055</v>
      </c>
      <c r="C555" s="13" t="s">
        <v>2056</v>
      </c>
      <c r="D555" s="5">
        <v>8601.0</v>
      </c>
      <c r="E555" s="5" t="s">
        <v>2128</v>
      </c>
      <c r="F555" s="38" t="s">
        <v>2123</v>
      </c>
      <c r="G555" s="4" t="s">
        <v>2129</v>
      </c>
      <c r="H555" s="4" t="s">
        <v>2130</v>
      </c>
      <c r="I555" s="5" t="s">
        <v>8</v>
      </c>
      <c r="J555" s="5" t="s">
        <v>2061</v>
      </c>
      <c r="K555" s="5" t="s">
        <v>25</v>
      </c>
      <c r="L555" s="11" t="s">
        <v>26</v>
      </c>
      <c r="M555" s="5" t="s">
        <v>27</v>
      </c>
      <c r="N555" s="5" t="s">
        <v>2055</v>
      </c>
      <c r="O555" s="12" t="str">
        <f t="shared" si="2"/>
        <v>https://monitoramento.pm.pr.gov.br/proxy_image_6/Interface/Cameras/GetJPEGStream?Camera=C.020&amp;AuthUser=siscop&amp;AuthPass=Siscop1234&amp;Width=1024&amp;Height=768&amp;Quality=70&amp;FPS=10&amp;ResponseFormat=Text</v>
      </c>
      <c r="P555" s="6">
        <v>1.0</v>
      </c>
    </row>
    <row r="556">
      <c r="A556" s="36" t="s">
        <v>2055</v>
      </c>
      <c r="B556" s="37" t="s">
        <v>2055</v>
      </c>
      <c r="C556" s="13" t="s">
        <v>2056</v>
      </c>
      <c r="D556" s="5">
        <v>8601.0</v>
      </c>
      <c r="E556" s="5" t="s">
        <v>2131</v>
      </c>
      <c r="F556" s="38" t="s">
        <v>2132</v>
      </c>
      <c r="G556" s="4" t="s">
        <v>2133</v>
      </c>
      <c r="H556" s="4" t="s">
        <v>2134</v>
      </c>
      <c r="I556" s="5" t="s">
        <v>8</v>
      </c>
      <c r="J556" s="5" t="s">
        <v>2061</v>
      </c>
      <c r="K556" s="5" t="s">
        <v>25</v>
      </c>
      <c r="L556" s="11" t="s">
        <v>26</v>
      </c>
      <c r="M556" s="5" t="s">
        <v>27</v>
      </c>
      <c r="N556" s="5" t="s">
        <v>2055</v>
      </c>
      <c r="O556" s="12" t="str">
        <f t="shared" si="2"/>
        <v>https://monitoramento.pm.pr.gov.br/proxy_image_6/Interface/Cameras/GetJPEGStream?Camera=C.021&amp;AuthUser=siscop&amp;AuthPass=Siscop1234&amp;Width=1024&amp;Height=768&amp;Quality=70&amp;FPS=10&amp;ResponseFormat=Text</v>
      </c>
      <c r="P556" s="6">
        <v>1.0</v>
      </c>
    </row>
    <row r="557">
      <c r="A557" s="36" t="s">
        <v>2055</v>
      </c>
      <c r="B557" s="37" t="s">
        <v>2055</v>
      </c>
      <c r="C557" s="13" t="s">
        <v>2056</v>
      </c>
      <c r="D557" s="5">
        <v>8601.0</v>
      </c>
      <c r="E557" s="5" t="s">
        <v>2135</v>
      </c>
      <c r="F557" s="38" t="s">
        <v>2136</v>
      </c>
      <c r="G557" s="4" t="s">
        <v>2137</v>
      </c>
      <c r="H557" s="4" t="s">
        <v>2134</v>
      </c>
      <c r="I557" s="5" t="s">
        <v>8</v>
      </c>
      <c r="J557" s="5" t="s">
        <v>2061</v>
      </c>
      <c r="K557" s="5" t="s">
        <v>25</v>
      </c>
      <c r="L557" s="11" t="s">
        <v>26</v>
      </c>
      <c r="M557" s="5" t="s">
        <v>27</v>
      </c>
      <c r="N557" s="5" t="s">
        <v>2055</v>
      </c>
      <c r="O557" s="12" t="str">
        <f t="shared" si="2"/>
        <v>https://monitoramento.pm.pr.gov.br/proxy_image_6/Interface/Cameras/GetJPEGStream?Camera=C.022&amp;AuthUser=siscop&amp;AuthPass=Siscop1234&amp;Width=1024&amp;Height=768&amp;Quality=70&amp;FPS=10&amp;ResponseFormat=Text</v>
      </c>
      <c r="P557" s="6">
        <v>1.0</v>
      </c>
    </row>
    <row r="558">
      <c r="A558" s="36" t="s">
        <v>2055</v>
      </c>
      <c r="B558" s="37" t="s">
        <v>2055</v>
      </c>
      <c r="C558" s="13" t="s">
        <v>2056</v>
      </c>
      <c r="D558" s="5">
        <v>8601.0</v>
      </c>
      <c r="E558" s="5" t="s">
        <v>2138</v>
      </c>
      <c r="F558" s="38" t="s">
        <v>2136</v>
      </c>
      <c r="G558" s="4" t="s">
        <v>2137</v>
      </c>
      <c r="H558" s="4" t="s">
        <v>2134</v>
      </c>
      <c r="I558" s="5" t="s">
        <v>8</v>
      </c>
      <c r="J558" s="5" t="s">
        <v>2061</v>
      </c>
      <c r="K558" s="5" t="s">
        <v>25</v>
      </c>
      <c r="L558" s="11" t="s">
        <v>26</v>
      </c>
      <c r="M558" s="5" t="s">
        <v>27</v>
      </c>
      <c r="N558" s="5" t="s">
        <v>2055</v>
      </c>
      <c r="O558" s="12" t="str">
        <f t="shared" si="2"/>
        <v>https://monitoramento.pm.pr.gov.br/proxy_image_6/Interface/Cameras/GetJPEGStream?Camera=C.023&amp;AuthUser=siscop&amp;AuthPass=Siscop1234&amp;Width=1024&amp;Height=768&amp;Quality=70&amp;FPS=10&amp;ResponseFormat=Text</v>
      </c>
      <c r="P558" s="6">
        <v>1.0</v>
      </c>
    </row>
    <row r="559">
      <c r="A559" s="36" t="s">
        <v>2055</v>
      </c>
      <c r="B559" s="37" t="s">
        <v>2055</v>
      </c>
      <c r="C559" s="13" t="s">
        <v>2056</v>
      </c>
      <c r="D559" s="5">
        <v>8601.0</v>
      </c>
      <c r="E559" s="5" t="s">
        <v>2139</v>
      </c>
      <c r="F559" s="38" t="s">
        <v>2140</v>
      </c>
      <c r="G559" s="4" t="s">
        <v>2141</v>
      </c>
      <c r="H559" s="4" t="s">
        <v>2142</v>
      </c>
      <c r="I559" s="5" t="s">
        <v>8</v>
      </c>
      <c r="J559" s="5" t="s">
        <v>2061</v>
      </c>
      <c r="K559" s="5" t="s">
        <v>25</v>
      </c>
      <c r="L559" s="11" t="s">
        <v>26</v>
      </c>
      <c r="M559" s="5" t="s">
        <v>27</v>
      </c>
      <c r="N559" s="5" t="s">
        <v>2055</v>
      </c>
      <c r="O559" s="12" t="str">
        <f t="shared" si="2"/>
        <v>https://monitoramento.pm.pr.gov.br/proxy_image_6/Interface/Cameras/GetJPEGStream?Camera=C.024&amp;AuthUser=siscop&amp;AuthPass=Siscop1234&amp;Width=1024&amp;Height=768&amp;Quality=70&amp;FPS=10&amp;ResponseFormat=Text</v>
      </c>
      <c r="P559" s="6">
        <v>1.0</v>
      </c>
    </row>
    <row r="560">
      <c r="A560" s="36" t="s">
        <v>2055</v>
      </c>
      <c r="B560" s="37" t="s">
        <v>2055</v>
      </c>
      <c r="C560" s="13" t="s">
        <v>2056</v>
      </c>
      <c r="D560" s="5">
        <v>8601.0</v>
      </c>
      <c r="E560" s="5" t="s">
        <v>2143</v>
      </c>
      <c r="F560" s="38" t="s">
        <v>2144</v>
      </c>
      <c r="G560" s="4" t="s">
        <v>2145</v>
      </c>
      <c r="H560" s="4" t="s">
        <v>2146</v>
      </c>
      <c r="I560" s="5" t="s">
        <v>8</v>
      </c>
      <c r="J560" s="5" t="s">
        <v>2061</v>
      </c>
      <c r="K560" s="5" t="s">
        <v>25</v>
      </c>
      <c r="L560" s="11" t="s">
        <v>26</v>
      </c>
      <c r="M560" s="5" t="s">
        <v>27</v>
      </c>
      <c r="N560" s="5" t="s">
        <v>2055</v>
      </c>
      <c r="O560" s="12" t="str">
        <f t="shared" si="2"/>
        <v>https://monitoramento.pm.pr.gov.br/proxy_image_6/Interface/Cameras/GetJPEGStream?Camera=C.025&amp;AuthUser=siscop&amp;AuthPass=Siscop1234&amp;Width=1024&amp;Height=768&amp;Quality=70&amp;FPS=10&amp;ResponseFormat=Text</v>
      </c>
      <c r="P560" s="6">
        <v>1.0</v>
      </c>
    </row>
    <row r="561">
      <c r="A561" s="36" t="s">
        <v>2055</v>
      </c>
      <c r="B561" s="37" t="s">
        <v>2055</v>
      </c>
      <c r="C561" s="13" t="s">
        <v>2056</v>
      </c>
      <c r="D561" s="5">
        <v>8601.0</v>
      </c>
      <c r="E561" s="5" t="s">
        <v>2147</v>
      </c>
      <c r="F561" s="38" t="s">
        <v>2144</v>
      </c>
      <c r="G561" s="4" t="s">
        <v>2145</v>
      </c>
      <c r="H561" s="4" t="s">
        <v>2148</v>
      </c>
      <c r="I561" s="5" t="s">
        <v>8</v>
      </c>
      <c r="J561" s="5" t="s">
        <v>2061</v>
      </c>
      <c r="K561" s="5" t="s">
        <v>25</v>
      </c>
      <c r="L561" s="11" t="s">
        <v>26</v>
      </c>
      <c r="M561" s="5" t="s">
        <v>27</v>
      </c>
      <c r="N561" s="5" t="s">
        <v>2055</v>
      </c>
      <c r="O561" s="12" t="str">
        <f t="shared" si="2"/>
        <v>https://monitoramento.pm.pr.gov.br/proxy_image_6/Interface/Cameras/GetJPEGStream?Camera=C.026&amp;AuthUser=siscop&amp;AuthPass=Siscop1234&amp;Width=1024&amp;Height=768&amp;Quality=70&amp;FPS=10&amp;ResponseFormat=Text</v>
      </c>
      <c r="P561" s="6">
        <v>1.0</v>
      </c>
    </row>
    <row r="562">
      <c r="A562" s="36" t="s">
        <v>2055</v>
      </c>
      <c r="B562" s="37" t="s">
        <v>2055</v>
      </c>
      <c r="C562" s="13" t="s">
        <v>2056</v>
      </c>
      <c r="D562" s="5">
        <v>8601.0</v>
      </c>
      <c r="E562" s="5" t="s">
        <v>2149</v>
      </c>
      <c r="F562" s="38" t="s">
        <v>2150</v>
      </c>
      <c r="G562" s="4" t="s">
        <v>2151</v>
      </c>
      <c r="H562" s="4" t="s">
        <v>2152</v>
      </c>
      <c r="I562" s="5" t="s">
        <v>8</v>
      </c>
      <c r="J562" s="5" t="s">
        <v>2061</v>
      </c>
      <c r="K562" s="5" t="s">
        <v>25</v>
      </c>
      <c r="L562" s="11" t="s">
        <v>26</v>
      </c>
      <c r="M562" s="5" t="s">
        <v>27</v>
      </c>
      <c r="N562" s="5" t="s">
        <v>2055</v>
      </c>
      <c r="O562" s="12" t="str">
        <f t="shared" si="2"/>
        <v>https://monitoramento.pm.pr.gov.br/proxy_image_6/Interface/Cameras/GetJPEGStream?Camera=C.027&amp;AuthUser=siscop&amp;AuthPass=Siscop1234&amp;Width=1024&amp;Height=768&amp;Quality=70&amp;FPS=10&amp;ResponseFormat=Text</v>
      </c>
      <c r="P562" s="6">
        <v>1.0</v>
      </c>
    </row>
    <row r="563">
      <c r="A563" s="36" t="s">
        <v>2055</v>
      </c>
      <c r="B563" s="37" t="s">
        <v>2055</v>
      </c>
      <c r="C563" s="13" t="s">
        <v>2056</v>
      </c>
      <c r="D563" s="5">
        <v>8601.0</v>
      </c>
      <c r="E563" s="5" t="s">
        <v>2153</v>
      </c>
      <c r="F563" s="38" t="s">
        <v>2154</v>
      </c>
      <c r="G563" s="4" t="s">
        <v>2155</v>
      </c>
      <c r="H563" s="4" t="s">
        <v>2156</v>
      </c>
      <c r="I563" s="5" t="s">
        <v>8</v>
      </c>
      <c r="J563" s="5" t="s">
        <v>2061</v>
      </c>
      <c r="K563" s="5" t="s">
        <v>25</v>
      </c>
      <c r="L563" s="11" t="s">
        <v>26</v>
      </c>
      <c r="M563" s="5" t="s">
        <v>27</v>
      </c>
      <c r="N563" s="5" t="s">
        <v>2055</v>
      </c>
      <c r="O563" s="12" t="str">
        <f t="shared" si="2"/>
        <v>https://monitoramento.pm.pr.gov.br/proxy_image_6/Interface/Cameras/GetJPEGStream?Camera=C.028&amp;AuthUser=siscop&amp;AuthPass=Siscop1234&amp;Width=1024&amp;Height=768&amp;Quality=70&amp;FPS=10&amp;ResponseFormat=Text</v>
      </c>
      <c r="P563" s="6">
        <v>1.0</v>
      </c>
    </row>
    <row r="564">
      <c r="A564" s="36" t="s">
        <v>2055</v>
      </c>
      <c r="B564" s="37" t="s">
        <v>2055</v>
      </c>
      <c r="C564" s="13" t="s">
        <v>2056</v>
      </c>
      <c r="D564" s="5">
        <v>8601.0</v>
      </c>
      <c r="E564" s="5" t="s">
        <v>2157</v>
      </c>
      <c r="F564" s="38" t="s">
        <v>2154</v>
      </c>
      <c r="G564" s="4" t="s">
        <v>2158</v>
      </c>
      <c r="H564" s="4" t="s">
        <v>2156</v>
      </c>
      <c r="I564" s="5" t="s">
        <v>8</v>
      </c>
      <c r="J564" s="5" t="s">
        <v>2061</v>
      </c>
      <c r="K564" s="5" t="s">
        <v>25</v>
      </c>
      <c r="L564" s="11" t="s">
        <v>26</v>
      </c>
      <c r="M564" s="5" t="s">
        <v>27</v>
      </c>
      <c r="N564" s="5" t="s">
        <v>2055</v>
      </c>
      <c r="O564" s="12" t="str">
        <f t="shared" si="2"/>
        <v>https://monitoramento.pm.pr.gov.br/proxy_image_6/Interface/Cameras/GetJPEGStream?Camera=C.029&amp;AuthUser=siscop&amp;AuthPass=Siscop1234&amp;Width=1024&amp;Height=768&amp;Quality=70&amp;FPS=10&amp;ResponseFormat=Text</v>
      </c>
      <c r="P564" s="6">
        <v>1.0</v>
      </c>
    </row>
    <row r="565">
      <c r="A565" s="36" t="s">
        <v>2055</v>
      </c>
      <c r="B565" s="37" t="s">
        <v>2055</v>
      </c>
      <c r="C565" s="13" t="s">
        <v>2056</v>
      </c>
      <c r="D565" s="5">
        <v>8601.0</v>
      </c>
      <c r="E565" s="5" t="s">
        <v>2159</v>
      </c>
      <c r="F565" s="38" t="s">
        <v>2160</v>
      </c>
      <c r="G565" s="4" t="s">
        <v>2161</v>
      </c>
      <c r="H565" s="4" t="s">
        <v>2162</v>
      </c>
      <c r="I565" s="5" t="s">
        <v>8</v>
      </c>
      <c r="J565" s="5" t="s">
        <v>2061</v>
      </c>
      <c r="K565" s="5" t="s">
        <v>25</v>
      </c>
      <c r="L565" s="11" t="s">
        <v>26</v>
      </c>
      <c r="M565" s="5" t="s">
        <v>27</v>
      </c>
      <c r="N565" s="5" t="s">
        <v>2055</v>
      </c>
      <c r="O565" s="12" t="str">
        <f t="shared" si="2"/>
        <v>https://monitoramento.pm.pr.gov.br/proxy_image_6/Interface/Cameras/GetJPEGStream?Camera=C.030&amp;AuthUser=siscop&amp;AuthPass=Siscop1234&amp;Width=1024&amp;Height=768&amp;Quality=70&amp;FPS=10&amp;ResponseFormat=Text</v>
      </c>
      <c r="P565" s="6">
        <v>1.0</v>
      </c>
    </row>
    <row r="566">
      <c r="A566" s="36" t="s">
        <v>2055</v>
      </c>
      <c r="B566" s="37" t="s">
        <v>2055</v>
      </c>
      <c r="C566" s="13" t="s">
        <v>2056</v>
      </c>
      <c r="D566" s="5">
        <v>8601.0</v>
      </c>
      <c r="E566" s="5" t="s">
        <v>2163</v>
      </c>
      <c r="F566" s="38" t="s">
        <v>2164</v>
      </c>
      <c r="G566" s="4" t="s">
        <v>2165</v>
      </c>
      <c r="H566" s="4" t="s">
        <v>2166</v>
      </c>
      <c r="I566" s="5" t="s">
        <v>8</v>
      </c>
      <c r="J566" s="5" t="s">
        <v>2061</v>
      </c>
      <c r="K566" s="5" t="s">
        <v>25</v>
      </c>
      <c r="L566" s="11" t="s">
        <v>26</v>
      </c>
      <c r="M566" s="5" t="s">
        <v>27</v>
      </c>
      <c r="N566" s="5" t="s">
        <v>2055</v>
      </c>
      <c r="O566" s="12" t="str">
        <f t="shared" si="2"/>
        <v>https://monitoramento.pm.pr.gov.br/proxy_image_6/Interface/Cameras/GetJPEGStream?Camera=C.031&amp;AuthUser=siscop&amp;AuthPass=Siscop1234&amp;Width=1024&amp;Height=768&amp;Quality=70&amp;FPS=10&amp;ResponseFormat=Text</v>
      </c>
      <c r="P566" s="6">
        <v>1.0</v>
      </c>
    </row>
    <row r="567">
      <c r="A567" s="36" t="s">
        <v>2055</v>
      </c>
      <c r="B567" s="37" t="s">
        <v>2055</v>
      </c>
      <c r="C567" s="13" t="s">
        <v>2056</v>
      </c>
      <c r="D567" s="5">
        <v>8601.0</v>
      </c>
      <c r="E567" s="5" t="s">
        <v>2167</v>
      </c>
      <c r="F567" s="38" t="s">
        <v>2168</v>
      </c>
      <c r="G567" s="4" t="s">
        <v>2169</v>
      </c>
      <c r="H567" s="4" t="s">
        <v>2170</v>
      </c>
      <c r="I567" s="5" t="s">
        <v>8</v>
      </c>
      <c r="J567" s="5" t="s">
        <v>2061</v>
      </c>
      <c r="K567" s="5" t="s">
        <v>25</v>
      </c>
      <c r="L567" s="11" t="s">
        <v>26</v>
      </c>
      <c r="M567" s="5" t="s">
        <v>27</v>
      </c>
      <c r="N567" s="5" t="s">
        <v>2055</v>
      </c>
      <c r="O567" s="12" t="str">
        <f t="shared" si="2"/>
        <v>https://monitoramento.pm.pr.gov.br/proxy_image_6/Interface/Cameras/GetJPEGStream?Camera=C.032&amp;AuthUser=siscop&amp;AuthPass=Siscop1234&amp;Width=1024&amp;Height=768&amp;Quality=70&amp;FPS=10&amp;ResponseFormat=Text</v>
      </c>
      <c r="P567" s="6">
        <v>1.0</v>
      </c>
    </row>
    <row r="568">
      <c r="A568" s="36" t="s">
        <v>2055</v>
      </c>
      <c r="B568" s="37" t="s">
        <v>2055</v>
      </c>
      <c r="C568" s="13" t="s">
        <v>2056</v>
      </c>
      <c r="D568" s="5">
        <v>8601.0</v>
      </c>
      <c r="E568" s="5" t="s">
        <v>2171</v>
      </c>
      <c r="F568" s="38" t="s">
        <v>2168</v>
      </c>
      <c r="G568" s="4" t="s">
        <v>2165</v>
      </c>
      <c r="H568" s="4" t="s">
        <v>2172</v>
      </c>
      <c r="I568" s="5" t="s">
        <v>8</v>
      </c>
      <c r="J568" s="5" t="s">
        <v>2061</v>
      </c>
      <c r="K568" s="5" t="s">
        <v>25</v>
      </c>
      <c r="L568" s="11" t="s">
        <v>26</v>
      </c>
      <c r="M568" s="5" t="s">
        <v>27</v>
      </c>
      <c r="N568" s="5" t="s">
        <v>2055</v>
      </c>
      <c r="O568" s="12" t="str">
        <f t="shared" si="2"/>
        <v>https://monitoramento.pm.pr.gov.br/proxy_image_6/Interface/Cameras/GetJPEGStream?Camera=C.033&amp;AuthUser=siscop&amp;AuthPass=Siscop1234&amp;Width=1024&amp;Height=768&amp;Quality=70&amp;FPS=10&amp;ResponseFormat=Text</v>
      </c>
      <c r="P568" s="6">
        <v>1.0</v>
      </c>
    </row>
    <row r="569">
      <c r="A569" s="36" t="s">
        <v>2055</v>
      </c>
      <c r="B569" s="37" t="s">
        <v>2055</v>
      </c>
      <c r="C569" s="13" t="s">
        <v>2056</v>
      </c>
      <c r="D569" s="5">
        <v>8601.0</v>
      </c>
      <c r="E569" s="5" t="s">
        <v>2173</v>
      </c>
      <c r="F569" s="38" t="s">
        <v>2174</v>
      </c>
      <c r="G569" s="4" t="s">
        <v>2175</v>
      </c>
      <c r="H569" s="4" t="s">
        <v>2176</v>
      </c>
      <c r="I569" s="5" t="s">
        <v>8</v>
      </c>
      <c r="J569" s="5" t="s">
        <v>2061</v>
      </c>
      <c r="K569" s="5" t="s">
        <v>25</v>
      </c>
      <c r="L569" s="11" t="s">
        <v>26</v>
      </c>
      <c r="M569" s="5" t="s">
        <v>27</v>
      </c>
      <c r="N569" s="5" t="s">
        <v>2055</v>
      </c>
      <c r="O569" s="12" t="str">
        <f t="shared" si="2"/>
        <v>https://monitoramento.pm.pr.gov.br/proxy_image_6/Interface/Cameras/GetJPEGStream?Camera=C.034&amp;AuthUser=siscop&amp;AuthPass=Siscop1234&amp;Width=1024&amp;Height=768&amp;Quality=70&amp;FPS=10&amp;ResponseFormat=Text</v>
      </c>
      <c r="P569" s="6">
        <v>1.0</v>
      </c>
    </row>
    <row r="570">
      <c r="A570" s="36" t="s">
        <v>2055</v>
      </c>
      <c r="B570" s="37" t="s">
        <v>2055</v>
      </c>
      <c r="C570" s="13" t="s">
        <v>2056</v>
      </c>
      <c r="D570" s="5">
        <v>8601.0</v>
      </c>
      <c r="E570" s="5" t="s">
        <v>2177</v>
      </c>
      <c r="F570" s="38" t="s">
        <v>2178</v>
      </c>
      <c r="G570" s="4" t="s">
        <v>2179</v>
      </c>
      <c r="H570" s="4" t="s">
        <v>2176</v>
      </c>
      <c r="I570" s="5" t="s">
        <v>8</v>
      </c>
      <c r="J570" s="5" t="s">
        <v>2061</v>
      </c>
      <c r="K570" s="5" t="s">
        <v>25</v>
      </c>
      <c r="L570" s="11" t="s">
        <v>26</v>
      </c>
      <c r="M570" s="5" t="s">
        <v>27</v>
      </c>
      <c r="N570" s="5" t="s">
        <v>2055</v>
      </c>
      <c r="O570" s="12" t="str">
        <f t="shared" si="2"/>
        <v>https://monitoramento.pm.pr.gov.br/proxy_image_6/Interface/Cameras/GetJPEGStream?Camera=C.035&amp;AuthUser=siscop&amp;AuthPass=Siscop1234&amp;Width=1024&amp;Height=768&amp;Quality=70&amp;FPS=10&amp;ResponseFormat=Text</v>
      </c>
      <c r="P570" s="6">
        <v>1.0</v>
      </c>
    </row>
    <row r="571">
      <c r="A571" s="36" t="s">
        <v>2055</v>
      </c>
      <c r="B571" s="37" t="s">
        <v>2055</v>
      </c>
      <c r="C571" s="13" t="s">
        <v>2056</v>
      </c>
      <c r="D571" s="5">
        <v>8601.0</v>
      </c>
      <c r="E571" s="5" t="s">
        <v>2180</v>
      </c>
      <c r="F571" s="38" t="s">
        <v>2178</v>
      </c>
      <c r="G571" s="4" t="s">
        <v>2181</v>
      </c>
      <c r="H571" s="4" t="s">
        <v>2182</v>
      </c>
      <c r="I571" s="5" t="s">
        <v>8</v>
      </c>
      <c r="J571" s="5" t="s">
        <v>2061</v>
      </c>
      <c r="K571" s="5" t="s">
        <v>25</v>
      </c>
      <c r="L571" s="11" t="s">
        <v>26</v>
      </c>
      <c r="M571" s="5" t="s">
        <v>27</v>
      </c>
      <c r="N571" s="5" t="s">
        <v>2055</v>
      </c>
      <c r="O571" s="12" t="str">
        <f t="shared" si="2"/>
        <v>https://monitoramento.pm.pr.gov.br/proxy_image_6/Interface/Cameras/GetJPEGStream?Camera=C.036&amp;AuthUser=siscop&amp;AuthPass=Siscop1234&amp;Width=1024&amp;Height=768&amp;Quality=70&amp;FPS=10&amp;ResponseFormat=Text</v>
      </c>
      <c r="P571" s="6">
        <v>1.0</v>
      </c>
    </row>
    <row r="572">
      <c r="A572" s="36" t="s">
        <v>2055</v>
      </c>
      <c r="B572" s="37" t="s">
        <v>2055</v>
      </c>
      <c r="C572" s="13" t="s">
        <v>2056</v>
      </c>
      <c r="D572" s="5">
        <v>8601.0</v>
      </c>
      <c r="E572" s="5" t="s">
        <v>2183</v>
      </c>
      <c r="F572" s="38" t="s">
        <v>2184</v>
      </c>
      <c r="G572" s="4" t="s">
        <v>2185</v>
      </c>
      <c r="H572" s="4" t="s">
        <v>2186</v>
      </c>
      <c r="I572" s="5" t="s">
        <v>8</v>
      </c>
      <c r="J572" s="5" t="s">
        <v>2061</v>
      </c>
      <c r="K572" s="5" t="s">
        <v>25</v>
      </c>
      <c r="L572" s="11" t="s">
        <v>26</v>
      </c>
      <c r="M572" s="5" t="s">
        <v>27</v>
      </c>
      <c r="N572" s="5" t="s">
        <v>2055</v>
      </c>
      <c r="O572" s="12" t="str">
        <f t="shared" si="2"/>
        <v>https://monitoramento.pm.pr.gov.br/proxy_image_6/Interface/Cameras/GetJPEGStream?Camera=C.037&amp;AuthUser=siscop&amp;AuthPass=Siscop1234&amp;Width=1024&amp;Height=768&amp;Quality=70&amp;FPS=10&amp;ResponseFormat=Text</v>
      </c>
      <c r="P572" s="6">
        <v>1.0</v>
      </c>
    </row>
    <row r="573">
      <c r="A573" s="36" t="s">
        <v>2055</v>
      </c>
      <c r="B573" s="37" t="s">
        <v>2055</v>
      </c>
      <c r="C573" s="13" t="s">
        <v>2056</v>
      </c>
      <c r="D573" s="5">
        <v>8601.0</v>
      </c>
      <c r="E573" s="5" t="s">
        <v>2187</v>
      </c>
      <c r="F573" s="38" t="s">
        <v>2188</v>
      </c>
      <c r="G573" s="4" t="s">
        <v>2189</v>
      </c>
      <c r="H573" s="4" t="s">
        <v>2190</v>
      </c>
      <c r="I573" s="5" t="s">
        <v>8</v>
      </c>
      <c r="J573" s="5" t="s">
        <v>2061</v>
      </c>
      <c r="K573" s="5" t="s">
        <v>25</v>
      </c>
      <c r="L573" s="11" t="s">
        <v>26</v>
      </c>
      <c r="M573" s="5" t="s">
        <v>27</v>
      </c>
      <c r="N573" s="5" t="s">
        <v>2055</v>
      </c>
      <c r="O573" s="12" t="str">
        <f t="shared" si="2"/>
        <v>https://monitoramento.pm.pr.gov.br/proxy_image_6/Interface/Cameras/GetJPEGStream?Camera=C.038&amp;AuthUser=siscop&amp;AuthPass=Siscop1234&amp;Width=1024&amp;Height=768&amp;Quality=70&amp;FPS=10&amp;ResponseFormat=Text</v>
      </c>
      <c r="P573" s="6">
        <v>1.0</v>
      </c>
    </row>
    <row r="574">
      <c r="A574" s="36" t="s">
        <v>2055</v>
      </c>
      <c r="B574" s="37" t="s">
        <v>2055</v>
      </c>
      <c r="C574" s="13" t="s">
        <v>2056</v>
      </c>
      <c r="D574" s="5">
        <v>8601.0</v>
      </c>
      <c r="E574" s="5" t="s">
        <v>2191</v>
      </c>
      <c r="F574" s="38" t="s">
        <v>2188</v>
      </c>
      <c r="G574" s="4" t="s">
        <v>2192</v>
      </c>
      <c r="H574" s="4" t="s">
        <v>2193</v>
      </c>
      <c r="I574" s="5" t="s">
        <v>8</v>
      </c>
      <c r="J574" s="5" t="s">
        <v>2061</v>
      </c>
      <c r="K574" s="5" t="s">
        <v>25</v>
      </c>
      <c r="L574" s="11" t="s">
        <v>26</v>
      </c>
      <c r="M574" s="5" t="s">
        <v>27</v>
      </c>
      <c r="N574" s="5" t="s">
        <v>2055</v>
      </c>
      <c r="O574" s="12" t="str">
        <f t="shared" si="2"/>
        <v>https://monitoramento.pm.pr.gov.br/proxy_image_6/Interface/Cameras/GetJPEGStream?Camera=C.039&amp;AuthUser=siscop&amp;AuthPass=Siscop1234&amp;Width=1024&amp;Height=768&amp;Quality=70&amp;FPS=10&amp;ResponseFormat=Text</v>
      </c>
      <c r="P574" s="6">
        <v>1.0</v>
      </c>
    </row>
    <row r="575">
      <c r="A575" s="36" t="s">
        <v>2055</v>
      </c>
      <c r="B575" s="37" t="s">
        <v>2055</v>
      </c>
      <c r="C575" s="13" t="s">
        <v>2056</v>
      </c>
      <c r="D575" s="5">
        <v>8601.0</v>
      </c>
      <c r="E575" s="5" t="s">
        <v>2194</v>
      </c>
      <c r="F575" s="38" t="s">
        <v>2188</v>
      </c>
      <c r="G575" s="4" t="s">
        <v>2195</v>
      </c>
      <c r="H575" s="4" t="s">
        <v>2190</v>
      </c>
      <c r="I575" s="5" t="s">
        <v>8</v>
      </c>
      <c r="J575" s="5" t="s">
        <v>2061</v>
      </c>
      <c r="K575" s="5" t="s">
        <v>25</v>
      </c>
      <c r="L575" s="11" t="s">
        <v>26</v>
      </c>
      <c r="M575" s="5" t="s">
        <v>27</v>
      </c>
      <c r="N575" s="5" t="s">
        <v>2055</v>
      </c>
      <c r="O575" s="12" t="str">
        <f t="shared" si="2"/>
        <v>https://monitoramento.pm.pr.gov.br/proxy_image_6/Interface/Cameras/GetJPEGStream?Camera=C.040&amp;AuthUser=siscop&amp;AuthPass=Siscop1234&amp;Width=1024&amp;Height=768&amp;Quality=70&amp;FPS=10&amp;ResponseFormat=Text</v>
      </c>
      <c r="P575" s="6">
        <v>1.0</v>
      </c>
    </row>
    <row r="576">
      <c r="A576" s="36" t="s">
        <v>2055</v>
      </c>
      <c r="B576" s="37" t="s">
        <v>2055</v>
      </c>
      <c r="C576" s="13" t="s">
        <v>2056</v>
      </c>
      <c r="D576" s="5">
        <v>8601.0</v>
      </c>
      <c r="E576" s="5" t="s">
        <v>2196</v>
      </c>
      <c r="F576" s="38" t="s">
        <v>2197</v>
      </c>
      <c r="G576" s="4" t="s">
        <v>2198</v>
      </c>
      <c r="H576" s="4" t="s">
        <v>2199</v>
      </c>
      <c r="I576" s="5" t="s">
        <v>8</v>
      </c>
      <c r="J576" s="5" t="s">
        <v>2061</v>
      </c>
      <c r="K576" s="5" t="s">
        <v>25</v>
      </c>
      <c r="L576" s="11" t="s">
        <v>26</v>
      </c>
      <c r="M576" s="5" t="s">
        <v>27</v>
      </c>
      <c r="N576" s="5" t="s">
        <v>2055</v>
      </c>
      <c r="O576" s="12" t="str">
        <f t="shared" si="2"/>
        <v>https://monitoramento.pm.pr.gov.br/proxy_image_6/Interface/Cameras/GetJPEGStream?Camera=C.041&amp;AuthUser=siscop&amp;AuthPass=Siscop1234&amp;Width=1024&amp;Height=768&amp;Quality=70&amp;FPS=10&amp;ResponseFormat=Text</v>
      </c>
      <c r="P576" s="6">
        <v>1.0</v>
      </c>
    </row>
    <row r="577">
      <c r="A577" s="36" t="s">
        <v>2055</v>
      </c>
      <c r="B577" s="37" t="s">
        <v>2055</v>
      </c>
      <c r="C577" s="13" t="s">
        <v>2056</v>
      </c>
      <c r="D577" s="5">
        <v>8601.0</v>
      </c>
      <c r="E577" s="5" t="s">
        <v>2200</v>
      </c>
      <c r="F577" s="38" t="s">
        <v>2201</v>
      </c>
      <c r="G577" s="4" t="s">
        <v>2202</v>
      </c>
      <c r="H577" s="4" t="s">
        <v>2203</v>
      </c>
      <c r="I577" s="5" t="s">
        <v>8</v>
      </c>
      <c r="J577" s="5" t="s">
        <v>2061</v>
      </c>
      <c r="K577" s="5" t="s">
        <v>25</v>
      </c>
      <c r="L577" s="11" t="s">
        <v>26</v>
      </c>
      <c r="M577" s="5" t="s">
        <v>27</v>
      </c>
      <c r="N577" s="5" t="s">
        <v>2055</v>
      </c>
      <c r="O577" s="12" t="str">
        <f t="shared" si="2"/>
        <v>https://monitoramento.pm.pr.gov.br/proxy_image_6/Interface/Cameras/GetJPEGStream?Camera=C.042&amp;AuthUser=siscop&amp;AuthPass=Siscop1234&amp;Width=1024&amp;Height=768&amp;Quality=70&amp;FPS=10&amp;ResponseFormat=Text</v>
      </c>
      <c r="P577" s="6">
        <v>1.0</v>
      </c>
    </row>
    <row r="578">
      <c r="A578" s="36" t="s">
        <v>2055</v>
      </c>
      <c r="B578" s="37" t="s">
        <v>2055</v>
      </c>
      <c r="C578" s="13" t="s">
        <v>2056</v>
      </c>
      <c r="D578" s="5">
        <v>8601.0</v>
      </c>
      <c r="E578" s="5" t="s">
        <v>2204</v>
      </c>
      <c r="F578" s="38" t="s">
        <v>2205</v>
      </c>
      <c r="G578" s="4" t="s">
        <v>2206</v>
      </c>
      <c r="H578" s="4" t="s">
        <v>2207</v>
      </c>
      <c r="I578" s="5" t="s">
        <v>8</v>
      </c>
      <c r="J578" s="5" t="s">
        <v>2061</v>
      </c>
      <c r="K578" s="5" t="s">
        <v>25</v>
      </c>
      <c r="L578" s="11" t="s">
        <v>26</v>
      </c>
      <c r="M578" s="5" t="s">
        <v>27</v>
      </c>
      <c r="N578" s="5" t="s">
        <v>2055</v>
      </c>
      <c r="O578" s="12" t="str">
        <f t="shared" si="2"/>
        <v>https://monitoramento.pm.pr.gov.br/proxy_image_6/Interface/Cameras/GetJPEGStream?Camera=C.043&amp;AuthUser=siscop&amp;AuthPass=Siscop1234&amp;Width=1024&amp;Height=768&amp;Quality=70&amp;FPS=10&amp;ResponseFormat=Text</v>
      </c>
      <c r="P578" s="6">
        <v>1.0</v>
      </c>
    </row>
    <row r="579">
      <c r="A579" s="36" t="s">
        <v>2055</v>
      </c>
      <c r="B579" s="37" t="s">
        <v>2055</v>
      </c>
      <c r="C579" s="13" t="s">
        <v>2056</v>
      </c>
      <c r="D579" s="5">
        <v>8601.0</v>
      </c>
      <c r="E579" s="5" t="s">
        <v>2208</v>
      </c>
      <c r="F579" s="38" t="s">
        <v>2209</v>
      </c>
      <c r="G579" s="4" t="s">
        <v>2210</v>
      </c>
      <c r="H579" s="4" t="s">
        <v>2211</v>
      </c>
      <c r="I579" s="5" t="s">
        <v>8</v>
      </c>
      <c r="J579" s="5" t="s">
        <v>2061</v>
      </c>
      <c r="K579" s="5" t="s">
        <v>25</v>
      </c>
      <c r="L579" s="11" t="s">
        <v>26</v>
      </c>
      <c r="M579" s="5" t="s">
        <v>27</v>
      </c>
      <c r="N579" s="5" t="s">
        <v>2055</v>
      </c>
      <c r="O579" s="12" t="str">
        <f t="shared" si="2"/>
        <v>https://monitoramento.pm.pr.gov.br/proxy_image_6/Interface/Cameras/GetJPEGStream?Camera=C.044&amp;AuthUser=siscop&amp;AuthPass=Siscop1234&amp;Width=1024&amp;Height=768&amp;Quality=70&amp;FPS=10&amp;ResponseFormat=Text</v>
      </c>
      <c r="P579" s="6">
        <v>1.0</v>
      </c>
    </row>
    <row r="580">
      <c r="A580" s="36" t="s">
        <v>2055</v>
      </c>
      <c r="B580" s="37" t="s">
        <v>2055</v>
      </c>
      <c r="C580" s="13" t="s">
        <v>2056</v>
      </c>
      <c r="D580" s="5">
        <v>8601.0</v>
      </c>
      <c r="E580" s="5" t="s">
        <v>2212</v>
      </c>
      <c r="F580" s="38" t="s">
        <v>2213</v>
      </c>
      <c r="G580" s="4" t="s">
        <v>2214</v>
      </c>
      <c r="H580" s="4" t="s">
        <v>2215</v>
      </c>
      <c r="I580" s="5" t="s">
        <v>8</v>
      </c>
      <c r="J580" s="5" t="s">
        <v>2061</v>
      </c>
      <c r="K580" s="5" t="s">
        <v>25</v>
      </c>
      <c r="L580" s="11" t="s">
        <v>26</v>
      </c>
      <c r="M580" s="5" t="s">
        <v>27</v>
      </c>
      <c r="N580" s="5" t="s">
        <v>2055</v>
      </c>
      <c r="O580" s="12" t="str">
        <f t="shared" si="2"/>
        <v>https://monitoramento.pm.pr.gov.br/proxy_image_6/Interface/Cameras/GetJPEGStream?Camera=C.045&amp;AuthUser=siscop&amp;AuthPass=Siscop1234&amp;Width=1024&amp;Height=768&amp;Quality=70&amp;FPS=10&amp;ResponseFormat=Text</v>
      </c>
      <c r="P580" s="6">
        <v>1.0</v>
      </c>
    </row>
    <row r="581">
      <c r="A581" s="36" t="s">
        <v>2055</v>
      </c>
      <c r="B581" s="37" t="s">
        <v>2055</v>
      </c>
      <c r="C581" s="13" t="s">
        <v>2056</v>
      </c>
      <c r="D581" s="5">
        <v>8601.0</v>
      </c>
      <c r="E581" s="5" t="s">
        <v>2216</v>
      </c>
      <c r="F581" s="38" t="s">
        <v>2217</v>
      </c>
      <c r="G581" s="4" t="s">
        <v>2218</v>
      </c>
      <c r="H581" s="4" t="s">
        <v>2219</v>
      </c>
      <c r="I581" s="5" t="s">
        <v>8</v>
      </c>
      <c r="J581" s="5" t="s">
        <v>2061</v>
      </c>
      <c r="K581" s="5" t="s">
        <v>25</v>
      </c>
      <c r="L581" s="11" t="s">
        <v>26</v>
      </c>
      <c r="M581" s="5" t="s">
        <v>27</v>
      </c>
      <c r="N581" s="5" t="s">
        <v>2055</v>
      </c>
      <c r="O581" s="12" t="str">
        <f t="shared" si="2"/>
        <v>https://monitoramento.pm.pr.gov.br/proxy_image_6/Interface/Cameras/GetJPEGStream?Camera=C.046&amp;AuthUser=siscop&amp;AuthPass=Siscop1234&amp;Width=1024&amp;Height=768&amp;Quality=70&amp;FPS=10&amp;ResponseFormat=Text</v>
      </c>
      <c r="P581" s="6">
        <v>1.0</v>
      </c>
    </row>
    <row r="582">
      <c r="A582" s="36" t="s">
        <v>2055</v>
      </c>
      <c r="B582" s="37" t="s">
        <v>2055</v>
      </c>
      <c r="C582" s="13" t="s">
        <v>2056</v>
      </c>
      <c r="D582" s="5">
        <v>8601.0</v>
      </c>
      <c r="E582" s="5" t="s">
        <v>2220</v>
      </c>
      <c r="F582" s="38" t="s">
        <v>2221</v>
      </c>
      <c r="G582" s="4" t="s">
        <v>2222</v>
      </c>
      <c r="H582" s="4" t="s">
        <v>2223</v>
      </c>
      <c r="I582" s="5" t="s">
        <v>8</v>
      </c>
      <c r="J582" s="5" t="s">
        <v>2061</v>
      </c>
      <c r="K582" s="5" t="s">
        <v>25</v>
      </c>
      <c r="L582" s="11" t="s">
        <v>26</v>
      </c>
      <c r="M582" s="5" t="s">
        <v>27</v>
      </c>
      <c r="N582" s="5" t="s">
        <v>2055</v>
      </c>
      <c r="O582" s="12" t="str">
        <f t="shared" si="2"/>
        <v>https://monitoramento.pm.pr.gov.br/proxy_image_6/Interface/Cameras/GetJPEGStream?Camera=C.047&amp;AuthUser=siscop&amp;AuthPass=Siscop1234&amp;Width=1024&amp;Height=768&amp;Quality=70&amp;FPS=10&amp;ResponseFormat=Text</v>
      </c>
      <c r="P582" s="6">
        <v>1.0</v>
      </c>
    </row>
    <row r="583">
      <c r="A583" s="36" t="s">
        <v>2055</v>
      </c>
      <c r="B583" s="37" t="s">
        <v>2055</v>
      </c>
      <c r="C583" s="13" t="s">
        <v>2056</v>
      </c>
      <c r="D583" s="5">
        <v>8601.0</v>
      </c>
      <c r="E583" s="5" t="s">
        <v>2224</v>
      </c>
      <c r="F583" s="38" t="s">
        <v>2225</v>
      </c>
      <c r="G583" s="4" t="s">
        <v>2226</v>
      </c>
      <c r="H583" s="4" t="s">
        <v>2227</v>
      </c>
      <c r="I583" s="5" t="s">
        <v>8</v>
      </c>
      <c r="J583" s="5" t="s">
        <v>2061</v>
      </c>
      <c r="K583" s="5" t="s">
        <v>25</v>
      </c>
      <c r="L583" s="11" t="s">
        <v>26</v>
      </c>
      <c r="M583" s="5" t="s">
        <v>27</v>
      </c>
      <c r="N583" s="5" t="s">
        <v>2055</v>
      </c>
      <c r="O583" s="12" t="str">
        <f t="shared" si="2"/>
        <v>https://monitoramento.pm.pr.gov.br/proxy_image_6/Interface/Cameras/GetJPEGStream?Camera=C.048&amp;AuthUser=siscop&amp;AuthPass=Siscop1234&amp;Width=1024&amp;Height=768&amp;Quality=70&amp;FPS=10&amp;ResponseFormat=Text</v>
      </c>
      <c r="P583" s="6">
        <v>1.0</v>
      </c>
    </row>
    <row r="584">
      <c r="A584" s="36" t="s">
        <v>2055</v>
      </c>
      <c r="B584" s="37" t="s">
        <v>2055</v>
      </c>
      <c r="C584" s="13" t="s">
        <v>2056</v>
      </c>
      <c r="D584" s="5">
        <v>8601.0</v>
      </c>
      <c r="E584" s="5" t="s">
        <v>2228</v>
      </c>
      <c r="F584" s="38" t="s">
        <v>2229</v>
      </c>
      <c r="G584" s="4" t="s">
        <v>2230</v>
      </c>
      <c r="H584" s="4" t="s">
        <v>2231</v>
      </c>
      <c r="I584" s="5" t="s">
        <v>8</v>
      </c>
      <c r="J584" s="5" t="s">
        <v>2061</v>
      </c>
      <c r="K584" s="5" t="s">
        <v>25</v>
      </c>
      <c r="L584" s="11" t="s">
        <v>26</v>
      </c>
      <c r="M584" s="5" t="s">
        <v>27</v>
      </c>
      <c r="N584" s="5" t="s">
        <v>2055</v>
      </c>
      <c r="O584" s="12" t="str">
        <f t="shared" si="2"/>
        <v>https://monitoramento.pm.pr.gov.br/proxy_image_6/Interface/Cameras/GetJPEGStream?Camera=C.049&amp;AuthUser=siscop&amp;AuthPass=Siscop1234&amp;Width=1024&amp;Height=768&amp;Quality=70&amp;FPS=10&amp;ResponseFormat=Text</v>
      </c>
      <c r="P584" s="6">
        <v>1.0</v>
      </c>
    </row>
    <row r="585">
      <c r="A585" s="36" t="s">
        <v>2055</v>
      </c>
      <c r="B585" s="37" t="s">
        <v>2055</v>
      </c>
      <c r="C585" s="13" t="s">
        <v>2056</v>
      </c>
      <c r="D585" s="5">
        <v>8601.0</v>
      </c>
      <c r="E585" s="5" t="s">
        <v>2232</v>
      </c>
      <c r="F585" s="38" t="s">
        <v>2233</v>
      </c>
      <c r="G585" s="4" t="s">
        <v>2234</v>
      </c>
      <c r="H585" s="4" t="s">
        <v>2235</v>
      </c>
      <c r="I585" s="5" t="s">
        <v>8</v>
      </c>
      <c r="J585" s="5" t="s">
        <v>2061</v>
      </c>
      <c r="K585" s="5" t="s">
        <v>25</v>
      </c>
      <c r="L585" s="11" t="s">
        <v>26</v>
      </c>
      <c r="M585" s="5" t="s">
        <v>27</v>
      </c>
      <c r="N585" s="5" t="s">
        <v>2055</v>
      </c>
      <c r="O585" s="12" t="str">
        <f t="shared" si="2"/>
        <v>https://monitoramento.pm.pr.gov.br/proxy_image_6/Interface/Cameras/GetJPEGStream?Camera=C.050&amp;AuthUser=siscop&amp;AuthPass=Siscop1234&amp;Width=1024&amp;Height=768&amp;Quality=70&amp;FPS=10&amp;ResponseFormat=Text</v>
      </c>
      <c r="P585" s="6">
        <v>1.0</v>
      </c>
    </row>
    <row r="586">
      <c r="A586" s="36" t="s">
        <v>2055</v>
      </c>
      <c r="B586" s="37" t="s">
        <v>2055</v>
      </c>
      <c r="C586" s="13" t="s">
        <v>2056</v>
      </c>
      <c r="D586" s="5">
        <v>8601.0</v>
      </c>
      <c r="E586" s="5" t="s">
        <v>2236</v>
      </c>
      <c r="F586" s="38" t="s">
        <v>2237</v>
      </c>
      <c r="G586" s="4" t="s">
        <v>2234</v>
      </c>
      <c r="H586" s="4" t="s">
        <v>2238</v>
      </c>
      <c r="I586" s="5" t="s">
        <v>8</v>
      </c>
      <c r="J586" s="5" t="s">
        <v>2061</v>
      </c>
      <c r="K586" s="5" t="s">
        <v>25</v>
      </c>
      <c r="L586" s="11" t="s">
        <v>26</v>
      </c>
      <c r="M586" s="5" t="s">
        <v>27</v>
      </c>
      <c r="N586" s="5" t="s">
        <v>2055</v>
      </c>
      <c r="O586" s="12" t="str">
        <f t="shared" si="2"/>
        <v>https://monitoramento.pm.pr.gov.br/proxy_image_6/Interface/Cameras/GetJPEGStream?Camera=C.051&amp;AuthUser=siscop&amp;AuthPass=Siscop1234&amp;Width=1024&amp;Height=768&amp;Quality=70&amp;FPS=10&amp;ResponseFormat=Text</v>
      </c>
      <c r="P586" s="6">
        <v>1.0</v>
      </c>
    </row>
    <row r="587">
      <c r="A587" s="36" t="s">
        <v>2055</v>
      </c>
      <c r="B587" s="37" t="s">
        <v>2055</v>
      </c>
      <c r="C587" s="13" t="s">
        <v>2056</v>
      </c>
      <c r="D587" s="5">
        <v>8601.0</v>
      </c>
      <c r="E587" s="5" t="s">
        <v>2239</v>
      </c>
      <c r="F587" s="38" t="s">
        <v>2178</v>
      </c>
      <c r="G587" s="4" t="s">
        <v>2240</v>
      </c>
      <c r="H587" s="4" t="s">
        <v>2241</v>
      </c>
      <c r="I587" s="5" t="s">
        <v>8</v>
      </c>
      <c r="J587" s="5" t="s">
        <v>2061</v>
      </c>
      <c r="K587" s="5" t="s">
        <v>25</v>
      </c>
      <c r="L587" s="11" t="s">
        <v>26</v>
      </c>
      <c r="M587" s="5" t="s">
        <v>27</v>
      </c>
      <c r="N587" s="5" t="s">
        <v>2055</v>
      </c>
      <c r="O587" s="12" t="str">
        <f t="shared" si="2"/>
        <v>https://monitoramento.pm.pr.gov.br/proxy_image_6/Interface/Cameras/GetJPEGStream?Camera=C.052&amp;AuthUser=siscop&amp;AuthPass=Siscop1234&amp;Width=1024&amp;Height=768&amp;Quality=70&amp;FPS=10&amp;ResponseFormat=Text</v>
      </c>
      <c r="P587" s="6">
        <v>1.0</v>
      </c>
    </row>
    <row r="588">
      <c r="A588" s="36" t="s">
        <v>2055</v>
      </c>
      <c r="B588" s="37" t="s">
        <v>2055</v>
      </c>
      <c r="C588" s="13" t="s">
        <v>2056</v>
      </c>
      <c r="D588" s="5">
        <v>8601.0</v>
      </c>
      <c r="E588" s="5" t="s">
        <v>2242</v>
      </c>
      <c r="F588" s="38" t="s">
        <v>2243</v>
      </c>
      <c r="G588" s="4" t="s">
        <v>2244</v>
      </c>
      <c r="H588" s="4" t="s">
        <v>2245</v>
      </c>
      <c r="I588" s="5" t="s">
        <v>8</v>
      </c>
      <c r="J588" s="5" t="s">
        <v>2061</v>
      </c>
      <c r="K588" s="5" t="s">
        <v>25</v>
      </c>
      <c r="L588" s="11" t="s">
        <v>26</v>
      </c>
      <c r="M588" s="5" t="s">
        <v>27</v>
      </c>
      <c r="N588" s="5" t="s">
        <v>2055</v>
      </c>
      <c r="O588" s="12" t="str">
        <f t="shared" si="2"/>
        <v>https://monitoramento.pm.pr.gov.br/proxy_image_6/Interface/Cameras/GetJPEGStream?Camera=C.053&amp;AuthUser=siscop&amp;AuthPass=Siscop1234&amp;Width=1024&amp;Height=768&amp;Quality=70&amp;FPS=10&amp;ResponseFormat=Text</v>
      </c>
      <c r="P588" s="6">
        <v>1.0</v>
      </c>
    </row>
    <row r="589">
      <c r="A589" s="36" t="s">
        <v>2055</v>
      </c>
      <c r="B589" s="37" t="s">
        <v>2055</v>
      </c>
      <c r="C589" s="13" t="s">
        <v>2056</v>
      </c>
      <c r="D589" s="5">
        <v>8601.0</v>
      </c>
      <c r="E589" s="5" t="s">
        <v>2246</v>
      </c>
      <c r="F589" s="38" t="s">
        <v>2247</v>
      </c>
      <c r="G589" s="4" t="s">
        <v>2248</v>
      </c>
      <c r="H589" s="4" t="s">
        <v>2249</v>
      </c>
      <c r="I589" s="5" t="s">
        <v>8</v>
      </c>
      <c r="J589" s="5" t="s">
        <v>2061</v>
      </c>
      <c r="K589" s="5" t="s">
        <v>25</v>
      </c>
      <c r="L589" s="11" t="s">
        <v>26</v>
      </c>
      <c r="M589" s="5" t="s">
        <v>27</v>
      </c>
      <c r="N589" s="5" t="s">
        <v>2055</v>
      </c>
      <c r="O589" s="12" t="str">
        <f t="shared" si="2"/>
        <v>https://monitoramento.pm.pr.gov.br/proxy_image_6/Interface/Cameras/GetJPEGStream?Camera=C.054&amp;AuthUser=siscop&amp;AuthPass=Siscop1234&amp;Width=1024&amp;Height=768&amp;Quality=70&amp;FPS=10&amp;ResponseFormat=Text</v>
      </c>
      <c r="P589" s="6">
        <v>1.0</v>
      </c>
    </row>
    <row r="590">
      <c r="A590" s="36" t="s">
        <v>2055</v>
      </c>
      <c r="B590" s="37" t="s">
        <v>2055</v>
      </c>
      <c r="C590" s="13" t="s">
        <v>2056</v>
      </c>
      <c r="D590" s="5">
        <v>8601.0</v>
      </c>
      <c r="E590" s="5" t="s">
        <v>2250</v>
      </c>
      <c r="F590" s="38" t="s">
        <v>2251</v>
      </c>
      <c r="G590" s="4" t="s">
        <v>2252</v>
      </c>
      <c r="H590" s="4" t="s">
        <v>2253</v>
      </c>
      <c r="I590" s="5" t="s">
        <v>8</v>
      </c>
      <c r="J590" s="5" t="s">
        <v>2061</v>
      </c>
      <c r="K590" s="5" t="s">
        <v>25</v>
      </c>
      <c r="L590" s="11" t="s">
        <v>26</v>
      </c>
      <c r="M590" s="5" t="s">
        <v>27</v>
      </c>
      <c r="N590" s="5" t="s">
        <v>2055</v>
      </c>
      <c r="O590" s="12" t="str">
        <f t="shared" si="2"/>
        <v>https://monitoramento.pm.pr.gov.br/proxy_image_6/Interface/Cameras/GetJPEGStream?Camera=C.055&amp;AuthUser=siscop&amp;AuthPass=Siscop1234&amp;Width=1024&amp;Height=768&amp;Quality=70&amp;FPS=10&amp;ResponseFormat=Text</v>
      </c>
      <c r="P590" s="6">
        <v>1.0</v>
      </c>
    </row>
    <row r="591">
      <c r="A591" s="36" t="s">
        <v>2055</v>
      </c>
      <c r="B591" s="37" t="s">
        <v>2055</v>
      </c>
      <c r="C591" s="13" t="s">
        <v>2056</v>
      </c>
      <c r="D591" s="5">
        <v>8601.0</v>
      </c>
      <c r="E591" s="5" t="s">
        <v>2254</v>
      </c>
      <c r="F591" s="38" t="s">
        <v>2255</v>
      </c>
      <c r="G591" s="4" t="s">
        <v>2256</v>
      </c>
      <c r="H591" s="4" t="s">
        <v>2257</v>
      </c>
      <c r="I591" s="5" t="s">
        <v>8</v>
      </c>
      <c r="J591" s="5" t="s">
        <v>2061</v>
      </c>
      <c r="K591" s="5" t="s">
        <v>25</v>
      </c>
      <c r="L591" s="11" t="s">
        <v>26</v>
      </c>
      <c r="M591" s="5" t="s">
        <v>27</v>
      </c>
      <c r="N591" s="5" t="s">
        <v>2055</v>
      </c>
      <c r="O591" s="12" t="str">
        <f t="shared" si="2"/>
        <v>https://monitoramento.pm.pr.gov.br/proxy_image_6/Interface/Cameras/GetJPEGStream?Camera=C.056&amp;AuthUser=siscop&amp;AuthPass=Siscop1234&amp;Width=1024&amp;Height=768&amp;Quality=70&amp;FPS=10&amp;ResponseFormat=Text</v>
      </c>
      <c r="P591" s="6">
        <v>1.0</v>
      </c>
    </row>
    <row r="592">
      <c r="A592" s="36" t="s">
        <v>2055</v>
      </c>
      <c r="B592" s="37" t="s">
        <v>2055</v>
      </c>
      <c r="C592" s="13" t="s">
        <v>2056</v>
      </c>
      <c r="D592" s="5">
        <v>8601.0</v>
      </c>
      <c r="E592" s="5" t="s">
        <v>2258</v>
      </c>
      <c r="F592" s="38" t="s">
        <v>2259</v>
      </c>
      <c r="G592" s="4" t="s">
        <v>2260</v>
      </c>
      <c r="H592" s="4" t="s">
        <v>2261</v>
      </c>
      <c r="I592" s="5" t="s">
        <v>8</v>
      </c>
      <c r="J592" s="5" t="s">
        <v>2061</v>
      </c>
      <c r="K592" s="5" t="s">
        <v>25</v>
      </c>
      <c r="L592" s="11" t="s">
        <v>26</v>
      </c>
      <c r="M592" s="5" t="s">
        <v>27</v>
      </c>
      <c r="N592" s="5" t="s">
        <v>2055</v>
      </c>
      <c r="O592" s="12" t="str">
        <f t="shared" si="2"/>
        <v>https://monitoramento.pm.pr.gov.br/proxy_image_6/Interface/Cameras/GetJPEGStream?Camera=C.057&amp;AuthUser=siscop&amp;AuthPass=Siscop1234&amp;Width=1024&amp;Height=768&amp;Quality=70&amp;FPS=10&amp;ResponseFormat=Text</v>
      </c>
      <c r="P592" s="6">
        <v>1.0</v>
      </c>
    </row>
    <row r="593">
      <c r="A593" s="36" t="s">
        <v>2055</v>
      </c>
      <c r="B593" s="37" t="s">
        <v>2055</v>
      </c>
      <c r="C593" s="13" t="s">
        <v>2056</v>
      </c>
      <c r="D593" s="5">
        <v>8601.0</v>
      </c>
      <c r="E593" s="5" t="s">
        <v>2262</v>
      </c>
      <c r="F593" s="38" t="s">
        <v>2263</v>
      </c>
      <c r="G593" s="4" t="s">
        <v>2071</v>
      </c>
      <c r="H593" s="4" t="s">
        <v>2264</v>
      </c>
      <c r="I593" s="5" t="s">
        <v>8</v>
      </c>
      <c r="J593" s="5" t="s">
        <v>2061</v>
      </c>
      <c r="K593" s="5" t="s">
        <v>25</v>
      </c>
      <c r="L593" s="11" t="s">
        <v>26</v>
      </c>
      <c r="M593" s="5" t="s">
        <v>27</v>
      </c>
      <c r="N593" s="5" t="s">
        <v>2055</v>
      </c>
      <c r="O593" s="12" t="str">
        <f t="shared" si="2"/>
        <v>https://monitoramento.pm.pr.gov.br/proxy_image_6/Interface/Cameras/GetJPEGStream?Camera=C.058&amp;AuthUser=siscop&amp;AuthPass=Siscop1234&amp;Width=1024&amp;Height=768&amp;Quality=70&amp;FPS=10&amp;ResponseFormat=Text</v>
      </c>
      <c r="P593" s="6">
        <v>1.0</v>
      </c>
    </row>
    <row r="594">
      <c r="A594" s="36" t="s">
        <v>2055</v>
      </c>
      <c r="B594" s="37" t="s">
        <v>2055</v>
      </c>
      <c r="C594" s="13" t="s">
        <v>2056</v>
      </c>
      <c r="D594" s="5">
        <v>8601.0</v>
      </c>
      <c r="E594" s="5" t="s">
        <v>2265</v>
      </c>
      <c r="F594" s="38" t="s">
        <v>2266</v>
      </c>
      <c r="G594" s="4" t="s">
        <v>2267</v>
      </c>
      <c r="H594" s="4" t="s">
        <v>2268</v>
      </c>
      <c r="I594" s="5" t="s">
        <v>8</v>
      </c>
      <c r="J594" s="5" t="s">
        <v>2061</v>
      </c>
      <c r="K594" s="5" t="s">
        <v>25</v>
      </c>
      <c r="L594" s="11" t="s">
        <v>26</v>
      </c>
      <c r="M594" s="5" t="s">
        <v>27</v>
      </c>
      <c r="N594" s="5" t="s">
        <v>2055</v>
      </c>
      <c r="O594" s="12" t="str">
        <f t="shared" si="2"/>
        <v>https://monitoramento.pm.pr.gov.br/proxy_image_6/Interface/Cameras/GetJPEGStream?Camera=C.059&amp;AuthUser=siscop&amp;AuthPass=Siscop1234&amp;Width=1024&amp;Height=768&amp;Quality=70&amp;FPS=10&amp;ResponseFormat=Text</v>
      </c>
      <c r="P594" s="6">
        <v>1.0</v>
      </c>
    </row>
    <row r="595">
      <c r="A595" s="36" t="s">
        <v>2055</v>
      </c>
      <c r="B595" s="37" t="s">
        <v>2055</v>
      </c>
      <c r="C595" s="13" t="s">
        <v>2056</v>
      </c>
      <c r="D595" s="5">
        <v>8601.0</v>
      </c>
      <c r="E595" s="5" t="s">
        <v>2269</v>
      </c>
      <c r="F595" s="38" t="s">
        <v>2270</v>
      </c>
      <c r="G595" s="4" t="s">
        <v>2271</v>
      </c>
      <c r="H595" s="4" t="s">
        <v>2272</v>
      </c>
      <c r="I595" s="5" t="s">
        <v>8</v>
      </c>
      <c r="J595" s="5" t="s">
        <v>2061</v>
      </c>
      <c r="K595" s="5" t="s">
        <v>25</v>
      </c>
      <c r="L595" s="11" t="s">
        <v>26</v>
      </c>
      <c r="M595" s="5" t="s">
        <v>27</v>
      </c>
      <c r="N595" s="5" t="s">
        <v>2055</v>
      </c>
      <c r="O595" s="12" t="str">
        <f t="shared" si="2"/>
        <v>https://monitoramento.pm.pr.gov.br/proxy_image_6/Interface/Cameras/GetJPEGStream?Camera=C.060&amp;AuthUser=siscop&amp;AuthPass=Siscop1234&amp;Width=1024&amp;Height=768&amp;Quality=70&amp;FPS=10&amp;ResponseFormat=Text</v>
      </c>
      <c r="P595" s="6">
        <v>1.0</v>
      </c>
    </row>
    <row r="596">
      <c r="A596" s="36" t="s">
        <v>2055</v>
      </c>
      <c r="B596" s="37" t="s">
        <v>2055</v>
      </c>
      <c r="C596" s="13" t="s">
        <v>2056</v>
      </c>
      <c r="D596" s="5">
        <v>8601.0</v>
      </c>
      <c r="E596" s="5" t="s">
        <v>2273</v>
      </c>
      <c r="F596" s="38" t="s">
        <v>2274</v>
      </c>
      <c r="G596" s="4" t="s">
        <v>2275</v>
      </c>
      <c r="H596" s="4" t="s">
        <v>2076</v>
      </c>
      <c r="I596" s="5" t="s">
        <v>8</v>
      </c>
      <c r="J596" s="5" t="s">
        <v>2061</v>
      </c>
      <c r="K596" s="5" t="s">
        <v>25</v>
      </c>
      <c r="L596" s="11" t="s">
        <v>26</v>
      </c>
      <c r="M596" s="5" t="s">
        <v>27</v>
      </c>
      <c r="N596" s="5" t="s">
        <v>2055</v>
      </c>
      <c r="O596" s="12" t="str">
        <f t="shared" si="2"/>
        <v>https://monitoramento.pm.pr.gov.br/proxy_image_6/Interface/Cameras/GetJPEGStream?Camera=C.061&amp;AuthUser=siscop&amp;AuthPass=Siscop1234&amp;Width=1024&amp;Height=768&amp;Quality=70&amp;FPS=10&amp;ResponseFormat=Text</v>
      </c>
      <c r="P596" s="6">
        <v>1.0</v>
      </c>
    </row>
    <row r="597">
      <c r="A597" s="36" t="s">
        <v>2055</v>
      </c>
      <c r="B597" s="37" t="s">
        <v>2055</v>
      </c>
      <c r="C597" s="13" t="s">
        <v>2056</v>
      </c>
      <c r="D597" s="5">
        <v>8601.0</v>
      </c>
      <c r="E597" s="5" t="s">
        <v>2276</v>
      </c>
      <c r="F597" s="38" t="s">
        <v>2277</v>
      </c>
      <c r="G597" s="4" t="s">
        <v>2278</v>
      </c>
      <c r="H597" s="4" t="s">
        <v>2279</v>
      </c>
      <c r="I597" s="5" t="s">
        <v>8</v>
      </c>
      <c r="J597" s="5" t="s">
        <v>2061</v>
      </c>
      <c r="K597" s="5" t="s">
        <v>25</v>
      </c>
      <c r="L597" s="11" t="s">
        <v>26</v>
      </c>
      <c r="M597" s="5" t="s">
        <v>27</v>
      </c>
      <c r="N597" s="5" t="s">
        <v>2055</v>
      </c>
      <c r="O597" s="12" t="str">
        <f t="shared" si="2"/>
        <v>https://monitoramento.pm.pr.gov.br/proxy_image_6/Interface/Cameras/GetJPEGStream?Camera=C.062&amp;AuthUser=siscop&amp;AuthPass=Siscop1234&amp;Width=1024&amp;Height=768&amp;Quality=70&amp;FPS=10&amp;ResponseFormat=Text</v>
      </c>
      <c r="P597" s="6">
        <v>1.0</v>
      </c>
    </row>
    <row r="598">
      <c r="A598" s="36" t="s">
        <v>2055</v>
      </c>
      <c r="B598" s="37" t="s">
        <v>2055</v>
      </c>
      <c r="C598" s="13" t="s">
        <v>2056</v>
      </c>
      <c r="D598" s="5">
        <v>8601.0</v>
      </c>
      <c r="E598" s="5" t="s">
        <v>2280</v>
      </c>
      <c r="F598" s="38" t="s">
        <v>2281</v>
      </c>
      <c r="G598" s="4" t="s">
        <v>2282</v>
      </c>
      <c r="H598" s="4" t="s">
        <v>2283</v>
      </c>
      <c r="I598" s="5" t="s">
        <v>8</v>
      </c>
      <c r="J598" s="5" t="s">
        <v>2061</v>
      </c>
      <c r="K598" s="5" t="s">
        <v>25</v>
      </c>
      <c r="L598" s="11" t="s">
        <v>26</v>
      </c>
      <c r="M598" s="5" t="s">
        <v>27</v>
      </c>
      <c r="N598" s="5" t="s">
        <v>2055</v>
      </c>
      <c r="O598" s="12" t="str">
        <f t="shared" si="2"/>
        <v>https://monitoramento.pm.pr.gov.br/proxy_image_6/Interface/Cameras/GetJPEGStream?Camera=C.063&amp;AuthUser=siscop&amp;AuthPass=Siscop1234&amp;Width=1024&amp;Height=768&amp;Quality=70&amp;FPS=10&amp;ResponseFormat=Text</v>
      </c>
      <c r="P598" s="6">
        <v>1.0</v>
      </c>
    </row>
    <row r="599">
      <c r="A599" s="36" t="s">
        <v>2055</v>
      </c>
      <c r="B599" s="37" t="s">
        <v>2055</v>
      </c>
      <c r="C599" s="13" t="s">
        <v>2056</v>
      </c>
      <c r="D599" s="5">
        <v>8601.0</v>
      </c>
      <c r="E599" s="5" t="s">
        <v>2284</v>
      </c>
      <c r="F599" s="38" t="s">
        <v>2285</v>
      </c>
      <c r="G599" s="4" t="s">
        <v>2286</v>
      </c>
      <c r="H599" s="4" t="s">
        <v>2287</v>
      </c>
      <c r="I599" s="5" t="s">
        <v>8</v>
      </c>
      <c r="J599" s="5" t="s">
        <v>2061</v>
      </c>
      <c r="K599" s="5" t="s">
        <v>25</v>
      </c>
      <c r="L599" s="11" t="s">
        <v>26</v>
      </c>
      <c r="M599" s="5" t="s">
        <v>27</v>
      </c>
      <c r="N599" s="5" t="s">
        <v>2055</v>
      </c>
      <c r="O599" s="12" t="str">
        <f t="shared" si="2"/>
        <v>https://monitoramento.pm.pr.gov.br/proxy_image_6/Interface/Cameras/GetJPEGStream?Camera=C.064&amp;AuthUser=siscop&amp;AuthPass=Siscop1234&amp;Width=1024&amp;Height=768&amp;Quality=70&amp;FPS=10&amp;ResponseFormat=Text</v>
      </c>
      <c r="P599" s="6">
        <v>1.0</v>
      </c>
    </row>
    <row r="600">
      <c r="A600" s="36" t="s">
        <v>2055</v>
      </c>
      <c r="B600" s="37" t="s">
        <v>2055</v>
      </c>
      <c r="C600" s="13" t="s">
        <v>2056</v>
      </c>
      <c r="D600" s="5">
        <v>8601.0</v>
      </c>
      <c r="E600" s="5" t="s">
        <v>2288</v>
      </c>
      <c r="F600" s="38" t="s">
        <v>2289</v>
      </c>
      <c r="G600" s="4" t="s">
        <v>2290</v>
      </c>
      <c r="H600" s="4" t="s">
        <v>2291</v>
      </c>
      <c r="I600" s="5" t="s">
        <v>8</v>
      </c>
      <c r="J600" s="5" t="s">
        <v>2061</v>
      </c>
      <c r="K600" s="5" t="s">
        <v>25</v>
      </c>
      <c r="L600" s="11" t="s">
        <v>26</v>
      </c>
      <c r="M600" s="5" t="s">
        <v>27</v>
      </c>
      <c r="N600" s="5" t="s">
        <v>2055</v>
      </c>
      <c r="O600" s="12" t="str">
        <f t="shared" si="2"/>
        <v>https://monitoramento.pm.pr.gov.br/proxy_image_6/Interface/Cameras/GetJPEGStream?Camera=C.065&amp;AuthUser=siscop&amp;AuthPass=Siscop1234&amp;Width=1024&amp;Height=768&amp;Quality=70&amp;FPS=10&amp;ResponseFormat=Text</v>
      </c>
      <c r="P600" s="6">
        <v>1.0</v>
      </c>
    </row>
    <row r="601">
      <c r="A601" s="36" t="s">
        <v>2055</v>
      </c>
      <c r="B601" s="37" t="s">
        <v>2055</v>
      </c>
      <c r="C601" s="13" t="s">
        <v>2056</v>
      </c>
      <c r="D601" s="5">
        <v>8601.0</v>
      </c>
      <c r="E601" s="5" t="s">
        <v>2292</v>
      </c>
      <c r="F601" s="38" t="s">
        <v>2293</v>
      </c>
      <c r="G601" s="4" t="s">
        <v>2294</v>
      </c>
      <c r="H601" s="4" t="s">
        <v>2295</v>
      </c>
      <c r="I601" s="5" t="s">
        <v>8</v>
      </c>
      <c r="J601" s="5" t="s">
        <v>2061</v>
      </c>
      <c r="K601" s="5" t="s">
        <v>25</v>
      </c>
      <c r="L601" s="11" t="s">
        <v>26</v>
      </c>
      <c r="M601" s="5" t="s">
        <v>27</v>
      </c>
      <c r="N601" s="5" t="s">
        <v>2055</v>
      </c>
      <c r="O601" s="12" t="str">
        <f t="shared" si="2"/>
        <v>https://monitoramento.pm.pr.gov.br/proxy_image_6/Interface/Cameras/GetJPEGStream?Camera=C.066&amp;AuthUser=siscop&amp;AuthPass=Siscop1234&amp;Width=1024&amp;Height=768&amp;Quality=70&amp;FPS=10&amp;ResponseFormat=Text</v>
      </c>
      <c r="P601" s="6">
        <v>1.0</v>
      </c>
    </row>
    <row r="602">
      <c r="A602" s="36" t="s">
        <v>2055</v>
      </c>
      <c r="B602" s="37" t="s">
        <v>2055</v>
      </c>
      <c r="C602" s="13" t="s">
        <v>2056</v>
      </c>
      <c r="D602" s="5">
        <v>8601.0</v>
      </c>
      <c r="E602" s="5" t="s">
        <v>2296</v>
      </c>
      <c r="F602" s="38" t="s">
        <v>2297</v>
      </c>
      <c r="G602" s="4" t="s">
        <v>2298</v>
      </c>
      <c r="H602" s="4" t="s">
        <v>2299</v>
      </c>
      <c r="I602" s="5" t="s">
        <v>8</v>
      </c>
      <c r="J602" s="5" t="s">
        <v>2061</v>
      </c>
      <c r="K602" s="5" t="s">
        <v>25</v>
      </c>
      <c r="L602" s="11" t="s">
        <v>26</v>
      </c>
      <c r="M602" s="5" t="s">
        <v>27</v>
      </c>
      <c r="N602" s="5" t="s">
        <v>2055</v>
      </c>
      <c r="O602" s="12" t="str">
        <f t="shared" si="2"/>
        <v>https://monitoramento.pm.pr.gov.br/proxy_image_6/Interface/Cameras/GetJPEGStream?Camera=C.067&amp;AuthUser=siscop&amp;AuthPass=Siscop1234&amp;Width=1024&amp;Height=768&amp;Quality=70&amp;FPS=10&amp;ResponseFormat=Text</v>
      </c>
      <c r="P602" s="6">
        <v>1.0</v>
      </c>
    </row>
    <row r="603">
      <c r="A603" s="36" t="s">
        <v>2055</v>
      </c>
      <c r="B603" s="37" t="s">
        <v>2055</v>
      </c>
      <c r="C603" s="13" t="s">
        <v>2056</v>
      </c>
      <c r="D603" s="5">
        <v>8601.0</v>
      </c>
      <c r="E603" s="5" t="s">
        <v>2300</v>
      </c>
      <c r="F603" s="38" t="s">
        <v>2301</v>
      </c>
      <c r="G603" s="4" t="s">
        <v>2302</v>
      </c>
      <c r="H603" s="4" t="s">
        <v>2303</v>
      </c>
      <c r="I603" s="5" t="s">
        <v>8</v>
      </c>
      <c r="J603" s="5" t="s">
        <v>2061</v>
      </c>
      <c r="K603" s="5" t="s">
        <v>25</v>
      </c>
      <c r="L603" s="11" t="s">
        <v>26</v>
      </c>
      <c r="M603" s="5" t="s">
        <v>27</v>
      </c>
      <c r="N603" s="5" t="s">
        <v>2055</v>
      </c>
      <c r="O603" s="12" t="str">
        <f t="shared" si="2"/>
        <v>https://monitoramento.pm.pr.gov.br/proxy_image_6/Interface/Cameras/GetJPEGStream?Camera=C.068&amp;AuthUser=siscop&amp;AuthPass=Siscop1234&amp;Width=1024&amp;Height=768&amp;Quality=70&amp;FPS=10&amp;ResponseFormat=Text</v>
      </c>
      <c r="P603" s="6">
        <v>1.0</v>
      </c>
    </row>
    <row r="604">
      <c r="A604" s="36" t="s">
        <v>2055</v>
      </c>
      <c r="B604" s="37" t="s">
        <v>2055</v>
      </c>
      <c r="C604" s="13" t="s">
        <v>2056</v>
      </c>
      <c r="D604" s="5">
        <v>8601.0</v>
      </c>
      <c r="E604" s="5" t="s">
        <v>2304</v>
      </c>
      <c r="F604" s="38" t="s">
        <v>2305</v>
      </c>
      <c r="G604" s="4" t="s">
        <v>2306</v>
      </c>
      <c r="H604" s="4" t="s">
        <v>2307</v>
      </c>
      <c r="I604" s="5" t="s">
        <v>8</v>
      </c>
      <c r="J604" s="5" t="s">
        <v>2061</v>
      </c>
      <c r="K604" s="5" t="s">
        <v>25</v>
      </c>
      <c r="L604" s="11" t="s">
        <v>26</v>
      </c>
      <c r="M604" s="5" t="s">
        <v>27</v>
      </c>
      <c r="N604" s="5" t="s">
        <v>2055</v>
      </c>
      <c r="O604" s="12" t="str">
        <f t="shared" si="2"/>
        <v>https://monitoramento.pm.pr.gov.br/proxy_image_6/Interface/Cameras/GetJPEGStream?Camera=C.069&amp;AuthUser=siscop&amp;AuthPass=Siscop1234&amp;Width=1024&amp;Height=768&amp;Quality=70&amp;FPS=10&amp;ResponseFormat=Text</v>
      </c>
      <c r="P604" s="6">
        <v>1.0</v>
      </c>
    </row>
    <row r="605">
      <c r="A605" s="36" t="s">
        <v>2055</v>
      </c>
      <c r="B605" s="37" t="s">
        <v>2055</v>
      </c>
      <c r="C605" s="13" t="s">
        <v>2056</v>
      </c>
      <c r="D605" s="5">
        <v>8601.0</v>
      </c>
      <c r="E605" s="5" t="s">
        <v>2308</v>
      </c>
      <c r="F605" s="38" t="s">
        <v>2309</v>
      </c>
      <c r="G605" s="4" t="s">
        <v>2310</v>
      </c>
      <c r="H605" s="4" t="s">
        <v>2311</v>
      </c>
      <c r="I605" s="5" t="s">
        <v>8</v>
      </c>
      <c r="J605" s="5" t="s">
        <v>2061</v>
      </c>
      <c r="K605" s="5" t="s">
        <v>25</v>
      </c>
      <c r="L605" s="11" t="s">
        <v>26</v>
      </c>
      <c r="M605" s="5" t="s">
        <v>27</v>
      </c>
      <c r="N605" s="5" t="s">
        <v>2055</v>
      </c>
      <c r="O605" s="12" t="str">
        <f t="shared" si="2"/>
        <v>https://monitoramento.pm.pr.gov.br/proxy_image_6/Interface/Cameras/GetJPEGStream?Camera=C.070&amp;AuthUser=siscop&amp;AuthPass=Siscop1234&amp;Width=1024&amp;Height=768&amp;Quality=70&amp;FPS=10&amp;ResponseFormat=Text</v>
      </c>
      <c r="P605" s="6">
        <v>1.0</v>
      </c>
    </row>
    <row r="606">
      <c r="A606" s="36" t="s">
        <v>2055</v>
      </c>
      <c r="B606" s="37" t="s">
        <v>2055</v>
      </c>
      <c r="C606" s="13" t="s">
        <v>2056</v>
      </c>
      <c r="D606" s="5">
        <v>8601.0</v>
      </c>
      <c r="E606" s="5" t="s">
        <v>2312</v>
      </c>
      <c r="F606" s="38" t="s">
        <v>2313</v>
      </c>
      <c r="G606" s="4" t="s">
        <v>2314</v>
      </c>
      <c r="H606" s="4" t="s">
        <v>2315</v>
      </c>
      <c r="I606" s="5" t="s">
        <v>8</v>
      </c>
      <c r="J606" s="5" t="s">
        <v>2061</v>
      </c>
      <c r="K606" s="5" t="s">
        <v>25</v>
      </c>
      <c r="L606" s="11" t="s">
        <v>26</v>
      </c>
      <c r="M606" s="5" t="s">
        <v>27</v>
      </c>
      <c r="N606" s="5" t="s">
        <v>2055</v>
      </c>
      <c r="O606" s="12" t="str">
        <f t="shared" si="2"/>
        <v>https://monitoramento.pm.pr.gov.br/proxy_image_6/Interface/Cameras/GetJPEGStream?Camera=C.071&amp;AuthUser=siscop&amp;AuthPass=Siscop1234&amp;Width=1024&amp;Height=768&amp;Quality=70&amp;FPS=10&amp;ResponseFormat=Text</v>
      </c>
      <c r="P606" s="6">
        <v>1.0</v>
      </c>
    </row>
    <row r="607">
      <c r="A607" s="36" t="s">
        <v>2055</v>
      </c>
      <c r="B607" s="37" t="s">
        <v>2055</v>
      </c>
      <c r="C607" s="13" t="s">
        <v>2056</v>
      </c>
      <c r="D607" s="5">
        <v>8601.0</v>
      </c>
      <c r="E607" s="5" t="s">
        <v>2316</v>
      </c>
      <c r="F607" s="38" t="s">
        <v>2317</v>
      </c>
      <c r="G607" s="4" t="s">
        <v>2318</v>
      </c>
      <c r="H607" s="4" t="s">
        <v>2319</v>
      </c>
      <c r="I607" s="5" t="s">
        <v>8</v>
      </c>
      <c r="J607" s="5" t="s">
        <v>2061</v>
      </c>
      <c r="K607" s="5" t="s">
        <v>25</v>
      </c>
      <c r="L607" s="11" t="s">
        <v>26</v>
      </c>
      <c r="M607" s="5" t="s">
        <v>27</v>
      </c>
      <c r="N607" s="5" t="s">
        <v>2055</v>
      </c>
      <c r="O607" s="12" t="str">
        <f t="shared" si="2"/>
        <v>https://monitoramento.pm.pr.gov.br/proxy_image_6/Interface/Cameras/GetJPEGStream?Camera=C.072&amp;AuthUser=siscop&amp;AuthPass=Siscop1234&amp;Width=1024&amp;Height=768&amp;Quality=70&amp;FPS=10&amp;ResponseFormat=Text</v>
      </c>
      <c r="P607" s="6">
        <v>1.0</v>
      </c>
    </row>
    <row r="608">
      <c r="A608" s="36" t="s">
        <v>2055</v>
      </c>
      <c r="B608" s="37" t="s">
        <v>2055</v>
      </c>
      <c r="C608" s="13" t="s">
        <v>2056</v>
      </c>
      <c r="D608" s="5">
        <v>8601.0</v>
      </c>
      <c r="E608" s="5" t="s">
        <v>2320</v>
      </c>
      <c r="F608" s="38" t="s">
        <v>2321</v>
      </c>
      <c r="G608" s="4" t="s">
        <v>2322</v>
      </c>
      <c r="H608" s="4" t="s">
        <v>2323</v>
      </c>
      <c r="I608" s="5" t="s">
        <v>8</v>
      </c>
      <c r="J608" s="5" t="s">
        <v>2061</v>
      </c>
      <c r="K608" s="5" t="s">
        <v>25</v>
      </c>
      <c r="L608" s="11" t="s">
        <v>26</v>
      </c>
      <c r="M608" s="5" t="s">
        <v>27</v>
      </c>
      <c r="N608" s="5" t="s">
        <v>2055</v>
      </c>
      <c r="O608" s="12" t="str">
        <f t="shared" si="2"/>
        <v>https://monitoramento.pm.pr.gov.br/proxy_image_6/Interface/Cameras/GetJPEGStream?Camera=C.073&amp;AuthUser=siscop&amp;AuthPass=Siscop1234&amp;Width=1024&amp;Height=768&amp;Quality=70&amp;FPS=10&amp;ResponseFormat=Text</v>
      </c>
      <c r="P608" s="6">
        <v>1.0</v>
      </c>
    </row>
    <row r="609">
      <c r="A609" s="36" t="s">
        <v>2055</v>
      </c>
      <c r="B609" s="37" t="s">
        <v>2055</v>
      </c>
      <c r="C609" s="13" t="s">
        <v>2056</v>
      </c>
      <c r="D609" s="5">
        <v>8601.0</v>
      </c>
      <c r="E609" s="5" t="s">
        <v>2324</v>
      </c>
      <c r="F609" s="38" t="s">
        <v>2325</v>
      </c>
      <c r="G609" s="4" t="s">
        <v>2322</v>
      </c>
      <c r="H609" s="4" t="s">
        <v>2323</v>
      </c>
      <c r="I609" s="5" t="s">
        <v>8</v>
      </c>
      <c r="J609" s="5" t="s">
        <v>2061</v>
      </c>
      <c r="K609" s="5" t="s">
        <v>25</v>
      </c>
      <c r="L609" s="11" t="s">
        <v>26</v>
      </c>
      <c r="M609" s="5" t="s">
        <v>27</v>
      </c>
      <c r="N609" s="5" t="s">
        <v>2055</v>
      </c>
      <c r="O609" s="12" t="str">
        <f t="shared" si="2"/>
        <v>https://monitoramento.pm.pr.gov.br/proxy_image_6/Interface/Cameras/GetJPEGStream?Camera=C.074&amp;AuthUser=siscop&amp;AuthPass=Siscop1234&amp;Width=1024&amp;Height=768&amp;Quality=70&amp;FPS=10&amp;ResponseFormat=Text</v>
      </c>
      <c r="P609" s="6">
        <v>1.0</v>
      </c>
    </row>
    <row r="610">
      <c r="A610" s="36" t="s">
        <v>2055</v>
      </c>
      <c r="B610" s="37" t="s">
        <v>2055</v>
      </c>
      <c r="C610" s="13" t="s">
        <v>2056</v>
      </c>
      <c r="D610" s="5">
        <v>8601.0</v>
      </c>
      <c r="E610" s="5" t="s">
        <v>2326</v>
      </c>
      <c r="F610" s="38" t="s">
        <v>2327</v>
      </c>
      <c r="G610" s="4" t="s">
        <v>2328</v>
      </c>
      <c r="H610" s="4" t="s">
        <v>2329</v>
      </c>
      <c r="I610" s="5" t="s">
        <v>8</v>
      </c>
      <c r="J610" s="5" t="s">
        <v>2061</v>
      </c>
      <c r="K610" s="5" t="s">
        <v>25</v>
      </c>
      <c r="L610" s="11" t="s">
        <v>26</v>
      </c>
      <c r="M610" s="5" t="s">
        <v>27</v>
      </c>
      <c r="N610" s="5" t="s">
        <v>2055</v>
      </c>
      <c r="O610" s="12" t="str">
        <f t="shared" si="2"/>
        <v>https://monitoramento.pm.pr.gov.br/proxy_image_6/Interface/Cameras/GetJPEGStream?Camera=C.075&amp;AuthUser=siscop&amp;AuthPass=Siscop1234&amp;Width=1024&amp;Height=768&amp;Quality=70&amp;FPS=10&amp;ResponseFormat=Text</v>
      </c>
      <c r="P610" s="6">
        <v>1.0</v>
      </c>
    </row>
    <row r="611">
      <c r="A611" s="36" t="s">
        <v>2055</v>
      </c>
      <c r="B611" s="37" t="s">
        <v>2055</v>
      </c>
      <c r="C611" s="13" t="s">
        <v>2056</v>
      </c>
      <c r="D611" s="5">
        <v>8601.0</v>
      </c>
      <c r="E611" s="5" t="s">
        <v>2330</v>
      </c>
      <c r="F611" s="38" t="s">
        <v>2331</v>
      </c>
      <c r="G611" s="4" t="s">
        <v>2328</v>
      </c>
      <c r="H611" s="4" t="s">
        <v>2329</v>
      </c>
      <c r="I611" s="5" t="s">
        <v>8</v>
      </c>
      <c r="J611" s="5" t="s">
        <v>2061</v>
      </c>
      <c r="K611" s="5" t="s">
        <v>25</v>
      </c>
      <c r="L611" s="11" t="s">
        <v>26</v>
      </c>
      <c r="M611" s="5" t="s">
        <v>27</v>
      </c>
      <c r="N611" s="5" t="s">
        <v>2055</v>
      </c>
      <c r="O611" s="12" t="str">
        <f t="shared" si="2"/>
        <v>https://monitoramento.pm.pr.gov.br/proxy_image_6/Interface/Cameras/GetJPEGStream?Camera=C.076&amp;AuthUser=siscop&amp;AuthPass=Siscop1234&amp;Width=1024&amp;Height=768&amp;Quality=70&amp;FPS=10&amp;ResponseFormat=Text</v>
      </c>
      <c r="P611" s="6">
        <v>1.0</v>
      </c>
    </row>
    <row r="612">
      <c r="A612" s="36" t="s">
        <v>2055</v>
      </c>
      <c r="B612" s="37" t="s">
        <v>2055</v>
      </c>
      <c r="C612" s="13" t="s">
        <v>2056</v>
      </c>
      <c r="D612" s="5">
        <v>8601.0</v>
      </c>
      <c r="E612" s="5" t="s">
        <v>2332</v>
      </c>
      <c r="F612" s="38" t="s">
        <v>2333</v>
      </c>
      <c r="G612" s="4" t="s">
        <v>2334</v>
      </c>
      <c r="H612" s="4" t="s">
        <v>2335</v>
      </c>
      <c r="I612" s="5" t="s">
        <v>8</v>
      </c>
      <c r="J612" s="5" t="s">
        <v>2061</v>
      </c>
      <c r="K612" s="5" t="s">
        <v>25</v>
      </c>
      <c r="L612" s="11" t="s">
        <v>26</v>
      </c>
      <c r="M612" s="5" t="s">
        <v>27</v>
      </c>
      <c r="N612" s="5" t="s">
        <v>2055</v>
      </c>
      <c r="O612" s="12" t="str">
        <f t="shared" si="2"/>
        <v>https://monitoramento.pm.pr.gov.br/proxy_image_6/Interface/Cameras/GetJPEGStream?Camera=C.077&amp;AuthUser=siscop&amp;AuthPass=Siscop1234&amp;Width=1024&amp;Height=768&amp;Quality=70&amp;FPS=10&amp;ResponseFormat=Text</v>
      </c>
      <c r="P612" s="6">
        <v>1.0</v>
      </c>
    </row>
    <row r="613">
      <c r="A613" s="36" t="s">
        <v>2055</v>
      </c>
      <c r="B613" s="37" t="s">
        <v>2055</v>
      </c>
      <c r="C613" s="13" t="s">
        <v>2056</v>
      </c>
      <c r="D613" s="5">
        <v>8601.0</v>
      </c>
      <c r="E613" s="5" t="s">
        <v>2336</v>
      </c>
      <c r="F613" s="38" t="s">
        <v>2337</v>
      </c>
      <c r="G613" s="4" t="s">
        <v>2338</v>
      </c>
      <c r="H613" s="4" t="s">
        <v>2339</v>
      </c>
      <c r="I613" s="5" t="s">
        <v>8</v>
      </c>
      <c r="J613" s="5" t="s">
        <v>2061</v>
      </c>
      <c r="K613" s="5" t="s">
        <v>25</v>
      </c>
      <c r="L613" s="11" t="s">
        <v>26</v>
      </c>
      <c r="M613" s="5" t="s">
        <v>27</v>
      </c>
      <c r="N613" s="5" t="s">
        <v>2055</v>
      </c>
      <c r="O613" s="12" t="str">
        <f t="shared" si="2"/>
        <v>https://monitoramento.pm.pr.gov.br/proxy_image_6/Interface/Cameras/GetJPEGStream?Camera=C.078&amp;AuthUser=siscop&amp;AuthPass=Siscop1234&amp;Width=1024&amp;Height=768&amp;Quality=70&amp;FPS=10&amp;ResponseFormat=Text</v>
      </c>
      <c r="P613" s="6">
        <v>1.0</v>
      </c>
    </row>
    <row r="614">
      <c r="A614" s="36" t="s">
        <v>2055</v>
      </c>
      <c r="B614" s="37" t="s">
        <v>2055</v>
      </c>
      <c r="C614" s="13" t="s">
        <v>2056</v>
      </c>
      <c r="D614" s="5">
        <v>8601.0</v>
      </c>
      <c r="E614" s="5" t="s">
        <v>2340</v>
      </c>
      <c r="F614" s="38" t="s">
        <v>2341</v>
      </c>
      <c r="G614" s="4" t="s">
        <v>2342</v>
      </c>
      <c r="H614" s="4" t="s">
        <v>2343</v>
      </c>
      <c r="I614" s="5" t="s">
        <v>8</v>
      </c>
      <c r="J614" s="5" t="s">
        <v>2061</v>
      </c>
      <c r="K614" s="5" t="s">
        <v>25</v>
      </c>
      <c r="L614" s="11" t="s">
        <v>26</v>
      </c>
      <c r="M614" s="5" t="s">
        <v>27</v>
      </c>
      <c r="N614" s="5" t="s">
        <v>2055</v>
      </c>
      <c r="O614" s="12" t="str">
        <f t="shared" si="2"/>
        <v>https://monitoramento.pm.pr.gov.br/proxy_image_6/Interface/Cameras/GetJPEGStream?Camera=C.079&amp;AuthUser=siscop&amp;AuthPass=Siscop1234&amp;Width=1024&amp;Height=768&amp;Quality=70&amp;FPS=10&amp;ResponseFormat=Text</v>
      </c>
      <c r="P614" s="6">
        <v>1.0</v>
      </c>
    </row>
    <row r="615">
      <c r="A615" s="36" t="s">
        <v>2055</v>
      </c>
      <c r="B615" s="37" t="s">
        <v>2055</v>
      </c>
      <c r="C615" s="13" t="s">
        <v>2056</v>
      </c>
      <c r="D615" s="5">
        <v>8601.0</v>
      </c>
      <c r="E615" s="5" t="s">
        <v>2344</v>
      </c>
      <c r="F615" s="38" t="s">
        <v>2345</v>
      </c>
      <c r="G615" s="4" t="s">
        <v>2346</v>
      </c>
      <c r="H615" s="4" t="s">
        <v>2347</v>
      </c>
      <c r="I615" s="5" t="s">
        <v>8</v>
      </c>
      <c r="J615" s="5" t="s">
        <v>2061</v>
      </c>
      <c r="K615" s="5" t="s">
        <v>25</v>
      </c>
      <c r="L615" s="11" t="s">
        <v>26</v>
      </c>
      <c r="M615" s="5" t="s">
        <v>27</v>
      </c>
      <c r="N615" s="5" t="s">
        <v>2055</v>
      </c>
      <c r="O615" s="12" t="str">
        <f t="shared" si="2"/>
        <v>https://monitoramento.pm.pr.gov.br/proxy_image_6/Interface/Cameras/GetJPEGStream?Camera=C.080&amp;AuthUser=siscop&amp;AuthPass=Siscop1234&amp;Width=1024&amp;Height=768&amp;Quality=70&amp;FPS=10&amp;ResponseFormat=Text</v>
      </c>
      <c r="P615" s="6">
        <v>1.0</v>
      </c>
    </row>
    <row r="616">
      <c r="A616" s="36" t="s">
        <v>2055</v>
      </c>
      <c r="B616" s="37" t="s">
        <v>2055</v>
      </c>
      <c r="C616" s="13" t="s">
        <v>2056</v>
      </c>
      <c r="D616" s="5">
        <v>8601.0</v>
      </c>
      <c r="E616" s="5" t="s">
        <v>2348</v>
      </c>
      <c r="F616" s="38" t="s">
        <v>2349</v>
      </c>
      <c r="G616" s="4" t="s">
        <v>2350</v>
      </c>
      <c r="H616" s="4" t="s">
        <v>2351</v>
      </c>
      <c r="I616" s="5" t="s">
        <v>8</v>
      </c>
      <c r="J616" s="5" t="s">
        <v>2061</v>
      </c>
      <c r="K616" s="5" t="s">
        <v>25</v>
      </c>
      <c r="L616" s="11" t="s">
        <v>26</v>
      </c>
      <c r="M616" s="5" t="s">
        <v>27</v>
      </c>
      <c r="N616" s="5" t="s">
        <v>2055</v>
      </c>
      <c r="O616" s="12" t="str">
        <f t="shared" si="2"/>
        <v>https://monitoramento.pm.pr.gov.br/proxy_image_6/Interface/Cameras/GetJPEGStream?Camera=C.081&amp;AuthUser=siscop&amp;AuthPass=Siscop1234&amp;Width=1024&amp;Height=768&amp;Quality=70&amp;FPS=10&amp;ResponseFormat=Text</v>
      </c>
      <c r="P616" s="6">
        <v>1.0</v>
      </c>
    </row>
    <row r="617">
      <c r="A617" s="36" t="s">
        <v>2055</v>
      </c>
      <c r="B617" s="37" t="s">
        <v>2055</v>
      </c>
      <c r="C617" s="13" t="s">
        <v>2056</v>
      </c>
      <c r="D617" s="5">
        <v>8601.0</v>
      </c>
      <c r="E617" s="5" t="s">
        <v>2352</v>
      </c>
      <c r="F617" s="38" t="s">
        <v>2353</v>
      </c>
      <c r="G617" s="4" t="s">
        <v>2354</v>
      </c>
      <c r="H617" s="4" t="s">
        <v>2355</v>
      </c>
      <c r="I617" s="5" t="s">
        <v>8</v>
      </c>
      <c r="J617" s="5" t="s">
        <v>2061</v>
      </c>
      <c r="K617" s="5" t="s">
        <v>25</v>
      </c>
      <c r="L617" s="11" t="s">
        <v>26</v>
      </c>
      <c r="M617" s="5" t="s">
        <v>27</v>
      </c>
      <c r="N617" s="5" t="s">
        <v>2055</v>
      </c>
      <c r="O617" s="12" t="str">
        <f t="shared" si="2"/>
        <v>https://monitoramento.pm.pr.gov.br/proxy_image_6/Interface/Cameras/GetJPEGStream?Camera=C.082&amp;AuthUser=siscop&amp;AuthPass=Siscop1234&amp;Width=1024&amp;Height=768&amp;Quality=70&amp;FPS=10&amp;ResponseFormat=Text</v>
      </c>
      <c r="P617" s="6">
        <v>1.0</v>
      </c>
    </row>
    <row r="618">
      <c r="A618" s="36" t="s">
        <v>2055</v>
      </c>
      <c r="B618" s="37" t="s">
        <v>2055</v>
      </c>
      <c r="C618" s="13" t="s">
        <v>2056</v>
      </c>
      <c r="D618" s="5">
        <v>8601.0</v>
      </c>
      <c r="E618" s="5" t="s">
        <v>2356</v>
      </c>
      <c r="F618" s="38" t="s">
        <v>2357</v>
      </c>
      <c r="G618" s="4" t="s">
        <v>2354</v>
      </c>
      <c r="H618" s="4" t="s">
        <v>2355</v>
      </c>
      <c r="I618" s="5" t="s">
        <v>8</v>
      </c>
      <c r="J618" s="5" t="s">
        <v>2061</v>
      </c>
      <c r="K618" s="5" t="s">
        <v>25</v>
      </c>
      <c r="L618" s="11" t="s">
        <v>26</v>
      </c>
      <c r="M618" s="5" t="s">
        <v>27</v>
      </c>
      <c r="N618" s="5" t="s">
        <v>2055</v>
      </c>
      <c r="O618" s="12" t="str">
        <f t="shared" si="2"/>
        <v>https://monitoramento.pm.pr.gov.br/proxy_image_6/Interface/Cameras/GetJPEGStream?Camera=C.083&amp;AuthUser=siscop&amp;AuthPass=Siscop1234&amp;Width=1024&amp;Height=768&amp;Quality=70&amp;FPS=10&amp;ResponseFormat=Text</v>
      </c>
      <c r="P618" s="6">
        <v>1.0</v>
      </c>
    </row>
    <row r="619">
      <c r="A619" s="36" t="s">
        <v>2055</v>
      </c>
      <c r="B619" s="37" t="s">
        <v>2055</v>
      </c>
      <c r="C619" s="13" t="s">
        <v>2056</v>
      </c>
      <c r="D619" s="5">
        <v>8601.0</v>
      </c>
      <c r="E619" s="5" t="s">
        <v>2358</v>
      </c>
      <c r="F619" s="38" t="s">
        <v>2359</v>
      </c>
      <c r="G619" s="4" t="s">
        <v>2360</v>
      </c>
      <c r="H619" s="4" t="s">
        <v>2361</v>
      </c>
      <c r="I619" s="5" t="s">
        <v>8</v>
      </c>
      <c r="J619" s="5" t="s">
        <v>2061</v>
      </c>
      <c r="K619" s="5" t="s">
        <v>25</v>
      </c>
      <c r="L619" s="11" t="s">
        <v>26</v>
      </c>
      <c r="M619" s="5" t="s">
        <v>27</v>
      </c>
      <c r="N619" s="5" t="s">
        <v>2055</v>
      </c>
      <c r="O619" s="12" t="str">
        <f t="shared" si="2"/>
        <v>https://monitoramento.pm.pr.gov.br/proxy_image_6/Interface/Cameras/GetJPEGStream?Camera=C.084&amp;AuthUser=siscop&amp;AuthPass=Siscop1234&amp;Width=1024&amp;Height=768&amp;Quality=70&amp;FPS=10&amp;ResponseFormat=Text</v>
      </c>
      <c r="P619" s="6">
        <v>1.0</v>
      </c>
    </row>
    <row r="620">
      <c r="A620" s="36" t="s">
        <v>2055</v>
      </c>
      <c r="B620" s="37" t="s">
        <v>2055</v>
      </c>
      <c r="C620" s="13" t="s">
        <v>2056</v>
      </c>
      <c r="D620" s="5">
        <v>8601.0</v>
      </c>
      <c r="E620" s="5" t="s">
        <v>2362</v>
      </c>
      <c r="F620" s="38" t="s">
        <v>2363</v>
      </c>
      <c r="G620" s="4" t="s">
        <v>2364</v>
      </c>
      <c r="H620" s="4" t="s">
        <v>2365</v>
      </c>
      <c r="I620" s="5" t="s">
        <v>8</v>
      </c>
      <c r="J620" s="5" t="s">
        <v>2061</v>
      </c>
      <c r="K620" s="5" t="s">
        <v>25</v>
      </c>
      <c r="L620" s="11" t="s">
        <v>26</v>
      </c>
      <c r="M620" s="5" t="s">
        <v>27</v>
      </c>
      <c r="N620" s="5" t="s">
        <v>2055</v>
      </c>
      <c r="O620" s="12" t="str">
        <f t="shared" si="2"/>
        <v>https://monitoramento.pm.pr.gov.br/proxy_image_6/Interface/Cameras/GetJPEGStream?Camera=C.085&amp;AuthUser=siscop&amp;AuthPass=Siscop1234&amp;Width=1024&amp;Height=768&amp;Quality=70&amp;FPS=10&amp;ResponseFormat=Text</v>
      </c>
      <c r="P620" s="6">
        <v>1.0</v>
      </c>
    </row>
    <row r="621">
      <c r="A621" s="36" t="s">
        <v>2055</v>
      </c>
      <c r="B621" s="37" t="s">
        <v>2055</v>
      </c>
      <c r="C621" s="13" t="s">
        <v>2056</v>
      </c>
      <c r="D621" s="5">
        <v>8601.0</v>
      </c>
      <c r="E621" s="5" t="s">
        <v>2366</v>
      </c>
      <c r="F621" s="38" t="s">
        <v>2367</v>
      </c>
      <c r="G621" s="4" t="s">
        <v>2368</v>
      </c>
      <c r="H621" s="4" t="s">
        <v>2369</v>
      </c>
      <c r="I621" s="5" t="s">
        <v>8</v>
      </c>
      <c r="J621" s="5" t="s">
        <v>2061</v>
      </c>
      <c r="K621" s="5" t="s">
        <v>25</v>
      </c>
      <c r="L621" s="11" t="s">
        <v>26</v>
      </c>
      <c r="M621" s="5" t="s">
        <v>27</v>
      </c>
      <c r="N621" s="5" t="s">
        <v>2055</v>
      </c>
      <c r="O621" s="12" t="str">
        <f t="shared" si="2"/>
        <v>https://monitoramento.pm.pr.gov.br/proxy_image_6/Interface/Cameras/GetJPEGStream?Camera=C.086&amp;AuthUser=siscop&amp;AuthPass=Siscop1234&amp;Width=1024&amp;Height=768&amp;Quality=70&amp;FPS=10&amp;ResponseFormat=Text</v>
      </c>
      <c r="P621" s="6">
        <v>1.0</v>
      </c>
    </row>
    <row r="622">
      <c r="A622" s="36" t="s">
        <v>2055</v>
      </c>
      <c r="B622" s="37" t="s">
        <v>2055</v>
      </c>
      <c r="C622" s="13" t="s">
        <v>2056</v>
      </c>
      <c r="D622" s="5">
        <v>8601.0</v>
      </c>
      <c r="E622" s="5" t="s">
        <v>2370</v>
      </c>
      <c r="F622" s="38" t="s">
        <v>2371</v>
      </c>
      <c r="G622" s="4" t="s">
        <v>2368</v>
      </c>
      <c r="H622" s="4" t="s">
        <v>2369</v>
      </c>
      <c r="I622" s="5" t="s">
        <v>8</v>
      </c>
      <c r="J622" s="5" t="s">
        <v>2061</v>
      </c>
      <c r="K622" s="5" t="s">
        <v>25</v>
      </c>
      <c r="L622" s="11" t="s">
        <v>26</v>
      </c>
      <c r="M622" s="5" t="s">
        <v>27</v>
      </c>
      <c r="N622" s="5" t="s">
        <v>2055</v>
      </c>
      <c r="O622" s="12" t="str">
        <f t="shared" si="2"/>
        <v>https://monitoramento.pm.pr.gov.br/proxy_image_6/Interface/Cameras/GetJPEGStream?Camera=C.087&amp;AuthUser=siscop&amp;AuthPass=Siscop1234&amp;Width=1024&amp;Height=768&amp;Quality=70&amp;FPS=10&amp;ResponseFormat=Text</v>
      </c>
      <c r="P622" s="6">
        <v>1.0</v>
      </c>
    </row>
    <row r="623">
      <c r="A623" s="36" t="s">
        <v>2055</v>
      </c>
      <c r="B623" s="37" t="s">
        <v>2055</v>
      </c>
      <c r="C623" s="13" t="s">
        <v>2056</v>
      </c>
      <c r="D623" s="5">
        <v>8601.0</v>
      </c>
      <c r="E623" s="5" t="s">
        <v>2372</v>
      </c>
      <c r="F623" s="38" t="s">
        <v>2373</v>
      </c>
      <c r="G623" s="4" t="s">
        <v>2374</v>
      </c>
      <c r="H623" s="4" t="s">
        <v>2375</v>
      </c>
      <c r="I623" s="5" t="s">
        <v>8</v>
      </c>
      <c r="J623" s="5" t="s">
        <v>2061</v>
      </c>
      <c r="K623" s="5" t="s">
        <v>25</v>
      </c>
      <c r="L623" s="11" t="s">
        <v>26</v>
      </c>
      <c r="M623" s="5" t="s">
        <v>27</v>
      </c>
      <c r="N623" s="5" t="s">
        <v>2055</v>
      </c>
      <c r="O623" s="12" t="str">
        <f t="shared" si="2"/>
        <v>https://monitoramento.pm.pr.gov.br/proxy_image_6/Interface/Cameras/GetJPEGStream?Camera=C.088&amp;AuthUser=siscop&amp;AuthPass=Siscop1234&amp;Width=1024&amp;Height=768&amp;Quality=70&amp;FPS=10&amp;ResponseFormat=Text</v>
      </c>
      <c r="P623" s="6">
        <v>1.0</v>
      </c>
    </row>
    <row r="624">
      <c r="A624" s="36" t="s">
        <v>2055</v>
      </c>
      <c r="B624" s="37" t="s">
        <v>2055</v>
      </c>
      <c r="C624" s="13" t="s">
        <v>2056</v>
      </c>
      <c r="D624" s="5">
        <v>8601.0</v>
      </c>
      <c r="E624" s="5" t="s">
        <v>2376</v>
      </c>
      <c r="F624" s="38" t="s">
        <v>2377</v>
      </c>
      <c r="G624" s="4" t="s">
        <v>2378</v>
      </c>
      <c r="H624" s="4" t="s">
        <v>2379</v>
      </c>
      <c r="I624" s="5" t="s">
        <v>8</v>
      </c>
      <c r="J624" s="5" t="s">
        <v>2061</v>
      </c>
      <c r="K624" s="5" t="s">
        <v>25</v>
      </c>
      <c r="L624" s="11" t="s">
        <v>26</v>
      </c>
      <c r="M624" s="5" t="s">
        <v>27</v>
      </c>
      <c r="N624" s="5" t="s">
        <v>2055</v>
      </c>
      <c r="O624" s="12" t="str">
        <f t="shared" si="2"/>
        <v>https://monitoramento.pm.pr.gov.br/proxy_image_6/Interface/Cameras/GetJPEGStream?Camera=C.089&amp;AuthUser=siscop&amp;AuthPass=Siscop1234&amp;Width=1024&amp;Height=768&amp;Quality=70&amp;FPS=10&amp;ResponseFormat=Text</v>
      </c>
      <c r="P624" s="6">
        <v>1.0</v>
      </c>
    </row>
    <row r="625">
      <c r="A625" s="36" t="s">
        <v>2055</v>
      </c>
      <c r="B625" s="37" t="s">
        <v>2055</v>
      </c>
      <c r="C625" s="13" t="s">
        <v>2056</v>
      </c>
      <c r="D625" s="5">
        <v>8601.0</v>
      </c>
      <c r="E625" s="5" t="s">
        <v>2380</v>
      </c>
      <c r="F625" s="38" t="s">
        <v>2381</v>
      </c>
      <c r="G625" s="4" t="s">
        <v>2382</v>
      </c>
      <c r="H625" s="4" t="s">
        <v>2383</v>
      </c>
      <c r="I625" s="5" t="s">
        <v>8</v>
      </c>
      <c r="J625" s="5" t="s">
        <v>2061</v>
      </c>
      <c r="K625" s="5" t="s">
        <v>25</v>
      </c>
      <c r="L625" s="11" t="s">
        <v>26</v>
      </c>
      <c r="M625" s="5" t="s">
        <v>27</v>
      </c>
      <c r="N625" s="5" t="s">
        <v>2055</v>
      </c>
      <c r="O625" s="12" t="str">
        <f t="shared" si="2"/>
        <v>https://monitoramento.pm.pr.gov.br/proxy_image_6/Interface/Cameras/GetJPEGStream?Camera=C.090&amp;AuthUser=siscop&amp;AuthPass=Siscop1234&amp;Width=1024&amp;Height=768&amp;Quality=70&amp;FPS=10&amp;ResponseFormat=Text</v>
      </c>
      <c r="P625" s="6">
        <v>1.0</v>
      </c>
    </row>
    <row r="626">
      <c r="A626" s="36" t="s">
        <v>2055</v>
      </c>
      <c r="B626" s="37" t="s">
        <v>2055</v>
      </c>
      <c r="C626" s="13" t="s">
        <v>2056</v>
      </c>
      <c r="D626" s="5">
        <v>8601.0</v>
      </c>
      <c r="E626" s="5" t="s">
        <v>2384</v>
      </c>
      <c r="F626" s="38" t="s">
        <v>2385</v>
      </c>
      <c r="G626" s="4" t="s">
        <v>2386</v>
      </c>
      <c r="H626" s="4" t="s">
        <v>2387</v>
      </c>
      <c r="I626" s="5" t="s">
        <v>8</v>
      </c>
      <c r="J626" s="5" t="s">
        <v>2061</v>
      </c>
      <c r="K626" s="5" t="s">
        <v>25</v>
      </c>
      <c r="L626" s="11" t="s">
        <v>26</v>
      </c>
      <c r="M626" s="5" t="s">
        <v>27</v>
      </c>
      <c r="N626" s="5" t="s">
        <v>2055</v>
      </c>
      <c r="O626" s="12" t="str">
        <f t="shared" si="2"/>
        <v>https://monitoramento.pm.pr.gov.br/proxy_image_6/Interface/Cameras/GetJPEGStream?Camera=C.091&amp;AuthUser=siscop&amp;AuthPass=Siscop1234&amp;Width=1024&amp;Height=768&amp;Quality=70&amp;FPS=10&amp;ResponseFormat=Text</v>
      </c>
      <c r="P626" s="6">
        <v>1.0</v>
      </c>
    </row>
    <row r="627">
      <c r="A627" s="36" t="s">
        <v>2055</v>
      </c>
      <c r="B627" s="37" t="s">
        <v>2055</v>
      </c>
      <c r="C627" s="13" t="s">
        <v>2056</v>
      </c>
      <c r="D627" s="5">
        <v>8601.0</v>
      </c>
      <c r="E627" s="5" t="s">
        <v>2388</v>
      </c>
      <c r="F627" s="38" t="s">
        <v>2389</v>
      </c>
      <c r="G627" s="4" t="s">
        <v>2390</v>
      </c>
      <c r="H627" s="4" t="s">
        <v>2391</v>
      </c>
      <c r="I627" s="5" t="s">
        <v>8</v>
      </c>
      <c r="J627" s="5" t="s">
        <v>2061</v>
      </c>
      <c r="K627" s="5" t="s">
        <v>25</v>
      </c>
      <c r="L627" s="11" t="s">
        <v>26</v>
      </c>
      <c r="M627" s="5" t="s">
        <v>27</v>
      </c>
      <c r="N627" s="5" t="s">
        <v>2055</v>
      </c>
      <c r="O627" s="12" t="str">
        <f t="shared" si="2"/>
        <v>https://monitoramento.pm.pr.gov.br/proxy_image_6/Interface/Cameras/GetJPEGStream?Camera=C.092&amp;AuthUser=siscop&amp;AuthPass=Siscop1234&amp;Width=1024&amp;Height=768&amp;Quality=70&amp;FPS=10&amp;ResponseFormat=Text</v>
      </c>
      <c r="P627" s="6">
        <v>1.0</v>
      </c>
    </row>
    <row r="628">
      <c r="A628" s="36" t="s">
        <v>2055</v>
      </c>
      <c r="B628" s="37" t="s">
        <v>2055</v>
      </c>
      <c r="C628" s="13" t="s">
        <v>2056</v>
      </c>
      <c r="D628" s="5">
        <v>8601.0</v>
      </c>
      <c r="E628" s="5" t="s">
        <v>2392</v>
      </c>
      <c r="F628" s="38" t="s">
        <v>2393</v>
      </c>
      <c r="G628" s="4" t="s">
        <v>2394</v>
      </c>
      <c r="H628" s="4" t="s">
        <v>2395</v>
      </c>
      <c r="I628" s="5" t="s">
        <v>8</v>
      </c>
      <c r="J628" s="5" t="s">
        <v>2061</v>
      </c>
      <c r="K628" s="5" t="s">
        <v>25</v>
      </c>
      <c r="L628" s="11" t="s">
        <v>26</v>
      </c>
      <c r="M628" s="5" t="s">
        <v>27</v>
      </c>
      <c r="N628" s="5" t="s">
        <v>2055</v>
      </c>
      <c r="O628" s="12" t="str">
        <f t="shared" si="2"/>
        <v>https://monitoramento.pm.pr.gov.br/proxy_image_6/Interface/Cameras/GetJPEGStream?Camera=C.093&amp;AuthUser=siscop&amp;AuthPass=Siscop1234&amp;Width=1024&amp;Height=768&amp;Quality=70&amp;FPS=10&amp;ResponseFormat=Text</v>
      </c>
      <c r="P628" s="6">
        <v>1.0</v>
      </c>
    </row>
    <row r="629">
      <c r="A629" s="36" t="s">
        <v>2055</v>
      </c>
      <c r="B629" s="37" t="s">
        <v>2055</v>
      </c>
      <c r="C629" s="13" t="s">
        <v>2056</v>
      </c>
      <c r="D629" s="5">
        <v>8601.0</v>
      </c>
      <c r="E629" s="5" t="s">
        <v>2396</v>
      </c>
      <c r="F629" s="38" t="s">
        <v>2397</v>
      </c>
      <c r="G629" s="4" t="s">
        <v>2398</v>
      </c>
      <c r="H629" s="4" t="s">
        <v>2399</v>
      </c>
      <c r="I629" s="5" t="s">
        <v>8</v>
      </c>
      <c r="J629" s="5" t="s">
        <v>2061</v>
      </c>
      <c r="K629" s="5" t="s">
        <v>25</v>
      </c>
      <c r="L629" s="11" t="s">
        <v>26</v>
      </c>
      <c r="M629" s="5" t="s">
        <v>27</v>
      </c>
      <c r="N629" s="5" t="s">
        <v>2055</v>
      </c>
      <c r="O629" s="12" t="str">
        <f t="shared" si="2"/>
        <v>https://monitoramento.pm.pr.gov.br/proxy_image_6/Interface/Cameras/GetJPEGStream?Camera=C.094&amp;AuthUser=siscop&amp;AuthPass=Siscop1234&amp;Width=1024&amp;Height=768&amp;Quality=70&amp;FPS=10&amp;ResponseFormat=Text</v>
      </c>
      <c r="P629" s="6">
        <v>1.0</v>
      </c>
    </row>
    <row r="630">
      <c r="A630" s="36" t="s">
        <v>2055</v>
      </c>
      <c r="B630" s="37" t="s">
        <v>2055</v>
      </c>
      <c r="C630" s="13" t="s">
        <v>2056</v>
      </c>
      <c r="D630" s="5">
        <v>8601.0</v>
      </c>
      <c r="E630" s="5" t="s">
        <v>2400</v>
      </c>
      <c r="F630" s="38" t="s">
        <v>2401</v>
      </c>
      <c r="G630" s="4" t="s">
        <v>2402</v>
      </c>
      <c r="H630" s="4" t="s">
        <v>2403</v>
      </c>
      <c r="I630" s="5" t="s">
        <v>8</v>
      </c>
      <c r="J630" s="5" t="s">
        <v>2061</v>
      </c>
      <c r="K630" s="5" t="s">
        <v>25</v>
      </c>
      <c r="L630" s="11" t="s">
        <v>26</v>
      </c>
      <c r="M630" s="5" t="s">
        <v>27</v>
      </c>
      <c r="N630" s="5" t="s">
        <v>2055</v>
      </c>
      <c r="O630" s="12" t="str">
        <f t="shared" si="2"/>
        <v>https://monitoramento.pm.pr.gov.br/proxy_image_6/Interface/Cameras/GetJPEGStream?Camera=C.095&amp;AuthUser=siscop&amp;AuthPass=Siscop1234&amp;Width=1024&amp;Height=768&amp;Quality=70&amp;FPS=10&amp;ResponseFormat=Text</v>
      </c>
      <c r="P630" s="6">
        <v>1.0</v>
      </c>
    </row>
    <row r="631">
      <c r="A631" s="36" t="s">
        <v>2055</v>
      </c>
      <c r="B631" s="37" t="s">
        <v>2055</v>
      </c>
      <c r="C631" s="13" t="s">
        <v>2056</v>
      </c>
      <c r="D631" s="5">
        <v>8601.0</v>
      </c>
      <c r="E631" s="5" t="s">
        <v>2404</v>
      </c>
      <c r="F631" s="38" t="s">
        <v>2405</v>
      </c>
      <c r="G631" s="4" t="s">
        <v>2406</v>
      </c>
      <c r="H631" s="4" t="s">
        <v>2407</v>
      </c>
      <c r="I631" s="5" t="s">
        <v>8</v>
      </c>
      <c r="J631" s="5" t="s">
        <v>2061</v>
      </c>
      <c r="K631" s="5" t="s">
        <v>25</v>
      </c>
      <c r="L631" s="11" t="s">
        <v>26</v>
      </c>
      <c r="M631" s="5" t="s">
        <v>27</v>
      </c>
      <c r="N631" s="5" t="s">
        <v>2055</v>
      </c>
      <c r="O631" s="12" t="str">
        <f t="shared" si="2"/>
        <v>https://monitoramento.pm.pr.gov.br/proxy_image_6/Interface/Cameras/GetJPEGStream?Camera=C.096&amp;AuthUser=siscop&amp;AuthPass=Siscop1234&amp;Width=1024&amp;Height=768&amp;Quality=70&amp;FPS=10&amp;ResponseFormat=Text</v>
      </c>
      <c r="P631" s="6">
        <v>1.0</v>
      </c>
    </row>
    <row r="632">
      <c r="A632" s="36" t="s">
        <v>2055</v>
      </c>
      <c r="B632" s="37" t="s">
        <v>2055</v>
      </c>
      <c r="C632" s="13" t="s">
        <v>2056</v>
      </c>
      <c r="D632" s="5">
        <v>8601.0</v>
      </c>
      <c r="E632" s="5" t="s">
        <v>2408</v>
      </c>
      <c r="F632" s="38" t="s">
        <v>2409</v>
      </c>
      <c r="G632" s="4" t="s">
        <v>2406</v>
      </c>
      <c r="H632" s="4" t="s">
        <v>2407</v>
      </c>
      <c r="I632" s="5" t="s">
        <v>8</v>
      </c>
      <c r="J632" s="5" t="s">
        <v>2061</v>
      </c>
      <c r="K632" s="5" t="s">
        <v>25</v>
      </c>
      <c r="L632" s="11" t="s">
        <v>26</v>
      </c>
      <c r="M632" s="5" t="s">
        <v>27</v>
      </c>
      <c r="N632" s="5" t="s">
        <v>2055</v>
      </c>
      <c r="O632" s="12" t="str">
        <f t="shared" si="2"/>
        <v>https://monitoramento.pm.pr.gov.br/proxy_image_6/Interface/Cameras/GetJPEGStream?Camera=C.097&amp;AuthUser=siscop&amp;AuthPass=Siscop1234&amp;Width=1024&amp;Height=768&amp;Quality=70&amp;FPS=10&amp;ResponseFormat=Text</v>
      </c>
      <c r="P632" s="6">
        <v>1.0</v>
      </c>
    </row>
    <row r="633">
      <c r="A633" s="36" t="s">
        <v>2055</v>
      </c>
      <c r="B633" s="37" t="s">
        <v>2055</v>
      </c>
      <c r="C633" s="13" t="s">
        <v>2056</v>
      </c>
      <c r="D633" s="5">
        <v>8601.0</v>
      </c>
      <c r="E633" s="5" t="s">
        <v>2410</v>
      </c>
      <c r="F633" s="38" t="s">
        <v>2411</v>
      </c>
      <c r="G633" s="4" t="s">
        <v>2406</v>
      </c>
      <c r="H633" s="4" t="s">
        <v>2407</v>
      </c>
      <c r="I633" s="5" t="s">
        <v>8</v>
      </c>
      <c r="J633" s="5" t="s">
        <v>2061</v>
      </c>
      <c r="K633" s="5" t="s">
        <v>25</v>
      </c>
      <c r="L633" s="11" t="s">
        <v>26</v>
      </c>
      <c r="M633" s="5" t="s">
        <v>27</v>
      </c>
      <c r="N633" s="5" t="s">
        <v>2055</v>
      </c>
      <c r="O633" s="12" t="str">
        <f t="shared" si="2"/>
        <v>https://monitoramento.pm.pr.gov.br/proxy_image_6/Interface/Cameras/GetJPEGStream?Camera=C.098&amp;AuthUser=siscop&amp;AuthPass=Siscop1234&amp;Width=1024&amp;Height=768&amp;Quality=70&amp;FPS=10&amp;ResponseFormat=Text</v>
      </c>
      <c r="P633" s="6">
        <v>1.0</v>
      </c>
    </row>
    <row r="634">
      <c r="A634" s="36" t="s">
        <v>2055</v>
      </c>
      <c r="B634" s="37" t="s">
        <v>2055</v>
      </c>
      <c r="C634" s="13" t="s">
        <v>2056</v>
      </c>
      <c r="D634" s="5">
        <v>8601.0</v>
      </c>
      <c r="E634" s="5" t="s">
        <v>2412</v>
      </c>
      <c r="F634" s="38" t="s">
        <v>2413</v>
      </c>
      <c r="G634" s="4" t="s">
        <v>2406</v>
      </c>
      <c r="H634" s="4" t="s">
        <v>2407</v>
      </c>
      <c r="I634" s="5" t="s">
        <v>8</v>
      </c>
      <c r="J634" s="5" t="s">
        <v>2061</v>
      </c>
      <c r="K634" s="5" t="s">
        <v>25</v>
      </c>
      <c r="L634" s="11" t="s">
        <v>26</v>
      </c>
      <c r="M634" s="5" t="s">
        <v>27</v>
      </c>
      <c r="N634" s="5" t="s">
        <v>2055</v>
      </c>
      <c r="O634" s="12" t="str">
        <f t="shared" si="2"/>
        <v>https://monitoramento.pm.pr.gov.br/proxy_image_6/Interface/Cameras/GetJPEGStream?Camera=C.099&amp;AuthUser=siscop&amp;AuthPass=Siscop1234&amp;Width=1024&amp;Height=768&amp;Quality=70&amp;FPS=10&amp;ResponseFormat=Text</v>
      </c>
      <c r="P634" s="6">
        <v>1.0</v>
      </c>
    </row>
    <row r="635">
      <c r="A635" s="36" t="s">
        <v>2055</v>
      </c>
      <c r="B635" s="37" t="s">
        <v>2055</v>
      </c>
      <c r="C635" s="13" t="s">
        <v>2056</v>
      </c>
      <c r="D635" s="5">
        <v>8601.0</v>
      </c>
      <c r="E635" s="5" t="s">
        <v>2414</v>
      </c>
      <c r="F635" s="38" t="s">
        <v>2415</v>
      </c>
      <c r="G635" s="4" t="s">
        <v>2416</v>
      </c>
      <c r="H635" s="4" t="s">
        <v>2417</v>
      </c>
      <c r="I635" s="5" t="s">
        <v>8</v>
      </c>
      <c r="J635" s="5" t="s">
        <v>2061</v>
      </c>
      <c r="K635" s="5" t="s">
        <v>25</v>
      </c>
      <c r="L635" s="11" t="s">
        <v>26</v>
      </c>
      <c r="M635" s="5" t="s">
        <v>27</v>
      </c>
      <c r="N635" s="5" t="s">
        <v>2055</v>
      </c>
      <c r="O635" s="12" t="str">
        <f t="shared" si="2"/>
        <v>https://monitoramento.pm.pr.gov.br/proxy_image_6/Interface/Cameras/GetJPEGStream?Camera=C.100&amp;AuthUser=siscop&amp;AuthPass=Siscop1234&amp;Width=1024&amp;Height=768&amp;Quality=70&amp;FPS=10&amp;ResponseFormat=Text</v>
      </c>
      <c r="P635" s="6">
        <v>1.0</v>
      </c>
    </row>
    <row r="636">
      <c r="A636" s="36" t="s">
        <v>2055</v>
      </c>
      <c r="B636" s="37" t="s">
        <v>2055</v>
      </c>
      <c r="C636" s="13" t="s">
        <v>2056</v>
      </c>
      <c r="D636" s="5">
        <v>8601.0</v>
      </c>
      <c r="E636" s="5" t="s">
        <v>2418</v>
      </c>
      <c r="F636" s="38" t="s">
        <v>2419</v>
      </c>
      <c r="G636" s="4" t="s">
        <v>2420</v>
      </c>
      <c r="H636" s="4" t="s">
        <v>2421</v>
      </c>
      <c r="I636" s="5" t="s">
        <v>8</v>
      </c>
      <c r="J636" s="5" t="s">
        <v>2061</v>
      </c>
      <c r="K636" s="5" t="s">
        <v>25</v>
      </c>
      <c r="L636" s="11" t="s">
        <v>26</v>
      </c>
      <c r="M636" s="5" t="s">
        <v>27</v>
      </c>
      <c r="N636" s="5" t="s">
        <v>2055</v>
      </c>
      <c r="O636" s="12" t="str">
        <f t="shared" si="2"/>
        <v>https://monitoramento.pm.pr.gov.br/proxy_image_6/Interface/Cameras/GetJPEGStream?Camera=C.101&amp;AuthUser=siscop&amp;AuthPass=Siscop1234&amp;Width=1024&amp;Height=768&amp;Quality=70&amp;FPS=10&amp;ResponseFormat=Text</v>
      </c>
      <c r="P636" s="6">
        <v>1.0</v>
      </c>
    </row>
    <row r="637">
      <c r="A637" s="36" t="s">
        <v>2055</v>
      </c>
      <c r="B637" s="37" t="s">
        <v>2055</v>
      </c>
      <c r="C637" s="13" t="s">
        <v>2056</v>
      </c>
      <c r="D637" s="5">
        <v>8601.0</v>
      </c>
      <c r="E637" s="5" t="s">
        <v>2422</v>
      </c>
      <c r="F637" s="38" t="s">
        <v>2423</v>
      </c>
      <c r="G637" s="4" t="s">
        <v>2424</v>
      </c>
      <c r="H637" s="4" t="s">
        <v>2425</v>
      </c>
      <c r="I637" s="5" t="s">
        <v>8</v>
      </c>
      <c r="J637" s="5" t="s">
        <v>2061</v>
      </c>
      <c r="K637" s="5" t="s">
        <v>25</v>
      </c>
      <c r="L637" s="11" t="s">
        <v>26</v>
      </c>
      <c r="M637" s="5" t="s">
        <v>27</v>
      </c>
      <c r="N637" s="5" t="s">
        <v>2055</v>
      </c>
      <c r="O637" s="12" t="str">
        <f t="shared" si="2"/>
        <v>https://monitoramento.pm.pr.gov.br/proxy_image_6/Interface/Cameras/GetJPEGStream?Camera=C.102&amp;AuthUser=siscop&amp;AuthPass=Siscop1234&amp;Width=1024&amp;Height=768&amp;Quality=70&amp;FPS=10&amp;ResponseFormat=Text</v>
      </c>
      <c r="P637" s="6">
        <v>1.0</v>
      </c>
    </row>
    <row r="638">
      <c r="A638" s="36" t="s">
        <v>2055</v>
      </c>
      <c r="B638" s="37" t="s">
        <v>2055</v>
      </c>
      <c r="C638" s="13" t="s">
        <v>2056</v>
      </c>
      <c r="D638" s="5">
        <v>8601.0</v>
      </c>
      <c r="E638" s="5" t="s">
        <v>2426</v>
      </c>
      <c r="F638" s="38" t="s">
        <v>2427</v>
      </c>
      <c r="G638" s="4" t="s">
        <v>2428</v>
      </c>
      <c r="H638" s="4" t="s">
        <v>2429</v>
      </c>
      <c r="I638" s="5" t="s">
        <v>8</v>
      </c>
      <c r="J638" s="5" t="s">
        <v>2061</v>
      </c>
      <c r="K638" s="5" t="s">
        <v>25</v>
      </c>
      <c r="L638" s="11" t="s">
        <v>26</v>
      </c>
      <c r="M638" s="5" t="s">
        <v>27</v>
      </c>
      <c r="N638" s="5" t="s">
        <v>2055</v>
      </c>
      <c r="O638" s="12" t="str">
        <f t="shared" si="2"/>
        <v>https://monitoramento.pm.pr.gov.br/proxy_image_6/Interface/Cameras/GetJPEGStream?Camera=C.103&amp;AuthUser=siscop&amp;AuthPass=Siscop1234&amp;Width=1024&amp;Height=768&amp;Quality=70&amp;FPS=10&amp;ResponseFormat=Text</v>
      </c>
      <c r="P638" s="6">
        <v>1.0</v>
      </c>
    </row>
    <row r="639">
      <c r="A639" s="36" t="s">
        <v>2055</v>
      </c>
      <c r="B639" s="37" t="s">
        <v>2055</v>
      </c>
      <c r="C639" s="13" t="s">
        <v>2056</v>
      </c>
      <c r="D639" s="5">
        <v>8601.0</v>
      </c>
      <c r="E639" s="5" t="s">
        <v>2430</v>
      </c>
      <c r="F639" s="38" t="s">
        <v>2431</v>
      </c>
      <c r="G639" s="4" t="s">
        <v>2432</v>
      </c>
      <c r="H639" s="4" t="s">
        <v>2433</v>
      </c>
      <c r="I639" s="5" t="s">
        <v>8</v>
      </c>
      <c r="J639" s="5" t="s">
        <v>2061</v>
      </c>
      <c r="K639" s="5" t="s">
        <v>25</v>
      </c>
      <c r="L639" s="11" t="s">
        <v>26</v>
      </c>
      <c r="M639" s="5" t="s">
        <v>27</v>
      </c>
      <c r="N639" s="5" t="s">
        <v>2055</v>
      </c>
      <c r="O639" s="12" t="str">
        <f t="shared" si="2"/>
        <v>https://monitoramento.pm.pr.gov.br/proxy_image_6/Interface/Cameras/GetJPEGStream?Camera=C.104&amp;AuthUser=siscop&amp;AuthPass=Siscop1234&amp;Width=1024&amp;Height=768&amp;Quality=70&amp;FPS=10&amp;ResponseFormat=Text</v>
      </c>
      <c r="P639" s="6">
        <v>1.0</v>
      </c>
    </row>
    <row r="640">
      <c r="A640" s="36" t="s">
        <v>2055</v>
      </c>
      <c r="B640" s="37" t="s">
        <v>2055</v>
      </c>
      <c r="C640" s="13" t="s">
        <v>2056</v>
      </c>
      <c r="D640" s="5">
        <v>8601.0</v>
      </c>
      <c r="E640" s="5" t="s">
        <v>2434</v>
      </c>
      <c r="F640" s="38" t="s">
        <v>2435</v>
      </c>
      <c r="G640" s="4" t="s">
        <v>2436</v>
      </c>
      <c r="H640" s="4" t="s">
        <v>2437</v>
      </c>
      <c r="I640" s="5" t="s">
        <v>8</v>
      </c>
      <c r="J640" s="5" t="s">
        <v>2061</v>
      </c>
      <c r="K640" s="5" t="s">
        <v>25</v>
      </c>
      <c r="L640" s="11" t="s">
        <v>26</v>
      </c>
      <c r="M640" s="5" t="s">
        <v>27</v>
      </c>
      <c r="N640" s="5" t="s">
        <v>2055</v>
      </c>
      <c r="O640" s="12" t="str">
        <f t="shared" si="2"/>
        <v>https://monitoramento.pm.pr.gov.br/proxy_image_6/Interface/Cameras/GetJPEGStream?Camera=C.105&amp;AuthUser=siscop&amp;AuthPass=Siscop1234&amp;Width=1024&amp;Height=768&amp;Quality=70&amp;FPS=10&amp;ResponseFormat=Text</v>
      </c>
      <c r="P640" s="6">
        <v>1.0</v>
      </c>
    </row>
    <row r="641">
      <c r="A641" s="36" t="s">
        <v>2055</v>
      </c>
      <c r="B641" s="37" t="s">
        <v>2055</v>
      </c>
      <c r="C641" s="13" t="s">
        <v>2056</v>
      </c>
      <c r="D641" s="5">
        <v>8601.0</v>
      </c>
      <c r="E641" s="5" t="s">
        <v>2438</v>
      </c>
      <c r="F641" s="38" t="s">
        <v>2439</v>
      </c>
      <c r="G641" s="4" t="s">
        <v>2440</v>
      </c>
      <c r="H641" s="4" t="s">
        <v>2441</v>
      </c>
      <c r="I641" s="5" t="s">
        <v>8</v>
      </c>
      <c r="J641" s="5" t="s">
        <v>2061</v>
      </c>
      <c r="K641" s="5" t="s">
        <v>25</v>
      </c>
      <c r="L641" s="11" t="s">
        <v>26</v>
      </c>
      <c r="M641" s="5" t="s">
        <v>27</v>
      </c>
      <c r="N641" s="5" t="s">
        <v>2055</v>
      </c>
      <c r="O641" s="12" t="str">
        <f t="shared" si="2"/>
        <v>https://monitoramento.pm.pr.gov.br/proxy_image_6/Interface/Cameras/GetJPEGStream?Camera=C.106&amp;AuthUser=siscop&amp;AuthPass=Siscop1234&amp;Width=1024&amp;Height=768&amp;Quality=70&amp;FPS=10&amp;ResponseFormat=Text</v>
      </c>
      <c r="P641" s="6">
        <v>1.0</v>
      </c>
    </row>
    <row r="642">
      <c r="A642" s="36" t="s">
        <v>2055</v>
      </c>
      <c r="B642" s="37" t="s">
        <v>2055</v>
      </c>
      <c r="C642" s="13" t="s">
        <v>2056</v>
      </c>
      <c r="D642" s="5">
        <v>8601.0</v>
      </c>
      <c r="E642" s="5" t="s">
        <v>2442</v>
      </c>
      <c r="F642" s="38" t="s">
        <v>2443</v>
      </c>
      <c r="G642" s="4" t="s">
        <v>2444</v>
      </c>
      <c r="H642" s="4" t="s">
        <v>2445</v>
      </c>
      <c r="I642" s="5" t="s">
        <v>8</v>
      </c>
      <c r="J642" s="5" t="s">
        <v>2061</v>
      </c>
      <c r="K642" s="5" t="s">
        <v>25</v>
      </c>
      <c r="L642" s="11" t="s">
        <v>26</v>
      </c>
      <c r="M642" s="5" t="s">
        <v>27</v>
      </c>
      <c r="N642" s="5" t="s">
        <v>2055</v>
      </c>
      <c r="O642" s="12" t="str">
        <f t="shared" si="2"/>
        <v>https://monitoramento.pm.pr.gov.br/proxy_image_6/Interface/Cameras/GetJPEGStream?Camera=C.107&amp;AuthUser=siscop&amp;AuthPass=Siscop1234&amp;Width=1024&amp;Height=768&amp;Quality=70&amp;FPS=10&amp;ResponseFormat=Text</v>
      </c>
      <c r="P642" s="6">
        <v>1.0</v>
      </c>
    </row>
    <row r="643">
      <c r="A643" s="36" t="s">
        <v>2055</v>
      </c>
      <c r="B643" s="37" t="s">
        <v>2055</v>
      </c>
      <c r="C643" s="13" t="s">
        <v>2056</v>
      </c>
      <c r="D643" s="5">
        <v>8601.0</v>
      </c>
      <c r="E643" s="5" t="s">
        <v>2446</v>
      </c>
      <c r="F643" s="38" t="s">
        <v>2447</v>
      </c>
      <c r="G643" s="4" t="s">
        <v>2448</v>
      </c>
      <c r="H643" s="4" t="s">
        <v>2449</v>
      </c>
      <c r="I643" s="5" t="s">
        <v>8</v>
      </c>
      <c r="J643" s="5" t="s">
        <v>2061</v>
      </c>
      <c r="K643" s="5" t="s">
        <v>25</v>
      </c>
      <c r="L643" s="11" t="s">
        <v>26</v>
      </c>
      <c r="M643" s="5" t="s">
        <v>27</v>
      </c>
      <c r="N643" s="5" t="s">
        <v>2055</v>
      </c>
      <c r="O643" s="12" t="str">
        <f t="shared" si="2"/>
        <v>https://monitoramento.pm.pr.gov.br/proxy_image_6/Interface/Cameras/GetJPEGStream?Camera=C.108&amp;AuthUser=siscop&amp;AuthPass=Siscop1234&amp;Width=1024&amp;Height=768&amp;Quality=70&amp;FPS=10&amp;ResponseFormat=Text</v>
      </c>
      <c r="P643" s="6">
        <v>1.0</v>
      </c>
    </row>
    <row r="644">
      <c r="A644" s="36" t="s">
        <v>2055</v>
      </c>
      <c r="B644" s="37" t="s">
        <v>2055</v>
      </c>
      <c r="C644" s="13" t="s">
        <v>2056</v>
      </c>
      <c r="D644" s="5">
        <v>8601.0</v>
      </c>
      <c r="E644" s="5" t="s">
        <v>2450</v>
      </c>
      <c r="F644" s="38" t="s">
        <v>2451</v>
      </c>
      <c r="G644" s="4" t="s">
        <v>2452</v>
      </c>
      <c r="H644" s="4" t="s">
        <v>2453</v>
      </c>
      <c r="I644" s="5" t="s">
        <v>8</v>
      </c>
      <c r="J644" s="5" t="s">
        <v>2061</v>
      </c>
      <c r="K644" s="5" t="s">
        <v>25</v>
      </c>
      <c r="L644" s="11" t="s">
        <v>26</v>
      </c>
      <c r="M644" s="5" t="s">
        <v>27</v>
      </c>
      <c r="N644" s="5" t="s">
        <v>2055</v>
      </c>
      <c r="O644" s="12" t="str">
        <f t="shared" si="2"/>
        <v>https://monitoramento.pm.pr.gov.br/proxy_image_6/Interface/Cameras/GetJPEGStream?Camera=C.109&amp;AuthUser=siscop&amp;AuthPass=Siscop1234&amp;Width=1024&amp;Height=768&amp;Quality=70&amp;FPS=10&amp;ResponseFormat=Text</v>
      </c>
      <c r="P644" s="6">
        <v>1.0</v>
      </c>
    </row>
    <row r="645">
      <c r="A645" s="36" t="s">
        <v>2055</v>
      </c>
      <c r="B645" s="37" t="s">
        <v>2055</v>
      </c>
      <c r="C645" s="13" t="s">
        <v>2056</v>
      </c>
      <c r="D645" s="5">
        <v>8601.0</v>
      </c>
      <c r="E645" s="5" t="s">
        <v>2454</v>
      </c>
      <c r="F645" s="38" t="s">
        <v>2455</v>
      </c>
      <c r="G645" s="4" t="s">
        <v>2456</v>
      </c>
      <c r="H645" s="4" t="s">
        <v>2457</v>
      </c>
      <c r="I645" s="5" t="s">
        <v>8</v>
      </c>
      <c r="J645" s="5" t="s">
        <v>2061</v>
      </c>
      <c r="K645" s="5" t="s">
        <v>25</v>
      </c>
      <c r="L645" s="11" t="s">
        <v>26</v>
      </c>
      <c r="M645" s="5" t="s">
        <v>27</v>
      </c>
      <c r="N645" s="5" t="s">
        <v>2055</v>
      </c>
      <c r="O645" s="12" t="str">
        <f t="shared" si="2"/>
        <v>https://monitoramento.pm.pr.gov.br/proxy_image_6/Interface/Cameras/GetJPEGStream?Camera=C.110&amp;AuthUser=siscop&amp;AuthPass=Siscop1234&amp;Width=1024&amp;Height=768&amp;Quality=70&amp;FPS=10&amp;ResponseFormat=Text</v>
      </c>
      <c r="P645" s="6">
        <v>1.0</v>
      </c>
    </row>
    <row r="646">
      <c r="A646" s="36" t="s">
        <v>2055</v>
      </c>
      <c r="B646" s="37" t="s">
        <v>2055</v>
      </c>
      <c r="C646" s="13" t="s">
        <v>2056</v>
      </c>
      <c r="D646" s="5">
        <v>8601.0</v>
      </c>
      <c r="E646" s="5" t="s">
        <v>2458</v>
      </c>
      <c r="F646" s="38" t="s">
        <v>2459</v>
      </c>
      <c r="G646" s="4" t="s">
        <v>2460</v>
      </c>
      <c r="H646" s="4" t="s">
        <v>2461</v>
      </c>
      <c r="I646" s="5" t="s">
        <v>8</v>
      </c>
      <c r="J646" s="5" t="s">
        <v>2061</v>
      </c>
      <c r="K646" s="5" t="s">
        <v>25</v>
      </c>
      <c r="L646" s="11" t="s">
        <v>26</v>
      </c>
      <c r="M646" s="5" t="s">
        <v>27</v>
      </c>
      <c r="N646" s="5" t="s">
        <v>2055</v>
      </c>
      <c r="O646" s="12" t="str">
        <f t="shared" si="2"/>
        <v>https://monitoramento.pm.pr.gov.br/proxy_image_6/Interface/Cameras/GetJPEGStream?Camera=C.111&amp;AuthUser=siscop&amp;AuthPass=Siscop1234&amp;Width=1024&amp;Height=768&amp;Quality=70&amp;FPS=10&amp;ResponseFormat=Text</v>
      </c>
      <c r="P646" s="6">
        <v>1.0</v>
      </c>
    </row>
    <row r="647">
      <c r="A647" s="36" t="s">
        <v>2055</v>
      </c>
      <c r="B647" s="37" t="s">
        <v>2055</v>
      </c>
      <c r="C647" s="13" t="s">
        <v>2056</v>
      </c>
      <c r="D647" s="5">
        <v>8601.0</v>
      </c>
      <c r="E647" s="5" t="s">
        <v>2462</v>
      </c>
      <c r="F647" s="38" t="s">
        <v>2463</v>
      </c>
      <c r="G647" s="4" t="s">
        <v>2464</v>
      </c>
      <c r="H647" s="4" t="s">
        <v>2465</v>
      </c>
      <c r="I647" s="5" t="s">
        <v>8</v>
      </c>
      <c r="J647" s="5" t="s">
        <v>2061</v>
      </c>
      <c r="K647" s="5" t="s">
        <v>25</v>
      </c>
      <c r="L647" s="11" t="s">
        <v>26</v>
      </c>
      <c r="M647" s="5" t="s">
        <v>27</v>
      </c>
      <c r="N647" s="5" t="s">
        <v>2055</v>
      </c>
      <c r="O647" s="12" t="str">
        <f t="shared" si="2"/>
        <v>https://monitoramento.pm.pr.gov.br/proxy_image_6/Interface/Cameras/GetJPEGStream?Camera=C.112&amp;AuthUser=siscop&amp;AuthPass=Siscop1234&amp;Width=1024&amp;Height=768&amp;Quality=70&amp;FPS=10&amp;ResponseFormat=Text</v>
      </c>
      <c r="P647" s="6">
        <v>1.0</v>
      </c>
    </row>
    <row r="648">
      <c r="A648" s="36" t="s">
        <v>2055</v>
      </c>
      <c r="B648" s="37" t="s">
        <v>2055</v>
      </c>
      <c r="C648" s="13" t="s">
        <v>2056</v>
      </c>
      <c r="D648" s="5">
        <v>8601.0</v>
      </c>
      <c r="E648" s="5" t="s">
        <v>2466</v>
      </c>
      <c r="F648" s="38" t="s">
        <v>2467</v>
      </c>
      <c r="G648" s="4" t="s">
        <v>2468</v>
      </c>
      <c r="H648" s="4" t="s">
        <v>2469</v>
      </c>
      <c r="I648" s="5" t="s">
        <v>8</v>
      </c>
      <c r="J648" s="5" t="s">
        <v>2061</v>
      </c>
      <c r="K648" s="5" t="s">
        <v>25</v>
      </c>
      <c r="L648" s="11" t="s">
        <v>26</v>
      </c>
      <c r="M648" s="5" t="s">
        <v>27</v>
      </c>
      <c r="N648" s="5" t="s">
        <v>2055</v>
      </c>
      <c r="O648" s="12" t="str">
        <f t="shared" si="2"/>
        <v>https://monitoramento.pm.pr.gov.br/proxy_image_6/Interface/Cameras/GetJPEGStream?Camera=C.113&amp;AuthUser=siscop&amp;AuthPass=Siscop1234&amp;Width=1024&amp;Height=768&amp;Quality=70&amp;FPS=10&amp;ResponseFormat=Text</v>
      </c>
      <c r="P648" s="6">
        <v>1.0</v>
      </c>
    </row>
    <row r="649">
      <c r="A649" s="36" t="s">
        <v>2055</v>
      </c>
      <c r="B649" s="37" t="s">
        <v>2055</v>
      </c>
      <c r="C649" s="13" t="s">
        <v>2056</v>
      </c>
      <c r="D649" s="5">
        <v>8601.0</v>
      </c>
      <c r="E649" s="5" t="s">
        <v>2470</v>
      </c>
      <c r="F649" s="38" t="s">
        <v>2471</v>
      </c>
      <c r="G649" s="4" t="s">
        <v>2468</v>
      </c>
      <c r="H649" s="4" t="s">
        <v>2469</v>
      </c>
      <c r="I649" s="5" t="s">
        <v>8</v>
      </c>
      <c r="J649" s="5" t="s">
        <v>2061</v>
      </c>
      <c r="K649" s="5" t="s">
        <v>25</v>
      </c>
      <c r="L649" s="11" t="s">
        <v>26</v>
      </c>
      <c r="M649" s="5" t="s">
        <v>27</v>
      </c>
      <c r="N649" s="5" t="s">
        <v>2055</v>
      </c>
      <c r="O649" s="12" t="str">
        <f t="shared" si="2"/>
        <v>https://monitoramento.pm.pr.gov.br/proxy_image_6/Interface/Cameras/GetJPEGStream?Camera=C.114&amp;AuthUser=siscop&amp;AuthPass=Siscop1234&amp;Width=1024&amp;Height=768&amp;Quality=70&amp;FPS=10&amp;ResponseFormat=Text</v>
      </c>
      <c r="P649" s="6">
        <v>1.0</v>
      </c>
    </row>
    <row r="650">
      <c r="A650" s="36" t="s">
        <v>2055</v>
      </c>
      <c r="B650" s="37" t="s">
        <v>2055</v>
      </c>
      <c r="C650" s="13" t="s">
        <v>2056</v>
      </c>
      <c r="D650" s="5">
        <v>8601.0</v>
      </c>
      <c r="E650" s="5" t="s">
        <v>2472</v>
      </c>
      <c r="F650" s="38" t="s">
        <v>2473</v>
      </c>
      <c r="G650" s="4" t="s">
        <v>2468</v>
      </c>
      <c r="H650" s="4" t="s">
        <v>2469</v>
      </c>
      <c r="I650" s="5" t="s">
        <v>8</v>
      </c>
      <c r="J650" s="5" t="s">
        <v>2061</v>
      </c>
      <c r="K650" s="5" t="s">
        <v>25</v>
      </c>
      <c r="L650" s="11" t="s">
        <v>26</v>
      </c>
      <c r="M650" s="5" t="s">
        <v>27</v>
      </c>
      <c r="N650" s="5" t="s">
        <v>2055</v>
      </c>
      <c r="O650" s="12" t="str">
        <f t="shared" si="2"/>
        <v>https://monitoramento.pm.pr.gov.br/proxy_image_6/Interface/Cameras/GetJPEGStream?Camera=C.115&amp;AuthUser=siscop&amp;AuthPass=Siscop1234&amp;Width=1024&amp;Height=768&amp;Quality=70&amp;FPS=10&amp;ResponseFormat=Text</v>
      </c>
      <c r="P650" s="6">
        <v>1.0</v>
      </c>
    </row>
    <row r="651">
      <c r="A651" s="36" t="s">
        <v>2055</v>
      </c>
      <c r="B651" s="37" t="s">
        <v>2055</v>
      </c>
      <c r="C651" s="13" t="s">
        <v>2056</v>
      </c>
      <c r="D651" s="5">
        <v>8601.0</v>
      </c>
      <c r="E651" s="5" t="s">
        <v>2474</v>
      </c>
      <c r="F651" s="38" t="s">
        <v>2475</v>
      </c>
      <c r="G651" s="4" t="s">
        <v>2476</v>
      </c>
      <c r="H651" s="4" t="s">
        <v>2477</v>
      </c>
      <c r="I651" s="5" t="s">
        <v>8</v>
      </c>
      <c r="J651" s="5" t="s">
        <v>2061</v>
      </c>
      <c r="K651" s="5" t="s">
        <v>25</v>
      </c>
      <c r="L651" s="11" t="s">
        <v>26</v>
      </c>
      <c r="M651" s="5" t="s">
        <v>27</v>
      </c>
      <c r="N651" s="5" t="s">
        <v>2055</v>
      </c>
      <c r="O651" s="12" t="str">
        <f t="shared" si="2"/>
        <v>https://monitoramento.pm.pr.gov.br/proxy_image_6/Interface/Cameras/GetJPEGStream?Camera=C.116&amp;AuthUser=siscop&amp;AuthPass=Siscop1234&amp;Width=1024&amp;Height=768&amp;Quality=70&amp;FPS=10&amp;ResponseFormat=Text</v>
      </c>
      <c r="P651" s="6">
        <v>1.0</v>
      </c>
    </row>
    <row r="652">
      <c r="A652" s="36" t="s">
        <v>2055</v>
      </c>
      <c r="B652" s="37" t="s">
        <v>2055</v>
      </c>
      <c r="C652" s="13" t="s">
        <v>2056</v>
      </c>
      <c r="D652" s="5">
        <v>8601.0</v>
      </c>
      <c r="E652" s="5" t="s">
        <v>2478</v>
      </c>
      <c r="F652" s="38" t="s">
        <v>2479</v>
      </c>
      <c r="G652" s="4" t="s">
        <v>2480</v>
      </c>
      <c r="H652" s="4" t="s">
        <v>2481</v>
      </c>
      <c r="I652" s="5" t="s">
        <v>8</v>
      </c>
      <c r="J652" s="5" t="s">
        <v>2061</v>
      </c>
      <c r="K652" s="5" t="s">
        <v>25</v>
      </c>
      <c r="L652" s="11" t="s">
        <v>26</v>
      </c>
      <c r="M652" s="5" t="s">
        <v>27</v>
      </c>
      <c r="N652" s="5" t="s">
        <v>2055</v>
      </c>
      <c r="O652" s="12" t="str">
        <f t="shared" si="2"/>
        <v>https://monitoramento.pm.pr.gov.br/proxy_image_6/Interface/Cameras/GetJPEGStream?Camera=C.117&amp;AuthUser=siscop&amp;AuthPass=Siscop1234&amp;Width=1024&amp;Height=768&amp;Quality=70&amp;FPS=10&amp;ResponseFormat=Text</v>
      </c>
      <c r="P652" s="6">
        <v>1.0</v>
      </c>
    </row>
    <row r="653">
      <c r="A653" s="36" t="s">
        <v>2055</v>
      </c>
      <c r="B653" s="37" t="s">
        <v>2055</v>
      </c>
      <c r="C653" s="13" t="s">
        <v>2056</v>
      </c>
      <c r="D653" s="5">
        <v>8601.0</v>
      </c>
      <c r="E653" s="5" t="s">
        <v>2482</v>
      </c>
      <c r="F653" s="38" t="s">
        <v>2483</v>
      </c>
      <c r="G653" s="4" t="s">
        <v>2484</v>
      </c>
      <c r="H653" s="4" t="s">
        <v>2485</v>
      </c>
      <c r="I653" s="5" t="s">
        <v>8</v>
      </c>
      <c r="J653" s="5" t="s">
        <v>2061</v>
      </c>
      <c r="K653" s="5" t="s">
        <v>25</v>
      </c>
      <c r="L653" s="11" t="s">
        <v>26</v>
      </c>
      <c r="M653" s="5" t="s">
        <v>27</v>
      </c>
      <c r="N653" s="5" t="s">
        <v>2055</v>
      </c>
      <c r="O653" s="12" t="str">
        <f t="shared" si="2"/>
        <v>https://monitoramento.pm.pr.gov.br/proxy_image_6/Interface/Cameras/GetJPEGStream?Camera=C.118&amp;AuthUser=siscop&amp;AuthPass=Siscop1234&amp;Width=1024&amp;Height=768&amp;Quality=70&amp;FPS=10&amp;ResponseFormat=Text</v>
      </c>
      <c r="P653" s="6">
        <v>1.0</v>
      </c>
    </row>
    <row r="654">
      <c r="A654" s="36" t="s">
        <v>2055</v>
      </c>
      <c r="B654" s="37" t="s">
        <v>2055</v>
      </c>
      <c r="C654" s="13" t="s">
        <v>2056</v>
      </c>
      <c r="D654" s="5">
        <v>8601.0</v>
      </c>
      <c r="E654" s="5" t="s">
        <v>2486</v>
      </c>
      <c r="F654" s="38" t="s">
        <v>2487</v>
      </c>
      <c r="G654" s="4" t="s">
        <v>2488</v>
      </c>
      <c r="H654" s="4" t="s">
        <v>2489</v>
      </c>
      <c r="I654" s="5" t="s">
        <v>8</v>
      </c>
      <c r="J654" s="5" t="s">
        <v>2061</v>
      </c>
      <c r="K654" s="5" t="s">
        <v>25</v>
      </c>
      <c r="L654" s="11" t="s">
        <v>26</v>
      </c>
      <c r="M654" s="5" t="s">
        <v>27</v>
      </c>
      <c r="N654" s="5" t="s">
        <v>2055</v>
      </c>
      <c r="O654" s="12" t="str">
        <f t="shared" si="2"/>
        <v>https://monitoramento.pm.pr.gov.br/proxy_image_6/Interface/Cameras/GetJPEGStream?Camera=C.119&amp;AuthUser=siscop&amp;AuthPass=Siscop1234&amp;Width=1024&amp;Height=768&amp;Quality=70&amp;FPS=10&amp;ResponseFormat=Text</v>
      </c>
      <c r="P654" s="6">
        <v>1.0</v>
      </c>
    </row>
    <row r="655">
      <c r="A655" s="36" t="s">
        <v>2055</v>
      </c>
      <c r="B655" s="37" t="s">
        <v>2055</v>
      </c>
      <c r="C655" s="13" t="s">
        <v>2056</v>
      </c>
      <c r="D655" s="5">
        <v>8601.0</v>
      </c>
      <c r="E655" s="5" t="s">
        <v>2490</v>
      </c>
      <c r="F655" s="38" t="s">
        <v>2491</v>
      </c>
      <c r="G655" s="4" t="s">
        <v>2492</v>
      </c>
      <c r="H655" s="4" t="s">
        <v>2493</v>
      </c>
      <c r="I655" s="5" t="s">
        <v>8</v>
      </c>
      <c r="J655" s="5" t="s">
        <v>2061</v>
      </c>
      <c r="K655" s="5" t="s">
        <v>25</v>
      </c>
      <c r="L655" s="11" t="s">
        <v>26</v>
      </c>
      <c r="M655" s="5" t="s">
        <v>27</v>
      </c>
      <c r="N655" s="5" t="s">
        <v>2055</v>
      </c>
      <c r="O655" s="12" t="str">
        <f t="shared" si="2"/>
        <v>https://monitoramento.pm.pr.gov.br/proxy_image_6/Interface/Cameras/GetJPEGStream?Camera=C.120&amp;AuthUser=siscop&amp;AuthPass=Siscop1234&amp;Width=1024&amp;Height=768&amp;Quality=70&amp;FPS=10&amp;ResponseFormat=Text</v>
      </c>
      <c r="P655" s="6">
        <v>1.0</v>
      </c>
    </row>
    <row r="656">
      <c r="A656" s="36" t="s">
        <v>2055</v>
      </c>
      <c r="B656" s="37" t="s">
        <v>2055</v>
      </c>
      <c r="C656" s="13" t="s">
        <v>2056</v>
      </c>
      <c r="D656" s="5">
        <v>8601.0</v>
      </c>
      <c r="E656" s="5" t="s">
        <v>2494</v>
      </c>
      <c r="F656" s="38" t="s">
        <v>2495</v>
      </c>
      <c r="G656" s="4" t="s">
        <v>2492</v>
      </c>
      <c r="H656" s="4" t="s">
        <v>2493</v>
      </c>
      <c r="I656" s="5" t="s">
        <v>8</v>
      </c>
      <c r="J656" s="5" t="s">
        <v>2061</v>
      </c>
      <c r="K656" s="5" t="s">
        <v>25</v>
      </c>
      <c r="L656" s="11" t="s">
        <v>26</v>
      </c>
      <c r="M656" s="5" t="s">
        <v>27</v>
      </c>
      <c r="N656" s="5" t="s">
        <v>2055</v>
      </c>
      <c r="O656" s="12" t="str">
        <f t="shared" si="2"/>
        <v>https://monitoramento.pm.pr.gov.br/proxy_image_6/Interface/Cameras/GetJPEGStream?Camera=C.121&amp;AuthUser=siscop&amp;AuthPass=Siscop1234&amp;Width=1024&amp;Height=768&amp;Quality=70&amp;FPS=10&amp;ResponseFormat=Text</v>
      </c>
      <c r="P656" s="6">
        <v>1.0</v>
      </c>
    </row>
    <row r="657">
      <c r="A657" s="36" t="s">
        <v>2055</v>
      </c>
      <c r="B657" s="37" t="s">
        <v>2055</v>
      </c>
      <c r="C657" s="13" t="s">
        <v>2056</v>
      </c>
      <c r="D657" s="5">
        <v>8601.0</v>
      </c>
      <c r="E657" s="5" t="s">
        <v>2496</v>
      </c>
      <c r="F657" s="38" t="s">
        <v>2497</v>
      </c>
      <c r="G657" s="4" t="s">
        <v>2498</v>
      </c>
      <c r="H657" s="4" t="s">
        <v>2499</v>
      </c>
      <c r="I657" s="5" t="s">
        <v>8</v>
      </c>
      <c r="J657" s="5" t="s">
        <v>2061</v>
      </c>
      <c r="K657" s="5" t="s">
        <v>25</v>
      </c>
      <c r="L657" s="11" t="s">
        <v>26</v>
      </c>
      <c r="M657" s="5" t="s">
        <v>27</v>
      </c>
      <c r="N657" s="5" t="s">
        <v>2055</v>
      </c>
      <c r="O657" s="12" t="str">
        <f t="shared" si="2"/>
        <v>https://monitoramento.pm.pr.gov.br/proxy_image_6/Interface/Cameras/GetJPEGStream?Camera=C.122&amp;AuthUser=siscop&amp;AuthPass=Siscop1234&amp;Width=1024&amp;Height=768&amp;Quality=70&amp;FPS=10&amp;ResponseFormat=Text</v>
      </c>
      <c r="P657" s="6">
        <v>1.0</v>
      </c>
    </row>
    <row r="658">
      <c r="A658" s="36" t="s">
        <v>2055</v>
      </c>
      <c r="B658" s="37" t="s">
        <v>2055</v>
      </c>
      <c r="C658" s="13" t="s">
        <v>2056</v>
      </c>
      <c r="D658" s="5">
        <v>8601.0</v>
      </c>
      <c r="E658" s="5" t="s">
        <v>2500</v>
      </c>
      <c r="F658" s="38" t="s">
        <v>2501</v>
      </c>
      <c r="G658" s="4" t="s">
        <v>2502</v>
      </c>
      <c r="H658" s="4" t="s">
        <v>2503</v>
      </c>
      <c r="I658" s="5" t="s">
        <v>8</v>
      </c>
      <c r="J658" s="5" t="s">
        <v>2061</v>
      </c>
      <c r="K658" s="5" t="s">
        <v>25</v>
      </c>
      <c r="L658" s="11" t="s">
        <v>26</v>
      </c>
      <c r="M658" s="5" t="s">
        <v>27</v>
      </c>
      <c r="N658" s="5" t="s">
        <v>2055</v>
      </c>
      <c r="O658" s="12" t="str">
        <f t="shared" si="2"/>
        <v>https://monitoramento.pm.pr.gov.br/proxy_image_6/Interface/Cameras/GetJPEGStream?Camera=C.123&amp;AuthUser=siscop&amp;AuthPass=Siscop1234&amp;Width=1024&amp;Height=768&amp;Quality=70&amp;FPS=10&amp;ResponseFormat=Text</v>
      </c>
      <c r="P658" s="6">
        <v>1.0</v>
      </c>
    </row>
    <row r="659">
      <c r="A659" s="36" t="s">
        <v>2055</v>
      </c>
      <c r="B659" s="37" t="s">
        <v>2055</v>
      </c>
      <c r="C659" s="13" t="s">
        <v>2056</v>
      </c>
      <c r="D659" s="5">
        <v>8601.0</v>
      </c>
      <c r="E659" s="5" t="s">
        <v>2504</v>
      </c>
      <c r="F659" s="38" t="s">
        <v>2505</v>
      </c>
      <c r="G659" s="4" t="s">
        <v>2506</v>
      </c>
      <c r="H659" s="4" t="s">
        <v>2507</v>
      </c>
      <c r="I659" s="5" t="s">
        <v>8</v>
      </c>
      <c r="J659" s="5" t="s">
        <v>2061</v>
      </c>
      <c r="K659" s="5" t="s">
        <v>25</v>
      </c>
      <c r="L659" s="11" t="s">
        <v>26</v>
      </c>
      <c r="M659" s="5" t="s">
        <v>27</v>
      </c>
      <c r="N659" s="5" t="s">
        <v>2055</v>
      </c>
      <c r="O659" s="12" t="str">
        <f t="shared" si="2"/>
        <v>https://monitoramento.pm.pr.gov.br/proxy_image_6/Interface/Cameras/GetJPEGStream?Camera=C.124&amp;AuthUser=siscop&amp;AuthPass=Siscop1234&amp;Width=1024&amp;Height=768&amp;Quality=70&amp;FPS=10&amp;ResponseFormat=Text</v>
      </c>
      <c r="P659" s="6">
        <v>1.0</v>
      </c>
    </row>
    <row r="660">
      <c r="A660" s="36" t="s">
        <v>2055</v>
      </c>
      <c r="B660" s="37" t="s">
        <v>2055</v>
      </c>
      <c r="C660" s="13" t="s">
        <v>2056</v>
      </c>
      <c r="D660" s="5">
        <v>8601.0</v>
      </c>
      <c r="E660" s="5" t="s">
        <v>2508</v>
      </c>
      <c r="F660" s="38" t="s">
        <v>2509</v>
      </c>
      <c r="G660" s="4" t="s">
        <v>2506</v>
      </c>
      <c r="H660" s="4" t="s">
        <v>2507</v>
      </c>
      <c r="I660" s="5" t="s">
        <v>8</v>
      </c>
      <c r="J660" s="5" t="s">
        <v>2061</v>
      </c>
      <c r="K660" s="5" t="s">
        <v>25</v>
      </c>
      <c r="L660" s="11" t="s">
        <v>26</v>
      </c>
      <c r="M660" s="5" t="s">
        <v>27</v>
      </c>
      <c r="N660" s="5" t="s">
        <v>2055</v>
      </c>
      <c r="O660" s="12" t="str">
        <f t="shared" si="2"/>
        <v>https://monitoramento.pm.pr.gov.br/proxy_image_6/Interface/Cameras/GetJPEGStream?Camera=C.125&amp;AuthUser=siscop&amp;AuthPass=Siscop1234&amp;Width=1024&amp;Height=768&amp;Quality=70&amp;FPS=10&amp;ResponseFormat=Text</v>
      </c>
      <c r="P660" s="6">
        <v>1.0</v>
      </c>
    </row>
    <row r="661">
      <c r="A661" s="36" t="s">
        <v>2055</v>
      </c>
      <c r="B661" s="37" t="s">
        <v>2055</v>
      </c>
      <c r="C661" s="13" t="s">
        <v>2056</v>
      </c>
      <c r="D661" s="5">
        <v>8601.0</v>
      </c>
      <c r="E661" s="5" t="s">
        <v>2510</v>
      </c>
      <c r="F661" s="38" t="s">
        <v>2511</v>
      </c>
      <c r="G661" s="4" t="s">
        <v>2512</v>
      </c>
      <c r="H661" s="4" t="s">
        <v>2513</v>
      </c>
      <c r="I661" s="5" t="s">
        <v>8</v>
      </c>
      <c r="J661" s="5" t="s">
        <v>2061</v>
      </c>
      <c r="K661" s="5" t="s">
        <v>25</v>
      </c>
      <c r="L661" s="11" t="s">
        <v>26</v>
      </c>
      <c r="M661" s="5" t="s">
        <v>27</v>
      </c>
      <c r="N661" s="5" t="s">
        <v>2055</v>
      </c>
      <c r="O661" s="12" t="str">
        <f t="shared" si="2"/>
        <v>https://monitoramento.pm.pr.gov.br/proxy_image_6/Interface/Cameras/GetJPEGStream?Camera=C.126&amp;AuthUser=siscop&amp;AuthPass=Siscop1234&amp;Width=1024&amp;Height=768&amp;Quality=70&amp;FPS=10&amp;ResponseFormat=Text</v>
      </c>
      <c r="P661" s="6">
        <v>1.0</v>
      </c>
    </row>
    <row r="662">
      <c r="A662" s="36" t="s">
        <v>2055</v>
      </c>
      <c r="B662" s="37" t="s">
        <v>2055</v>
      </c>
      <c r="C662" s="13" t="s">
        <v>2056</v>
      </c>
      <c r="D662" s="5">
        <v>8601.0</v>
      </c>
      <c r="E662" s="5" t="s">
        <v>2514</v>
      </c>
      <c r="F662" s="38" t="s">
        <v>2515</v>
      </c>
      <c r="G662" s="4" t="s">
        <v>2516</v>
      </c>
      <c r="H662" s="4" t="s">
        <v>2517</v>
      </c>
      <c r="I662" s="5" t="s">
        <v>8</v>
      </c>
      <c r="J662" s="5" t="s">
        <v>2061</v>
      </c>
      <c r="K662" s="5" t="s">
        <v>25</v>
      </c>
      <c r="L662" s="11" t="s">
        <v>26</v>
      </c>
      <c r="M662" s="5" t="s">
        <v>27</v>
      </c>
      <c r="N662" s="5" t="s">
        <v>2055</v>
      </c>
      <c r="O662" s="12" t="str">
        <f t="shared" si="2"/>
        <v>https://monitoramento.pm.pr.gov.br/proxy_image_6/Interface/Cameras/GetJPEGStream?Camera=C.127&amp;AuthUser=siscop&amp;AuthPass=Siscop1234&amp;Width=1024&amp;Height=768&amp;Quality=70&amp;FPS=10&amp;ResponseFormat=Text</v>
      </c>
      <c r="P662" s="6">
        <v>1.0</v>
      </c>
    </row>
    <row r="663">
      <c r="A663" s="36" t="s">
        <v>2055</v>
      </c>
      <c r="B663" s="37" t="s">
        <v>2055</v>
      </c>
      <c r="C663" s="13" t="s">
        <v>2056</v>
      </c>
      <c r="D663" s="5">
        <v>8601.0</v>
      </c>
      <c r="E663" s="5" t="s">
        <v>2518</v>
      </c>
      <c r="F663" s="38" t="s">
        <v>2519</v>
      </c>
      <c r="G663" s="4" t="s">
        <v>2520</v>
      </c>
      <c r="H663" s="4" t="s">
        <v>2521</v>
      </c>
      <c r="I663" s="5" t="s">
        <v>8</v>
      </c>
      <c r="J663" s="5" t="s">
        <v>2061</v>
      </c>
      <c r="K663" s="5" t="s">
        <v>25</v>
      </c>
      <c r="L663" s="11" t="s">
        <v>26</v>
      </c>
      <c r="M663" s="5" t="s">
        <v>27</v>
      </c>
      <c r="N663" s="5" t="s">
        <v>2055</v>
      </c>
      <c r="O663" s="12" t="str">
        <f t="shared" si="2"/>
        <v>https://monitoramento.pm.pr.gov.br/proxy_image_6/Interface/Cameras/GetJPEGStream?Camera=C.128&amp;AuthUser=siscop&amp;AuthPass=Siscop1234&amp;Width=1024&amp;Height=768&amp;Quality=70&amp;FPS=10&amp;ResponseFormat=Text</v>
      </c>
      <c r="P663" s="6">
        <v>1.0</v>
      </c>
    </row>
    <row r="664">
      <c r="A664" s="36" t="s">
        <v>2055</v>
      </c>
      <c r="B664" s="37" t="s">
        <v>2055</v>
      </c>
      <c r="C664" s="13" t="s">
        <v>2056</v>
      </c>
      <c r="D664" s="5">
        <v>8601.0</v>
      </c>
      <c r="E664" s="5" t="s">
        <v>2522</v>
      </c>
      <c r="F664" s="38" t="s">
        <v>2523</v>
      </c>
      <c r="G664" s="4" t="s">
        <v>2524</v>
      </c>
      <c r="H664" s="4" t="s">
        <v>2525</v>
      </c>
      <c r="I664" s="5" t="s">
        <v>8</v>
      </c>
      <c r="J664" s="5" t="s">
        <v>2061</v>
      </c>
      <c r="K664" s="5" t="s">
        <v>25</v>
      </c>
      <c r="L664" s="11" t="s">
        <v>26</v>
      </c>
      <c r="M664" s="5" t="s">
        <v>27</v>
      </c>
      <c r="N664" s="5" t="s">
        <v>2055</v>
      </c>
      <c r="O664" s="12" t="str">
        <f t="shared" si="2"/>
        <v>https://monitoramento.pm.pr.gov.br/proxy_image_6/Interface/Cameras/GetJPEGStream?Camera=C.129&amp;AuthUser=siscop&amp;AuthPass=Siscop1234&amp;Width=1024&amp;Height=768&amp;Quality=70&amp;FPS=10&amp;ResponseFormat=Text</v>
      </c>
      <c r="P664" s="6">
        <v>1.0</v>
      </c>
    </row>
    <row r="665">
      <c r="A665" s="36" t="s">
        <v>2055</v>
      </c>
      <c r="B665" s="37" t="s">
        <v>2055</v>
      </c>
      <c r="C665" s="13" t="s">
        <v>2056</v>
      </c>
      <c r="D665" s="5">
        <v>8601.0</v>
      </c>
      <c r="E665" s="5" t="s">
        <v>2526</v>
      </c>
      <c r="F665" s="38" t="s">
        <v>2527</v>
      </c>
      <c r="G665" s="4" t="s">
        <v>2528</v>
      </c>
      <c r="H665" s="4" t="s">
        <v>2529</v>
      </c>
      <c r="I665" s="5" t="s">
        <v>8</v>
      </c>
      <c r="J665" s="5" t="s">
        <v>2061</v>
      </c>
      <c r="K665" s="5" t="s">
        <v>25</v>
      </c>
      <c r="L665" s="11" t="s">
        <v>26</v>
      </c>
      <c r="M665" s="5" t="s">
        <v>27</v>
      </c>
      <c r="N665" s="5" t="s">
        <v>2055</v>
      </c>
      <c r="O665" s="12" t="str">
        <f t="shared" si="2"/>
        <v>https://monitoramento.pm.pr.gov.br/proxy_image_6/Interface/Cameras/GetJPEGStream?Camera=C.130&amp;AuthUser=siscop&amp;AuthPass=Siscop1234&amp;Width=1024&amp;Height=768&amp;Quality=70&amp;FPS=10&amp;ResponseFormat=Text</v>
      </c>
      <c r="P665" s="6">
        <v>1.0</v>
      </c>
    </row>
    <row r="666">
      <c r="A666" s="36" t="s">
        <v>2055</v>
      </c>
      <c r="B666" s="37" t="s">
        <v>2055</v>
      </c>
      <c r="C666" s="13" t="s">
        <v>2056</v>
      </c>
      <c r="D666" s="5">
        <v>8601.0</v>
      </c>
      <c r="E666" s="5" t="s">
        <v>2530</v>
      </c>
      <c r="F666" s="38" t="s">
        <v>2531</v>
      </c>
      <c r="G666" s="4" t="s">
        <v>2532</v>
      </c>
      <c r="H666" s="4" t="s">
        <v>2533</v>
      </c>
      <c r="I666" s="5" t="s">
        <v>8</v>
      </c>
      <c r="J666" s="5" t="s">
        <v>2061</v>
      </c>
      <c r="K666" s="5" t="s">
        <v>25</v>
      </c>
      <c r="L666" s="11" t="s">
        <v>26</v>
      </c>
      <c r="M666" s="5" t="s">
        <v>27</v>
      </c>
      <c r="N666" s="5" t="s">
        <v>2055</v>
      </c>
      <c r="O666" s="12" t="str">
        <f t="shared" si="2"/>
        <v>https://monitoramento.pm.pr.gov.br/proxy_image_6/Interface/Cameras/GetJPEGStream?Camera=C.131&amp;AuthUser=siscop&amp;AuthPass=Siscop1234&amp;Width=1024&amp;Height=768&amp;Quality=70&amp;FPS=10&amp;ResponseFormat=Text</v>
      </c>
      <c r="P666" s="6">
        <v>1.0</v>
      </c>
    </row>
    <row r="667">
      <c r="A667" s="36" t="s">
        <v>2055</v>
      </c>
      <c r="B667" s="37" t="s">
        <v>2055</v>
      </c>
      <c r="C667" s="13" t="s">
        <v>2056</v>
      </c>
      <c r="D667" s="5">
        <v>8601.0</v>
      </c>
      <c r="E667" s="5" t="s">
        <v>2534</v>
      </c>
      <c r="F667" s="38" t="s">
        <v>2535</v>
      </c>
      <c r="G667" s="4" t="s">
        <v>2532</v>
      </c>
      <c r="H667" s="4" t="s">
        <v>2533</v>
      </c>
      <c r="I667" s="5" t="s">
        <v>8</v>
      </c>
      <c r="J667" s="5" t="s">
        <v>2061</v>
      </c>
      <c r="K667" s="5" t="s">
        <v>25</v>
      </c>
      <c r="L667" s="11" t="s">
        <v>26</v>
      </c>
      <c r="M667" s="5" t="s">
        <v>27</v>
      </c>
      <c r="N667" s="5" t="s">
        <v>2055</v>
      </c>
      <c r="O667" s="12" t="str">
        <f t="shared" si="2"/>
        <v>https://monitoramento.pm.pr.gov.br/proxy_image_6/Interface/Cameras/GetJPEGStream?Camera=C.132&amp;AuthUser=siscop&amp;AuthPass=Siscop1234&amp;Width=1024&amp;Height=768&amp;Quality=70&amp;FPS=10&amp;ResponseFormat=Text</v>
      </c>
      <c r="P667" s="6">
        <v>1.0</v>
      </c>
    </row>
    <row r="668">
      <c r="A668" s="36" t="s">
        <v>2055</v>
      </c>
      <c r="B668" s="37" t="s">
        <v>2055</v>
      </c>
      <c r="C668" s="13" t="s">
        <v>2056</v>
      </c>
      <c r="D668" s="5">
        <v>8601.0</v>
      </c>
      <c r="E668" s="5" t="s">
        <v>2536</v>
      </c>
      <c r="F668" s="38" t="s">
        <v>2537</v>
      </c>
      <c r="G668" s="4" t="s">
        <v>2538</v>
      </c>
      <c r="H668" s="4" t="s">
        <v>2539</v>
      </c>
      <c r="I668" s="5" t="s">
        <v>8</v>
      </c>
      <c r="J668" s="5" t="s">
        <v>2061</v>
      </c>
      <c r="K668" s="5" t="s">
        <v>25</v>
      </c>
      <c r="L668" s="11" t="s">
        <v>26</v>
      </c>
      <c r="M668" s="5" t="s">
        <v>27</v>
      </c>
      <c r="N668" s="5" t="s">
        <v>2055</v>
      </c>
      <c r="O668" s="12" t="str">
        <f t="shared" si="2"/>
        <v>https://monitoramento.pm.pr.gov.br/proxy_image_6/Interface/Cameras/GetJPEGStream?Camera=C.133&amp;AuthUser=siscop&amp;AuthPass=Siscop1234&amp;Width=1024&amp;Height=768&amp;Quality=70&amp;FPS=10&amp;ResponseFormat=Text</v>
      </c>
      <c r="P668" s="6">
        <v>1.0</v>
      </c>
    </row>
    <row r="669">
      <c r="A669" s="36" t="s">
        <v>2055</v>
      </c>
      <c r="B669" s="37" t="s">
        <v>2055</v>
      </c>
      <c r="C669" s="13" t="s">
        <v>2056</v>
      </c>
      <c r="D669" s="5">
        <v>8601.0</v>
      </c>
      <c r="E669" s="5" t="s">
        <v>2540</v>
      </c>
      <c r="F669" s="38" t="s">
        <v>2541</v>
      </c>
      <c r="G669" s="4" t="s">
        <v>2542</v>
      </c>
      <c r="H669" s="4" t="s">
        <v>2543</v>
      </c>
      <c r="I669" s="5" t="s">
        <v>8</v>
      </c>
      <c r="J669" s="5" t="s">
        <v>2061</v>
      </c>
      <c r="K669" s="5" t="s">
        <v>25</v>
      </c>
      <c r="L669" s="11" t="s">
        <v>26</v>
      </c>
      <c r="M669" s="5" t="s">
        <v>27</v>
      </c>
      <c r="N669" s="5" t="s">
        <v>2055</v>
      </c>
      <c r="O669" s="12" t="str">
        <f t="shared" si="2"/>
        <v>https://monitoramento.pm.pr.gov.br/proxy_image_6/Interface/Cameras/GetJPEGStream?Camera=C.134&amp;AuthUser=siscop&amp;AuthPass=Siscop1234&amp;Width=1024&amp;Height=768&amp;Quality=70&amp;FPS=10&amp;ResponseFormat=Text</v>
      </c>
      <c r="P669" s="6">
        <v>1.0</v>
      </c>
    </row>
    <row r="670">
      <c r="A670" s="36" t="s">
        <v>2055</v>
      </c>
      <c r="B670" s="37" t="s">
        <v>2055</v>
      </c>
      <c r="C670" s="13" t="s">
        <v>2056</v>
      </c>
      <c r="D670" s="5">
        <v>8601.0</v>
      </c>
      <c r="E670" s="5" t="s">
        <v>2544</v>
      </c>
      <c r="F670" s="38" t="s">
        <v>2545</v>
      </c>
      <c r="G670" s="4" t="s">
        <v>2542</v>
      </c>
      <c r="H670" s="4" t="s">
        <v>2543</v>
      </c>
      <c r="I670" s="5" t="s">
        <v>8</v>
      </c>
      <c r="J670" s="5" t="s">
        <v>2061</v>
      </c>
      <c r="K670" s="5" t="s">
        <v>25</v>
      </c>
      <c r="L670" s="11" t="s">
        <v>26</v>
      </c>
      <c r="M670" s="5" t="s">
        <v>27</v>
      </c>
      <c r="N670" s="5" t="s">
        <v>2055</v>
      </c>
      <c r="O670" s="12" t="str">
        <f t="shared" si="2"/>
        <v>https://monitoramento.pm.pr.gov.br/proxy_image_6/Interface/Cameras/GetJPEGStream?Camera=C.135&amp;AuthUser=siscop&amp;AuthPass=Siscop1234&amp;Width=1024&amp;Height=768&amp;Quality=70&amp;FPS=10&amp;ResponseFormat=Text</v>
      </c>
      <c r="P670" s="6">
        <v>1.0</v>
      </c>
    </row>
    <row r="671">
      <c r="A671" s="36" t="s">
        <v>2055</v>
      </c>
      <c r="B671" s="37" t="s">
        <v>2055</v>
      </c>
      <c r="C671" s="13" t="s">
        <v>2056</v>
      </c>
      <c r="D671" s="5">
        <v>8601.0</v>
      </c>
      <c r="E671" s="5" t="s">
        <v>2546</v>
      </c>
      <c r="F671" s="38" t="s">
        <v>2547</v>
      </c>
      <c r="G671" s="4" t="s">
        <v>2548</v>
      </c>
      <c r="H671" s="4" t="s">
        <v>2549</v>
      </c>
      <c r="I671" s="5" t="s">
        <v>8</v>
      </c>
      <c r="J671" s="5" t="s">
        <v>2061</v>
      </c>
      <c r="K671" s="5" t="s">
        <v>25</v>
      </c>
      <c r="L671" s="11" t="s">
        <v>26</v>
      </c>
      <c r="M671" s="5" t="s">
        <v>27</v>
      </c>
      <c r="N671" s="5" t="s">
        <v>2055</v>
      </c>
      <c r="O671" s="12" t="str">
        <f t="shared" si="2"/>
        <v>https://monitoramento.pm.pr.gov.br/proxy_image_6/Interface/Cameras/GetJPEGStream?Camera=C.136&amp;AuthUser=siscop&amp;AuthPass=Siscop1234&amp;Width=1024&amp;Height=768&amp;Quality=70&amp;FPS=10&amp;ResponseFormat=Text</v>
      </c>
      <c r="P671" s="6">
        <v>1.0</v>
      </c>
    </row>
    <row r="672">
      <c r="A672" s="36" t="s">
        <v>2055</v>
      </c>
      <c r="B672" s="37" t="s">
        <v>2055</v>
      </c>
      <c r="C672" s="13" t="s">
        <v>2056</v>
      </c>
      <c r="D672" s="5">
        <v>8601.0</v>
      </c>
      <c r="E672" s="5" t="s">
        <v>2550</v>
      </c>
      <c r="F672" s="38" t="s">
        <v>2551</v>
      </c>
      <c r="G672" s="4" t="s">
        <v>2548</v>
      </c>
      <c r="H672" s="4" t="s">
        <v>2549</v>
      </c>
      <c r="I672" s="5" t="s">
        <v>8</v>
      </c>
      <c r="J672" s="5" t="s">
        <v>2061</v>
      </c>
      <c r="K672" s="5" t="s">
        <v>25</v>
      </c>
      <c r="L672" s="11" t="s">
        <v>26</v>
      </c>
      <c r="M672" s="5" t="s">
        <v>27</v>
      </c>
      <c r="N672" s="5" t="s">
        <v>2055</v>
      </c>
      <c r="O672" s="12" t="str">
        <f t="shared" si="2"/>
        <v>https://monitoramento.pm.pr.gov.br/proxy_image_6/Interface/Cameras/GetJPEGStream?Camera=C.137&amp;AuthUser=siscop&amp;AuthPass=Siscop1234&amp;Width=1024&amp;Height=768&amp;Quality=70&amp;FPS=10&amp;ResponseFormat=Text</v>
      </c>
      <c r="P672" s="6">
        <v>1.0</v>
      </c>
    </row>
    <row r="673">
      <c r="A673" s="36" t="s">
        <v>2055</v>
      </c>
      <c r="B673" s="37" t="s">
        <v>2055</v>
      </c>
      <c r="C673" s="13" t="s">
        <v>2056</v>
      </c>
      <c r="D673" s="5">
        <v>8601.0</v>
      </c>
      <c r="E673" s="5" t="s">
        <v>2552</v>
      </c>
      <c r="F673" s="38" t="s">
        <v>2553</v>
      </c>
      <c r="G673" s="4" t="s">
        <v>2548</v>
      </c>
      <c r="H673" s="4" t="s">
        <v>2549</v>
      </c>
      <c r="I673" s="5" t="s">
        <v>8</v>
      </c>
      <c r="J673" s="5" t="s">
        <v>2061</v>
      </c>
      <c r="K673" s="5" t="s">
        <v>25</v>
      </c>
      <c r="L673" s="11" t="s">
        <v>26</v>
      </c>
      <c r="M673" s="5" t="s">
        <v>27</v>
      </c>
      <c r="N673" s="5" t="s">
        <v>2055</v>
      </c>
      <c r="O673" s="12" t="str">
        <f t="shared" si="2"/>
        <v>https://monitoramento.pm.pr.gov.br/proxy_image_6/Interface/Cameras/GetJPEGStream?Camera=C.138&amp;AuthUser=siscop&amp;AuthPass=Siscop1234&amp;Width=1024&amp;Height=768&amp;Quality=70&amp;FPS=10&amp;ResponseFormat=Text</v>
      </c>
      <c r="P673" s="6">
        <v>1.0</v>
      </c>
    </row>
    <row r="674">
      <c r="A674" s="36" t="s">
        <v>2055</v>
      </c>
      <c r="B674" s="37" t="s">
        <v>2055</v>
      </c>
      <c r="C674" s="13" t="s">
        <v>2056</v>
      </c>
      <c r="D674" s="5">
        <v>8601.0</v>
      </c>
      <c r="E674" s="5" t="s">
        <v>2554</v>
      </c>
      <c r="F674" s="38" t="s">
        <v>2555</v>
      </c>
      <c r="G674" s="4" t="s">
        <v>2548</v>
      </c>
      <c r="H674" s="4" t="s">
        <v>2549</v>
      </c>
      <c r="I674" s="5" t="s">
        <v>8</v>
      </c>
      <c r="J674" s="5" t="s">
        <v>2061</v>
      </c>
      <c r="K674" s="5" t="s">
        <v>25</v>
      </c>
      <c r="L674" s="11" t="s">
        <v>26</v>
      </c>
      <c r="M674" s="5" t="s">
        <v>27</v>
      </c>
      <c r="N674" s="5" t="s">
        <v>2055</v>
      </c>
      <c r="O674" s="12" t="str">
        <f t="shared" si="2"/>
        <v>https://monitoramento.pm.pr.gov.br/proxy_image_6/Interface/Cameras/GetJPEGStream?Camera=C.139&amp;AuthUser=siscop&amp;AuthPass=Siscop1234&amp;Width=1024&amp;Height=768&amp;Quality=70&amp;FPS=10&amp;ResponseFormat=Text</v>
      </c>
      <c r="P674" s="6">
        <v>1.0</v>
      </c>
    </row>
    <row r="675">
      <c r="A675" s="36" t="s">
        <v>2055</v>
      </c>
      <c r="B675" s="37" t="s">
        <v>2055</v>
      </c>
      <c r="C675" s="13" t="s">
        <v>2056</v>
      </c>
      <c r="D675" s="5">
        <v>8601.0</v>
      </c>
      <c r="E675" s="5" t="s">
        <v>2556</v>
      </c>
      <c r="F675" s="38" t="s">
        <v>2557</v>
      </c>
      <c r="G675" s="4" t="s">
        <v>2548</v>
      </c>
      <c r="H675" s="4" t="s">
        <v>2549</v>
      </c>
      <c r="I675" s="5" t="s">
        <v>8</v>
      </c>
      <c r="J675" s="5" t="s">
        <v>2061</v>
      </c>
      <c r="K675" s="5" t="s">
        <v>25</v>
      </c>
      <c r="L675" s="11" t="s">
        <v>26</v>
      </c>
      <c r="M675" s="5" t="s">
        <v>27</v>
      </c>
      <c r="N675" s="5" t="s">
        <v>2055</v>
      </c>
      <c r="O675" s="12" t="str">
        <f t="shared" si="2"/>
        <v>https://monitoramento.pm.pr.gov.br/proxy_image_6/Interface/Cameras/GetJPEGStream?Camera=C.140&amp;AuthUser=siscop&amp;AuthPass=Siscop1234&amp;Width=1024&amp;Height=768&amp;Quality=70&amp;FPS=10&amp;ResponseFormat=Text</v>
      </c>
      <c r="P675" s="6">
        <v>1.0</v>
      </c>
    </row>
    <row r="676">
      <c r="A676" s="36" t="s">
        <v>2055</v>
      </c>
      <c r="B676" s="37" t="s">
        <v>2055</v>
      </c>
      <c r="C676" s="13" t="s">
        <v>2056</v>
      </c>
      <c r="D676" s="5">
        <v>8601.0</v>
      </c>
      <c r="E676" s="5" t="s">
        <v>2558</v>
      </c>
      <c r="F676" s="38" t="s">
        <v>2559</v>
      </c>
      <c r="G676" s="4" t="s">
        <v>2560</v>
      </c>
      <c r="H676" s="4" t="s">
        <v>2561</v>
      </c>
      <c r="I676" s="5" t="s">
        <v>8</v>
      </c>
      <c r="J676" s="5" t="s">
        <v>2061</v>
      </c>
      <c r="K676" s="5" t="s">
        <v>25</v>
      </c>
      <c r="L676" s="11" t="s">
        <v>26</v>
      </c>
      <c r="M676" s="5" t="s">
        <v>27</v>
      </c>
      <c r="N676" s="5" t="s">
        <v>2055</v>
      </c>
      <c r="O676" s="12" t="str">
        <f t="shared" si="2"/>
        <v>https://monitoramento.pm.pr.gov.br/proxy_image_6/Interface/Cameras/GetJPEGStream?Camera=C.141&amp;AuthUser=siscop&amp;AuthPass=Siscop1234&amp;Width=1024&amp;Height=768&amp;Quality=70&amp;FPS=10&amp;ResponseFormat=Text</v>
      </c>
      <c r="P676" s="6">
        <v>1.0</v>
      </c>
    </row>
    <row r="677">
      <c r="A677" s="36" t="s">
        <v>2055</v>
      </c>
      <c r="B677" s="37" t="s">
        <v>2055</v>
      </c>
      <c r="C677" s="13" t="s">
        <v>2056</v>
      </c>
      <c r="D677" s="5">
        <v>8601.0</v>
      </c>
      <c r="E677" s="5" t="s">
        <v>2562</v>
      </c>
      <c r="F677" s="38" t="s">
        <v>2563</v>
      </c>
      <c r="G677" s="4" t="s">
        <v>2560</v>
      </c>
      <c r="H677" s="4" t="s">
        <v>2561</v>
      </c>
      <c r="I677" s="5" t="s">
        <v>8</v>
      </c>
      <c r="J677" s="5" t="s">
        <v>2061</v>
      </c>
      <c r="K677" s="5" t="s">
        <v>25</v>
      </c>
      <c r="L677" s="11" t="s">
        <v>26</v>
      </c>
      <c r="M677" s="5" t="s">
        <v>27</v>
      </c>
      <c r="N677" s="5" t="s">
        <v>2055</v>
      </c>
      <c r="O677" s="12" t="str">
        <f t="shared" si="2"/>
        <v>https://monitoramento.pm.pr.gov.br/proxy_image_6/Interface/Cameras/GetJPEGStream?Camera=C.142&amp;AuthUser=siscop&amp;AuthPass=Siscop1234&amp;Width=1024&amp;Height=768&amp;Quality=70&amp;FPS=10&amp;ResponseFormat=Text</v>
      </c>
      <c r="P677" s="6">
        <v>1.0</v>
      </c>
    </row>
    <row r="678">
      <c r="A678" s="36" t="s">
        <v>2055</v>
      </c>
      <c r="B678" s="37" t="s">
        <v>2055</v>
      </c>
      <c r="C678" s="13" t="s">
        <v>2056</v>
      </c>
      <c r="D678" s="5">
        <v>8601.0</v>
      </c>
      <c r="E678" s="5" t="s">
        <v>2564</v>
      </c>
      <c r="F678" s="38" t="s">
        <v>2565</v>
      </c>
      <c r="G678" s="4" t="s">
        <v>2560</v>
      </c>
      <c r="H678" s="4" t="s">
        <v>2561</v>
      </c>
      <c r="I678" s="5" t="s">
        <v>8</v>
      </c>
      <c r="J678" s="5" t="s">
        <v>2061</v>
      </c>
      <c r="K678" s="5" t="s">
        <v>25</v>
      </c>
      <c r="L678" s="11" t="s">
        <v>26</v>
      </c>
      <c r="M678" s="5" t="s">
        <v>27</v>
      </c>
      <c r="N678" s="5" t="s">
        <v>2055</v>
      </c>
      <c r="O678" s="12" t="str">
        <f t="shared" si="2"/>
        <v>https://monitoramento.pm.pr.gov.br/proxy_image_6/Interface/Cameras/GetJPEGStream?Camera=C.143&amp;AuthUser=siscop&amp;AuthPass=Siscop1234&amp;Width=1024&amp;Height=768&amp;Quality=70&amp;FPS=10&amp;ResponseFormat=Text</v>
      </c>
      <c r="P678" s="6">
        <v>1.0</v>
      </c>
    </row>
    <row r="679">
      <c r="A679" s="36" t="s">
        <v>2055</v>
      </c>
      <c r="B679" s="37" t="s">
        <v>2055</v>
      </c>
      <c r="C679" s="13" t="s">
        <v>2056</v>
      </c>
      <c r="D679" s="5">
        <v>8601.0</v>
      </c>
      <c r="E679" s="5" t="s">
        <v>2566</v>
      </c>
      <c r="F679" s="38" t="s">
        <v>2567</v>
      </c>
      <c r="G679" s="4" t="s">
        <v>2568</v>
      </c>
      <c r="H679" s="4" t="s">
        <v>2569</v>
      </c>
      <c r="I679" s="5" t="s">
        <v>8</v>
      </c>
      <c r="J679" s="5" t="s">
        <v>2061</v>
      </c>
      <c r="K679" s="5" t="s">
        <v>25</v>
      </c>
      <c r="L679" s="11" t="s">
        <v>26</v>
      </c>
      <c r="M679" s="5" t="s">
        <v>27</v>
      </c>
      <c r="N679" s="5" t="s">
        <v>2055</v>
      </c>
      <c r="O679" s="12" t="str">
        <f t="shared" si="2"/>
        <v>https://monitoramento.pm.pr.gov.br/proxy_image_6/Interface/Cameras/GetJPEGStream?Camera=C.144&amp;AuthUser=siscop&amp;AuthPass=Siscop1234&amp;Width=1024&amp;Height=768&amp;Quality=70&amp;FPS=10&amp;ResponseFormat=Text</v>
      </c>
      <c r="P679" s="6">
        <v>1.0</v>
      </c>
    </row>
    <row r="680">
      <c r="A680" s="36" t="s">
        <v>2055</v>
      </c>
      <c r="B680" s="37" t="s">
        <v>2055</v>
      </c>
      <c r="C680" s="13" t="s">
        <v>2056</v>
      </c>
      <c r="D680" s="5">
        <v>8601.0</v>
      </c>
      <c r="E680" s="5" t="s">
        <v>2570</v>
      </c>
      <c r="F680" s="38" t="s">
        <v>2571</v>
      </c>
      <c r="G680" s="4" t="s">
        <v>2568</v>
      </c>
      <c r="H680" s="4" t="s">
        <v>2569</v>
      </c>
      <c r="I680" s="5" t="s">
        <v>8</v>
      </c>
      <c r="J680" s="5" t="s">
        <v>2061</v>
      </c>
      <c r="K680" s="5" t="s">
        <v>25</v>
      </c>
      <c r="L680" s="11" t="s">
        <v>26</v>
      </c>
      <c r="M680" s="5" t="s">
        <v>27</v>
      </c>
      <c r="N680" s="5" t="s">
        <v>2055</v>
      </c>
      <c r="O680" s="12" t="str">
        <f t="shared" si="2"/>
        <v>https://monitoramento.pm.pr.gov.br/proxy_image_6/Interface/Cameras/GetJPEGStream?Camera=C.145&amp;AuthUser=siscop&amp;AuthPass=Siscop1234&amp;Width=1024&amp;Height=768&amp;Quality=70&amp;FPS=10&amp;ResponseFormat=Text</v>
      </c>
      <c r="P680" s="6">
        <v>1.0</v>
      </c>
    </row>
    <row r="681">
      <c r="A681" s="36" t="s">
        <v>2055</v>
      </c>
      <c r="B681" s="37" t="s">
        <v>2055</v>
      </c>
      <c r="C681" s="13" t="s">
        <v>2056</v>
      </c>
      <c r="D681" s="5">
        <v>8601.0</v>
      </c>
      <c r="E681" s="5" t="s">
        <v>2572</v>
      </c>
      <c r="F681" s="38" t="s">
        <v>2573</v>
      </c>
      <c r="G681" s="4" t="s">
        <v>2406</v>
      </c>
      <c r="H681" s="4" t="s">
        <v>2407</v>
      </c>
      <c r="I681" s="5" t="s">
        <v>8</v>
      </c>
      <c r="J681" s="5" t="s">
        <v>2061</v>
      </c>
      <c r="K681" s="5" t="s">
        <v>25</v>
      </c>
      <c r="L681" s="11" t="s">
        <v>26</v>
      </c>
      <c r="M681" s="5" t="s">
        <v>27</v>
      </c>
      <c r="N681" s="5" t="s">
        <v>2055</v>
      </c>
      <c r="O681" s="12" t="str">
        <f t="shared" si="2"/>
        <v>https://monitoramento.pm.pr.gov.br/proxy_image_6/Interface/Cameras/GetJPEGStream?Camera=C.146&amp;AuthUser=siscop&amp;AuthPass=Siscop1234&amp;Width=1024&amp;Height=768&amp;Quality=70&amp;FPS=10&amp;ResponseFormat=Text</v>
      </c>
      <c r="P681" s="6">
        <v>1.0</v>
      </c>
    </row>
    <row r="682">
      <c r="A682" s="36" t="s">
        <v>2055</v>
      </c>
      <c r="B682" s="37" t="s">
        <v>2055</v>
      </c>
      <c r="C682" s="13" t="s">
        <v>2056</v>
      </c>
      <c r="D682" s="5">
        <v>8601.0</v>
      </c>
      <c r="E682" s="5" t="s">
        <v>2574</v>
      </c>
      <c r="F682" s="38" t="s">
        <v>2575</v>
      </c>
      <c r="G682" s="4" t="s">
        <v>2576</v>
      </c>
      <c r="H682" s="4" t="s">
        <v>2577</v>
      </c>
      <c r="I682" s="5" t="s">
        <v>8</v>
      </c>
      <c r="J682" s="5" t="s">
        <v>2061</v>
      </c>
      <c r="K682" s="5" t="s">
        <v>25</v>
      </c>
      <c r="L682" s="11" t="s">
        <v>26</v>
      </c>
      <c r="M682" s="5" t="s">
        <v>27</v>
      </c>
      <c r="N682" s="5" t="s">
        <v>2055</v>
      </c>
      <c r="O682" s="12" t="str">
        <f t="shared" si="2"/>
        <v>https://monitoramento.pm.pr.gov.br/proxy_image_6/Interface/Cameras/GetJPEGStream?Camera=C.147&amp;AuthUser=siscop&amp;AuthPass=Siscop1234&amp;Width=1024&amp;Height=768&amp;Quality=70&amp;FPS=10&amp;ResponseFormat=Text</v>
      </c>
      <c r="P682" s="6">
        <v>1.0</v>
      </c>
    </row>
    <row r="683">
      <c r="A683" s="36" t="s">
        <v>2055</v>
      </c>
      <c r="B683" s="37" t="s">
        <v>2055</v>
      </c>
      <c r="C683" s="13" t="s">
        <v>2056</v>
      </c>
      <c r="D683" s="5">
        <v>8601.0</v>
      </c>
      <c r="E683" s="5" t="s">
        <v>2578</v>
      </c>
      <c r="F683" s="38" t="s">
        <v>2579</v>
      </c>
      <c r="G683" s="4" t="s">
        <v>2580</v>
      </c>
      <c r="H683" s="4" t="s">
        <v>2581</v>
      </c>
      <c r="I683" s="5" t="s">
        <v>8</v>
      </c>
      <c r="J683" s="5" t="s">
        <v>2061</v>
      </c>
      <c r="K683" s="5" t="s">
        <v>25</v>
      </c>
      <c r="L683" s="11" t="s">
        <v>26</v>
      </c>
      <c r="M683" s="5" t="s">
        <v>27</v>
      </c>
      <c r="N683" s="5" t="s">
        <v>2055</v>
      </c>
      <c r="O683" s="12" t="str">
        <f t="shared" si="2"/>
        <v>https://monitoramento.pm.pr.gov.br/proxy_image_6/Interface/Cameras/GetJPEGStream?Camera=C.148&amp;AuthUser=siscop&amp;AuthPass=Siscop1234&amp;Width=1024&amp;Height=768&amp;Quality=70&amp;FPS=10&amp;ResponseFormat=Text</v>
      </c>
      <c r="P683" s="6">
        <v>1.0</v>
      </c>
    </row>
    <row r="684">
      <c r="A684" s="36" t="s">
        <v>2055</v>
      </c>
      <c r="B684" s="37" t="s">
        <v>2055</v>
      </c>
      <c r="C684" s="13" t="s">
        <v>2056</v>
      </c>
      <c r="D684" s="5">
        <v>8601.0</v>
      </c>
      <c r="E684" s="5" t="s">
        <v>2582</v>
      </c>
      <c r="F684" s="38" t="s">
        <v>2583</v>
      </c>
      <c r="G684" s="4" t="s">
        <v>2584</v>
      </c>
      <c r="H684" s="4" t="s">
        <v>2585</v>
      </c>
      <c r="I684" s="5" t="s">
        <v>8</v>
      </c>
      <c r="J684" s="5" t="s">
        <v>2061</v>
      </c>
      <c r="K684" s="5" t="s">
        <v>25</v>
      </c>
      <c r="L684" s="11" t="s">
        <v>26</v>
      </c>
      <c r="M684" s="5" t="s">
        <v>27</v>
      </c>
      <c r="N684" s="5" t="s">
        <v>2055</v>
      </c>
      <c r="O684" s="12" t="str">
        <f t="shared" si="2"/>
        <v>https://monitoramento.pm.pr.gov.br/proxy_image_6/Interface/Cameras/GetJPEGStream?Camera=C.149&amp;AuthUser=siscop&amp;AuthPass=Siscop1234&amp;Width=1024&amp;Height=768&amp;Quality=70&amp;FPS=10&amp;ResponseFormat=Text</v>
      </c>
      <c r="P684" s="6">
        <v>1.0</v>
      </c>
    </row>
    <row r="685">
      <c r="A685" s="36" t="s">
        <v>2055</v>
      </c>
      <c r="B685" s="37" t="s">
        <v>2055</v>
      </c>
      <c r="C685" s="13" t="s">
        <v>2056</v>
      </c>
      <c r="D685" s="5">
        <v>8601.0</v>
      </c>
      <c r="E685" s="5" t="s">
        <v>2586</v>
      </c>
      <c r="F685" s="38" t="s">
        <v>2587</v>
      </c>
      <c r="G685" s="4" t="s">
        <v>2584</v>
      </c>
      <c r="H685" s="4" t="s">
        <v>2585</v>
      </c>
      <c r="I685" s="5" t="s">
        <v>8</v>
      </c>
      <c r="J685" s="5" t="s">
        <v>2061</v>
      </c>
      <c r="K685" s="5" t="s">
        <v>25</v>
      </c>
      <c r="L685" s="11" t="s">
        <v>26</v>
      </c>
      <c r="M685" s="5" t="s">
        <v>27</v>
      </c>
      <c r="N685" s="5" t="s">
        <v>2055</v>
      </c>
      <c r="O685" s="12" t="str">
        <f t="shared" si="2"/>
        <v>https://monitoramento.pm.pr.gov.br/proxy_image_6/Interface/Cameras/GetJPEGStream?Camera=C.150&amp;AuthUser=siscop&amp;AuthPass=Siscop1234&amp;Width=1024&amp;Height=768&amp;Quality=70&amp;FPS=10&amp;ResponseFormat=Text</v>
      </c>
      <c r="P685" s="6">
        <v>1.0</v>
      </c>
    </row>
    <row r="686">
      <c r="A686" s="36" t="s">
        <v>2055</v>
      </c>
      <c r="B686" s="37" t="s">
        <v>2055</v>
      </c>
      <c r="C686" s="13" t="s">
        <v>2056</v>
      </c>
      <c r="D686" s="5">
        <v>8601.0</v>
      </c>
      <c r="E686" s="5" t="s">
        <v>2588</v>
      </c>
      <c r="F686" s="38" t="s">
        <v>2589</v>
      </c>
      <c r="G686" s="4" t="s">
        <v>2590</v>
      </c>
      <c r="H686" s="4" t="s">
        <v>2591</v>
      </c>
      <c r="I686" s="5" t="s">
        <v>8</v>
      </c>
      <c r="J686" s="5" t="s">
        <v>2061</v>
      </c>
      <c r="K686" s="5" t="s">
        <v>25</v>
      </c>
      <c r="L686" s="11" t="s">
        <v>26</v>
      </c>
      <c r="M686" s="5" t="s">
        <v>27</v>
      </c>
      <c r="N686" s="5" t="s">
        <v>2055</v>
      </c>
      <c r="O686" s="12" t="str">
        <f t="shared" si="2"/>
        <v>https://monitoramento.pm.pr.gov.br/proxy_image_6/Interface/Cameras/GetJPEGStream?Camera=C.151&amp;AuthUser=siscop&amp;AuthPass=Siscop1234&amp;Width=1024&amp;Height=768&amp;Quality=70&amp;FPS=10&amp;ResponseFormat=Text</v>
      </c>
      <c r="P686" s="6">
        <v>1.0</v>
      </c>
    </row>
    <row r="687">
      <c r="A687" s="36" t="s">
        <v>2055</v>
      </c>
      <c r="B687" s="37" t="s">
        <v>2055</v>
      </c>
      <c r="C687" s="13" t="s">
        <v>2056</v>
      </c>
      <c r="D687" s="5">
        <v>8601.0</v>
      </c>
      <c r="E687" s="5" t="s">
        <v>2592</v>
      </c>
      <c r="F687" s="38" t="s">
        <v>2593</v>
      </c>
      <c r="G687" s="4" t="s">
        <v>2590</v>
      </c>
      <c r="H687" s="4" t="s">
        <v>2591</v>
      </c>
      <c r="I687" s="5" t="s">
        <v>8</v>
      </c>
      <c r="J687" s="5" t="s">
        <v>2061</v>
      </c>
      <c r="K687" s="5" t="s">
        <v>25</v>
      </c>
      <c r="L687" s="11" t="s">
        <v>26</v>
      </c>
      <c r="M687" s="5" t="s">
        <v>27</v>
      </c>
      <c r="N687" s="5" t="s">
        <v>2055</v>
      </c>
      <c r="O687" s="12" t="str">
        <f t="shared" si="2"/>
        <v>https://monitoramento.pm.pr.gov.br/proxy_image_6/Interface/Cameras/GetJPEGStream?Camera=C.152&amp;AuthUser=siscop&amp;AuthPass=Siscop1234&amp;Width=1024&amp;Height=768&amp;Quality=70&amp;FPS=10&amp;ResponseFormat=Text</v>
      </c>
      <c r="P687" s="6">
        <v>1.0</v>
      </c>
    </row>
    <row r="688">
      <c r="A688" s="36" t="s">
        <v>2055</v>
      </c>
      <c r="B688" s="37" t="s">
        <v>2055</v>
      </c>
      <c r="C688" s="13" t="s">
        <v>2056</v>
      </c>
      <c r="D688" s="5">
        <v>8601.0</v>
      </c>
      <c r="E688" s="5" t="s">
        <v>2594</v>
      </c>
      <c r="F688" s="38" t="s">
        <v>2595</v>
      </c>
      <c r="G688" s="4" t="s">
        <v>2596</v>
      </c>
      <c r="H688" s="4" t="s">
        <v>2597</v>
      </c>
      <c r="I688" s="5" t="s">
        <v>8</v>
      </c>
      <c r="J688" s="5" t="s">
        <v>2061</v>
      </c>
      <c r="K688" s="5" t="s">
        <v>25</v>
      </c>
      <c r="L688" s="11" t="s">
        <v>26</v>
      </c>
      <c r="M688" s="5" t="s">
        <v>27</v>
      </c>
      <c r="N688" s="5" t="s">
        <v>2055</v>
      </c>
      <c r="O688" s="12" t="str">
        <f t="shared" si="2"/>
        <v>https://monitoramento.pm.pr.gov.br/proxy_image_6/Interface/Cameras/GetJPEGStream?Camera=C.153&amp;AuthUser=siscop&amp;AuthPass=Siscop1234&amp;Width=1024&amp;Height=768&amp;Quality=70&amp;FPS=10&amp;ResponseFormat=Text</v>
      </c>
      <c r="P688" s="6">
        <v>1.0</v>
      </c>
    </row>
    <row r="689">
      <c r="A689" s="36" t="s">
        <v>2055</v>
      </c>
      <c r="B689" s="37" t="s">
        <v>2055</v>
      </c>
      <c r="C689" s="13" t="s">
        <v>2056</v>
      </c>
      <c r="D689" s="5">
        <v>8601.0</v>
      </c>
      <c r="E689" s="5" t="s">
        <v>2598</v>
      </c>
      <c r="F689" s="38" t="s">
        <v>2599</v>
      </c>
      <c r="G689" s="4" t="s">
        <v>2596</v>
      </c>
      <c r="H689" s="4" t="s">
        <v>2597</v>
      </c>
      <c r="I689" s="5" t="s">
        <v>8</v>
      </c>
      <c r="J689" s="5" t="s">
        <v>2061</v>
      </c>
      <c r="K689" s="5" t="s">
        <v>25</v>
      </c>
      <c r="L689" s="11" t="s">
        <v>26</v>
      </c>
      <c r="M689" s="5" t="s">
        <v>27</v>
      </c>
      <c r="N689" s="5" t="s">
        <v>2055</v>
      </c>
      <c r="O689" s="12" t="str">
        <f t="shared" si="2"/>
        <v>https://monitoramento.pm.pr.gov.br/proxy_image_6/Interface/Cameras/GetJPEGStream?Camera=C.154&amp;AuthUser=siscop&amp;AuthPass=Siscop1234&amp;Width=1024&amp;Height=768&amp;Quality=70&amp;FPS=10&amp;ResponseFormat=Text</v>
      </c>
      <c r="P689" s="6">
        <v>1.0</v>
      </c>
    </row>
    <row r="690">
      <c r="A690" s="36" t="s">
        <v>2055</v>
      </c>
      <c r="B690" s="37" t="s">
        <v>2055</v>
      </c>
      <c r="C690" s="13" t="s">
        <v>2056</v>
      </c>
      <c r="D690" s="5">
        <v>8601.0</v>
      </c>
      <c r="E690" s="5" t="s">
        <v>2600</v>
      </c>
      <c r="F690" s="38" t="s">
        <v>2601</v>
      </c>
      <c r="G690" s="4" t="s">
        <v>2596</v>
      </c>
      <c r="H690" s="4" t="s">
        <v>2597</v>
      </c>
      <c r="I690" s="5" t="s">
        <v>8</v>
      </c>
      <c r="J690" s="5" t="s">
        <v>2061</v>
      </c>
      <c r="K690" s="5" t="s">
        <v>25</v>
      </c>
      <c r="L690" s="11" t="s">
        <v>26</v>
      </c>
      <c r="M690" s="5" t="s">
        <v>27</v>
      </c>
      <c r="N690" s="5" t="s">
        <v>2055</v>
      </c>
      <c r="O690" s="12" t="str">
        <f t="shared" si="2"/>
        <v>https://monitoramento.pm.pr.gov.br/proxy_image_6/Interface/Cameras/GetJPEGStream?Camera=C.155&amp;AuthUser=siscop&amp;AuthPass=Siscop1234&amp;Width=1024&amp;Height=768&amp;Quality=70&amp;FPS=10&amp;ResponseFormat=Text</v>
      </c>
      <c r="P690" s="6">
        <v>1.0</v>
      </c>
    </row>
    <row r="691">
      <c r="A691" s="36" t="s">
        <v>2055</v>
      </c>
      <c r="B691" s="37" t="s">
        <v>2055</v>
      </c>
      <c r="C691" s="13" t="s">
        <v>2056</v>
      </c>
      <c r="D691" s="5">
        <v>8601.0</v>
      </c>
      <c r="E691" s="5" t="s">
        <v>2602</v>
      </c>
      <c r="F691" s="38" t="s">
        <v>2603</v>
      </c>
      <c r="G691" s="4" t="s">
        <v>2604</v>
      </c>
      <c r="H691" s="4" t="s">
        <v>2605</v>
      </c>
      <c r="I691" s="5" t="s">
        <v>8</v>
      </c>
      <c r="J691" s="5" t="s">
        <v>2061</v>
      </c>
      <c r="K691" s="5" t="s">
        <v>25</v>
      </c>
      <c r="L691" s="11" t="s">
        <v>26</v>
      </c>
      <c r="M691" s="5" t="s">
        <v>27</v>
      </c>
      <c r="N691" s="5" t="s">
        <v>2055</v>
      </c>
      <c r="O691" s="12" t="str">
        <f t="shared" si="2"/>
        <v>https://monitoramento.pm.pr.gov.br/proxy_image_6/Interface/Cameras/GetJPEGStream?Camera=C.156&amp;AuthUser=siscop&amp;AuthPass=Siscop1234&amp;Width=1024&amp;Height=768&amp;Quality=70&amp;FPS=10&amp;ResponseFormat=Text</v>
      </c>
      <c r="P691" s="6">
        <v>1.0</v>
      </c>
    </row>
    <row r="692">
      <c r="A692" s="36" t="s">
        <v>2055</v>
      </c>
      <c r="B692" s="37" t="s">
        <v>2055</v>
      </c>
      <c r="C692" s="13" t="s">
        <v>2056</v>
      </c>
      <c r="D692" s="5">
        <v>8601.0</v>
      </c>
      <c r="E692" s="5" t="s">
        <v>2606</v>
      </c>
      <c r="F692" s="38" t="s">
        <v>2117</v>
      </c>
      <c r="G692" s="4" t="s">
        <v>2110</v>
      </c>
      <c r="H692" s="4" t="s">
        <v>2111</v>
      </c>
      <c r="I692" s="5" t="s">
        <v>8</v>
      </c>
      <c r="J692" s="5" t="s">
        <v>2061</v>
      </c>
      <c r="K692" s="5" t="s">
        <v>25</v>
      </c>
      <c r="L692" s="11" t="s">
        <v>26</v>
      </c>
      <c r="M692" s="5" t="s">
        <v>27</v>
      </c>
      <c r="N692" s="5" t="s">
        <v>2055</v>
      </c>
      <c r="O692" s="12" t="str">
        <f t="shared" si="2"/>
        <v>https://monitoramento.pm.pr.gov.br/proxy_image_6/Interface/Cameras/GetJPEGStream?Camera=C.157&amp;AuthUser=siscop&amp;AuthPass=Siscop1234&amp;Width=1024&amp;Height=768&amp;Quality=70&amp;FPS=10&amp;ResponseFormat=Text</v>
      </c>
      <c r="P692" s="6">
        <v>1.0</v>
      </c>
    </row>
    <row r="693">
      <c r="A693" s="36" t="s">
        <v>2607</v>
      </c>
      <c r="B693" s="37" t="s">
        <v>2607</v>
      </c>
      <c r="C693" s="13" t="s">
        <v>2608</v>
      </c>
      <c r="D693" s="5">
        <v>8601.0</v>
      </c>
      <c r="E693" s="38" t="s">
        <v>2609</v>
      </c>
      <c r="F693" s="38" t="s">
        <v>2610</v>
      </c>
      <c r="G693" s="4" t="s">
        <v>2611</v>
      </c>
      <c r="H693" s="4" t="s">
        <v>2612</v>
      </c>
      <c r="I693" s="5" t="s">
        <v>8</v>
      </c>
      <c r="J693" s="5" t="s">
        <v>2061</v>
      </c>
      <c r="K693" s="5" t="s">
        <v>25</v>
      </c>
      <c r="L693" s="11" t="s">
        <v>26</v>
      </c>
      <c r="M693" s="5" t="s">
        <v>27</v>
      </c>
      <c r="N693" s="37" t="s">
        <v>2607</v>
      </c>
      <c r="O693" s="12" t="str">
        <f t="shared" si="2"/>
        <v>https://monitoramento.pm.pr.gov.br/proxy_image_7/Interface/Cameras/GetJPEGStream?Camera=P001_Cxt&amp;AuthUser=siscop&amp;AuthPass=Siscop1234&amp;Width=1024&amp;Height=768&amp;Quality=70&amp;FPS=10&amp;ResponseFormat=Text</v>
      </c>
      <c r="P693" s="6">
        <v>1.0</v>
      </c>
    </row>
    <row r="694">
      <c r="A694" s="36" t="s">
        <v>2607</v>
      </c>
      <c r="B694" s="37" t="s">
        <v>2607</v>
      </c>
      <c r="C694" s="13" t="s">
        <v>2608</v>
      </c>
      <c r="D694" s="5">
        <v>8601.0</v>
      </c>
      <c r="E694" s="38" t="s">
        <v>2613</v>
      </c>
      <c r="F694" s="38" t="s">
        <v>2614</v>
      </c>
      <c r="G694" s="4" t="s">
        <v>2615</v>
      </c>
      <c r="H694" s="4" t="s">
        <v>2616</v>
      </c>
      <c r="I694" s="5" t="s">
        <v>8</v>
      </c>
      <c r="J694" s="5" t="s">
        <v>2061</v>
      </c>
      <c r="K694" s="5" t="s">
        <v>25</v>
      </c>
      <c r="L694" s="11" t="s">
        <v>26</v>
      </c>
      <c r="M694" s="5" t="s">
        <v>27</v>
      </c>
      <c r="N694" s="37" t="s">
        <v>2607</v>
      </c>
      <c r="O694" s="12" t="str">
        <f t="shared" si="2"/>
        <v>https://monitoramento.pm.pr.gov.br/proxy_image_7/Interface/Cameras/GetJPEGStream?Camera=P002_Cxt&amp;AuthUser=siscop&amp;AuthPass=Siscop1234&amp;Width=1024&amp;Height=768&amp;Quality=70&amp;FPS=10&amp;ResponseFormat=Text</v>
      </c>
      <c r="P694" s="6">
        <v>1.0</v>
      </c>
    </row>
    <row r="695">
      <c r="A695" s="36" t="s">
        <v>2607</v>
      </c>
      <c r="B695" s="37" t="s">
        <v>2607</v>
      </c>
      <c r="C695" s="13" t="s">
        <v>2608</v>
      </c>
      <c r="D695" s="5">
        <v>8601.0</v>
      </c>
      <c r="E695" s="38" t="s">
        <v>2617</v>
      </c>
      <c r="F695" s="38" t="s">
        <v>2618</v>
      </c>
      <c r="G695" s="4" t="s">
        <v>2619</v>
      </c>
      <c r="H695" s="4" t="s">
        <v>2620</v>
      </c>
      <c r="I695" s="5" t="s">
        <v>8</v>
      </c>
      <c r="J695" s="5" t="s">
        <v>2061</v>
      </c>
      <c r="K695" s="5" t="s">
        <v>25</v>
      </c>
      <c r="L695" s="11" t="s">
        <v>26</v>
      </c>
      <c r="M695" s="5" t="s">
        <v>27</v>
      </c>
      <c r="N695" s="37" t="s">
        <v>2607</v>
      </c>
      <c r="O695" s="12" t="str">
        <f t="shared" si="2"/>
        <v>https://monitoramento.pm.pr.gov.br/proxy_image_7/Interface/Cameras/GetJPEGStream?Camera=P003_Cxt&amp;AuthUser=siscop&amp;AuthPass=Siscop1234&amp;Width=1024&amp;Height=768&amp;Quality=70&amp;FPS=10&amp;ResponseFormat=Text</v>
      </c>
      <c r="P695" s="6">
        <v>1.0</v>
      </c>
    </row>
    <row r="696">
      <c r="A696" s="36" t="s">
        <v>2607</v>
      </c>
      <c r="B696" s="37" t="s">
        <v>2607</v>
      </c>
      <c r="C696" s="13" t="s">
        <v>2608</v>
      </c>
      <c r="D696" s="5">
        <v>8601.0</v>
      </c>
      <c r="E696" s="38" t="s">
        <v>2621</v>
      </c>
      <c r="F696" s="38" t="s">
        <v>2622</v>
      </c>
      <c r="G696" s="4" t="s">
        <v>2623</v>
      </c>
      <c r="H696" s="4" t="s">
        <v>2624</v>
      </c>
      <c r="I696" s="5" t="s">
        <v>8</v>
      </c>
      <c r="J696" s="5" t="s">
        <v>2061</v>
      </c>
      <c r="K696" s="5" t="s">
        <v>25</v>
      </c>
      <c r="L696" s="11" t="s">
        <v>26</v>
      </c>
      <c r="M696" s="5" t="s">
        <v>27</v>
      </c>
      <c r="N696" s="37" t="s">
        <v>2607</v>
      </c>
      <c r="O696" s="12" t="str">
        <f t="shared" si="2"/>
        <v>https://monitoramento.pm.pr.gov.br/proxy_image_7/Interface/Cameras/GetJPEGStream?Camera=P004_Cxt&amp;AuthUser=siscop&amp;AuthPass=Siscop1234&amp;Width=1024&amp;Height=768&amp;Quality=70&amp;FPS=10&amp;ResponseFormat=Text</v>
      </c>
      <c r="P696" s="6">
        <v>1.0</v>
      </c>
    </row>
    <row r="697">
      <c r="A697" s="36" t="s">
        <v>2607</v>
      </c>
      <c r="B697" s="37" t="s">
        <v>2607</v>
      </c>
      <c r="C697" s="13" t="s">
        <v>2608</v>
      </c>
      <c r="D697" s="5">
        <v>8601.0</v>
      </c>
      <c r="E697" s="38" t="s">
        <v>2625</v>
      </c>
      <c r="F697" s="38" t="s">
        <v>2626</v>
      </c>
      <c r="G697" s="4" t="s">
        <v>2627</v>
      </c>
      <c r="H697" s="4" t="s">
        <v>2628</v>
      </c>
      <c r="I697" s="5" t="s">
        <v>8</v>
      </c>
      <c r="J697" s="5" t="s">
        <v>2061</v>
      </c>
      <c r="K697" s="5" t="s">
        <v>25</v>
      </c>
      <c r="L697" s="11" t="s">
        <v>26</v>
      </c>
      <c r="M697" s="5" t="s">
        <v>27</v>
      </c>
      <c r="N697" s="37" t="s">
        <v>2607</v>
      </c>
      <c r="O697" s="12" t="str">
        <f t="shared" si="2"/>
        <v>https://monitoramento.pm.pr.gov.br/proxy_image_7/Interface/Cameras/GetJPEGStream?Camera=P005_Cxt&amp;AuthUser=siscop&amp;AuthPass=Siscop1234&amp;Width=1024&amp;Height=768&amp;Quality=70&amp;FPS=10&amp;ResponseFormat=Text</v>
      </c>
      <c r="P697" s="6">
        <v>1.0</v>
      </c>
    </row>
    <row r="698">
      <c r="A698" s="36" t="s">
        <v>2607</v>
      </c>
      <c r="B698" s="37" t="s">
        <v>2607</v>
      </c>
      <c r="C698" s="13" t="s">
        <v>2608</v>
      </c>
      <c r="D698" s="5">
        <v>8601.0</v>
      </c>
      <c r="E698" s="38" t="s">
        <v>2629</v>
      </c>
      <c r="F698" s="38" t="s">
        <v>2630</v>
      </c>
      <c r="G698" s="4" t="s">
        <v>2631</v>
      </c>
      <c r="H698" s="4" t="s">
        <v>2632</v>
      </c>
      <c r="I698" s="5" t="s">
        <v>8</v>
      </c>
      <c r="J698" s="5" t="s">
        <v>2061</v>
      </c>
      <c r="K698" s="5" t="s">
        <v>25</v>
      </c>
      <c r="L698" s="11" t="s">
        <v>26</v>
      </c>
      <c r="M698" s="5" t="s">
        <v>27</v>
      </c>
      <c r="N698" s="37" t="s">
        <v>2607</v>
      </c>
      <c r="O698" s="12" t="str">
        <f t="shared" si="2"/>
        <v>https://monitoramento.pm.pr.gov.br/proxy_image_7/Interface/Cameras/GetJPEGStream?Camera=P006.1_Cxt&amp;AuthUser=siscop&amp;AuthPass=Siscop1234&amp;Width=1024&amp;Height=768&amp;Quality=70&amp;FPS=10&amp;ResponseFormat=Text</v>
      </c>
      <c r="P698" s="6">
        <v>1.0</v>
      </c>
    </row>
    <row r="699">
      <c r="A699" s="36" t="s">
        <v>2607</v>
      </c>
      <c r="B699" s="37" t="s">
        <v>2607</v>
      </c>
      <c r="C699" s="13" t="s">
        <v>2608</v>
      </c>
      <c r="D699" s="5">
        <v>8601.0</v>
      </c>
      <c r="E699" s="38" t="s">
        <v>2633</v>
      </c>
      <c r="F699" s="38" t="s">
        <v>2634</v>
      </c>
      <c r="G699" s="4" t="s">
        <v>2635</v>
      </c>
      <c r="H699" s="4" t="s">
        <v>2636</v>
      </c>
      <c r="I699" s="5" t="s">
        <v>8</v>
      </c>
      <c r="J699" s="5" t="s">
        <v>2061</v>
      </c>
      <c r="K699" s="5" t="s">
        <v>25</v>
      </c>
      <c r="L699" s="11" t="s">
        <v>26</v>
      </c>
      <c r="M699" s="5" t="s">
        <v>27</v>
      </c>
      <c r="N699" s="37" t="s">
        <v>2607</v>
      </c>
      <c r="O699" s="12" t="str">
        <f t="shared" si="2"/>
        <v>https://monitoramento.pm.pr.gov.br/proxy_image_7/Interface/Cameras/GetJPEGStream?Camera=P006.2_LPR&amp;AuthUser=siscop&amp;AuthPass=Siscop1234&amp;Width=1024&amp;Height=768&amp;Quality=70&amp;FPS=10&amp;ResponseFormat=Text</v>
      </c>
      <c r="P699" s="6">
        <v>1.0</v>
      </c>
    </row>
    <row r="700">
      <c r="A700" s="36" t="s">
        <v>2607</v>
      </c>
      <c r="B700" s="37" t="s">
        <v>2607</v>
      </c>
      <c r="C700" s="13" t="s">
        <v>2608</v>
      </c>
      <c r="D700" s="5">
        <v>8601.0</v>
      </c>
      <c r="E700" s="38" t="s">
        <v>2637</v>
      </c>
      <c r="F700" s="38" t="s">
        <v>2638</v>
      </c>
      <c r="G700" s="4" t="s">
        <v>2639</v>
      </c>
      <c r="H700" s="4" t="s">
        <v>2640</v>
      </c>
      <c r="I700" s="5" t="s">
        <v>8</v>
      </c>
      <c r="J700" s="5" t="s">
        <v>2061</v>
      </c>
      <c r="K700" s="5" t="s">
        <v>25</v>
      </c>
      <c r="L700" s="11" t="s">
        <v>26</v>
      </c>
      <c r="M700" s="5" t="s">
        <v>27</v>
      </c>
      <c r="N700" s="37" t="s">
        <v>2607</v>
      </c>
      <c r="O700" s="12" t="str">
        <f t="shared" si="2"/>
        <v>https://monitoramento.pm.pr.gov.br/proxy_image_7/Interface/Cameras/GetJPEGStream?Camera=P007.1_LPR&amp;AuthUser=siscop&amp;AuthPass=Siscop1234&amp;Width=1024&amp;Height=768&amp;Quality=70&amp;FPS=10&amp;ResponseFormat=Text</v>
      </c>
      <c r="P700" s="6">
        <v>1.0</v>
      </c>
    </row>
    <row r="701">
      <c r="A701" s="36" t="s">
        <v>2607</v>
      </c>
      <c r="B701" s="37" t="s">
        <v>2607</v>
      </c>
      <c r="C701" s="13" t="s">
        <v>2608</v>
      </c>
      <c r="D701" s="5">
        <v>8601.0</v>
      </c>
      <c r="E701" s="38" t="s">
        <v>2641</v>
      </c>
      <c r="F701" s="38" t="s">
        <v>2642</v>
      </c>
      <c r="G701" s="4" t="s">
        <v>2643</v>
      </c>
      <c r="H701" s="4" t="s">
        <v>2644</v>
      </c>
      <c r="I701" s="5" t="s">
        <v>8</v>
      </c>
      <c r="J701" s="5" t="s">
        <v>2061</v>
      </c>
      <c r="K701" s="5" t="s">
        <v>25</v>
      </c>
      <c r="L701" s="11" t="s">
        <v>26</v>
      </c>
      <c r="M701" s="5" t="s">
        <v>27</v>
      </c>
      <c r="N701" s="37" t="s">
        <v>2607</v>
      </c>
      <c r="O701" s="12" t="str">
        <f t="shared" si="2"/>
        <v>https://monitoramento.pm.pr.gov.br/proxy_image_7/Interface/Cameras/GetJPEGStream?Camera=P007.2_A_Cxt&amp;AuthUser=siscop&amp;AuthPass=Siscop1234&amp;Width=1024&amp;Height=768&amp;Quality=70&amp;FPS=10&amp;ResponseFormat=Text</v>
      </c>
      <c r="P701" s="6">
        <v>1.0</v>
      </c>
    </row>
    <row r="702">
      <c r="A702" s="36" t="s">
        <v>2607</v>
      </c>
      <c r="B702" s="37" t="s">
        <v>2607</v>
      </c>
      <c r="C702" s="13" t="s">
        <v>2608</v>
      </c>
      <c r="D702" s="5">
        <v>8601.0</v>
      </c>
      <c r="E702" s="38" t="s">
        <v>2645</v>
      </c>
      <c r="F702" s="38" t="s">
        <v>2646</v>
      </c>
      <c r="G702" s="4" t="s">
        <v>2647</v>
      </c>
      <c r="H702" s="4" t="s">
        <v>2648</v>
      </c>
      <c r="I702" s="5" t="s">
        <v>8</v>
      </c>
      <c r="J702" s="5" t="s">
        <v>2061</v>
      </c>
      <c r="K702" s="5" t="s">
        <v>25</v>
      </c>
      <c r="L702" s="11" t="s">
        <v>26</v>
      </c>
      <c r="M702" s="5" t="s">
        <v>27</v>
      </c>
      <c r="N702" s="37" t="s">
        <v>2607</v>
      </c>
      <c r="O702" s="12" t="str">
        <f t="shared" si="2"/>
        <v>https://monitoramento.pm.pr.gov.br/proxy_image_7/Interface/Cameras/GetJPEGStream?Camera=P007.2_B_LPR&amp;AuthUser=siscop&amp;AuthPass=Siscop1234&amp;Width=1024&amp;Height=768&amp;Quality=70&amp;FPS=10&amp;ResponseFormat=Text</v>
      </c>
      <c r="P702" s="6">
        <v>1.0</v>
      </c>
    </row>
    <row r="703">
      <c r="A703" s="36" t="s">
        <v>2607</v>
      </c>
      <c r="B703" s="37" t="s">
        <v>2607</v>
      </c>
      <c r="C703" s="13" t="s">
        <v>2608</v>
      </c>
      <c r="D703" s="5">
        <v>8601.0</v>
      </c>
      <c r="E703" s="38" t="s">
        <v>2649</v>
      </c>
      <c r="F703" s="38" t="s">
        <v>2650</v>
      </c>
      <c r="G703" s="4" t="s">
        <v>2651</v>
      </c>
      <c r="H703" s="4" t="s">
        <v>2652</v>
      </c>
      <c r="I703" s="5" t="s">
        <v>8</v>
      </c>
      <c r="J703" s="5" t="s">
        <v>2061</v>
      </c>
      <c r="K703" s="5" t="s">
        <v>25</v>
      </c>
      <c r="L703" s="11" t="s">
        <v>26</v>
      </c>
      <c r="M703" s="5" t="s">
        <v>27</v>
      </c>
      <c r="N703" s="37" t="s">
        <v>2607</v>
      </c>
      <c r="O703" s="12" t="str">
        <f t="shared" si="2"/>
        <v>https://monitoramento.pm.pr.gov.br/proxy_image_7/Interface/Cameras/GetJPEGStream?Camera=P007.3_LPR&amp;AuthUser=siscop&amp;AuthPass=Siscop1234&amp;Width=1024&amp;Height=768&amp;Quality=70&amp;FPS=10&amp;ResponseFormat=Text</v>
      </c>
      <c r="P703" s="6">
        <v>1.0</v>
      </c>
    </row>
    <row r="704">
      <c r="A704" s="36" t="s">
        <v>2607</v>
      </c>
      <c r="B704" s="37" t="s">
        <v>2607</v>
      </c>
      <c r="C704" s="13" t="s">
        <v>2608</v>
      </c>
      <c r="D704" s="5">
        <v>8601.0</v>
      </c>
      <c r="E704" s="38" t="s">
        <v>2653</v>
      </c>
      <c r="F704" s="38" t="s">
        <v>2654</v>
      </c>
      <c r="G704" s="4" t="s">
        <v>2655</v>
      </c>
      <c r="H704" s="4" t="s">
        <v>2656</v>
      </c>
      <c r="I704" s="5" t="s">
        <v>8</v>
      </c>
      <c r="J704" s="5" t="s">
        <v>2061</v>
      </c>
      <c r="K704" s="5" t="s">
        <v>25</v>
      </c>
      <c r="L704" s="11" t="s">
        <v>26</v>
      </c>
      <c r="M704" s="5" t="s">
        <v>27</v>
      </c>
      <c r="N704" s="37" t="s">
        <v>2607</v>
      </c>
      <c r="O704" s="12" t="str">
        <f t="shared" si="2"/>
        <v>https://monitoramento.pm.pr.gov.br/proxy_image_7/Interface/Cameras/GetJPEGStream?Camera=P007.4_Cxt&amp;AuthUser=siscop&amp;AuthPass=Siscop1234&amp;Width=1024&amp;Height=768&amp;Quality=70&amp;FPS=10&amp;ResponseFormat=Text</v>
      </c>
      <c r="P704" s="6">
        <v>1.0</v>
      </c>
    </row>
    <row r="705">
      <c r="A705" s="36" t="s">
        <v>2607</v>
      </c>
      <c r="B705" s="37" t="s">
        <v>2607</v>
      </c>
      <c r="C705" s="13" t="s">
        <v>2608</v>
      </c>
      <c r="D705" s="5">
        <v>8601.0</v>
      </c>
      <c r="E705" s="38" t="s">
        <v>2657</v>
      </c>
      <c r="F705" s="38" t="s">
        <v>2658</v>
      </c>
      <c r="G705" s="4" t="s">
        <v>2659</v>
      </c>
      <c r="H705" s="4" t="s">
        <v>2660</v>
      </c>
      <c r="I705" s="5" t="s">
        <v>8</v>
      </c>
      <c r="J705" s="5" t="s">
        <v>2061</v>
      </c>
      <c r="K705" s="5" t="s">
        <v>25</v>
      </c>
      <c r="L705" s="11" t="s">
        <v>26</v>
      </c>
      <c r="M705" s="5" t="s">
        <v>27</v>
      </c>
      <c r="N705" s="37" t="s">
        <v>2607</v>
      </c>
      <c r="O705" s="12" t="str">
        <f t="shared" si="2"/>
        <v>https://monitoramento.pm.pr.gov.br/proxy_image_7/Interface/Cameras/GetJPEGStream?Camera=P008.1_LPR&amp;AuthUser=siscop&amp;AuthPass=Siscop1234&amp;Width=1024&amp;Height=768&amp;Quality=70&amp;FPS=10&amp;ResponseFormat=Text</v>
      </c>
      <c r="P705" s="6">
        <v>1.0</v>
      </c>
    </row>
    <row r="706">
      <c r="A706" s="36" t="s">
        <v>2607</v>
      </c>
      <c r="B706" s="37" t="s">
        <v>2607</v>
      </c>
      <c r="C706" s="13" t="s">
        <v>2608</v>
      </c>
      <c r="D706" s="5">
        <v>8601.0</v>
      </c>
      <c r="E706" s="38" t="s">
        <v>2661</v>
      </c>
      <c r="F706" s="38" t="s">
        <v>2662</v>
      </c>
      <c r="G706" s="4" t="s">
        <v>2663</v>
      </c>
      <c r="H706" s="4" t="s">
        <v>2664</v>
      </c>
      <c r="I706" s="5" t="s">
        <v>8</v>
      </c>
      <c r="J706" s="5" t="s">
        <v>2061</v>
      </c>
      <c r="K706" s="5" t="s">
        <v>25</v>
      </c>
      <c r="L706" s="11" t="s">
        <v>26</v>
      </c>
      <c r="M706" s="5" t="s">
        <v>27</v>
      </c>
      <c r="N706" s="37" t="s">
        <v>2607</v>
      </c>
      <c r="O706" s="12" t="str">
        <f t="shared" si="2"/>
        <v>https://monitoramento.pm.pr.gov.br/proxy_image_7/Interface/Cameras/GetJPEGStream?Camera=P008.2_Cxt&amp;AuthUser=siscop&amp;AuthPass=Siscop1234&amp;Width=1024&amp;Height=768&amp;Quality=70&amp;FPS=10&amp;ResponseFormat=Text</v>
      </c>
      <c r="P706" s="6">
        <v>1.0</v>
      </c>
    </row>
    <row r="707">
      <c r="A707" s="36" t="s">
        <v>2607</v>
      </c>
      <c r="B707" s="37" t="s">
        <v>2607</v>
      </c>
      <c r="C707" s="13" t="s">
        <v>2608</v>
      </c>
      <c r="D707" s="5">
        <v>8601.0</v>
      </c>
      <c r="E707" s="38" t="s">
        <v>2665</v>
      </c>
      <c r="F707" s="38" t="s">
        <v>2666</v>
      </c>
      <c r="G707" s="4" t="s">
        <v>2667</v>
      </c>
      <c r="H707" s="4" t="s">
        <v>2668</v>
      </c>
      <c r="I707" s="5" t="s">
        <v>8</v>
      </c>
      <c r="J707" s="5" t="s">
        <v>2061</v>
      </c>
      <c r="K707" s="5" t="s">
        <v>25</v>
      </c>
      <c r="L707" s="11" t="s">
        <v>26</v>
      </c>
      <c r="M707" s="5" t="s">
        <v>27</v>
      </c>
      <c r="N707" s="37" t="s">
        <v>2607</v>
      </c>
      <c r="O707" s="12" t="str">
        <f t="shared" si="2"/>
        <v>https://monitoramento.pm.pr.gov.br/proxy_image_7/Interface/Cameras/GetJPEGStream?Camera=P009.2_LPR&amp;AuthUser=siscop&amp;AuthPass=Siscop1234&amp;Width=1024&amp;Height=768&amp;Quality=70&amp;FPS=10&amp;ResponseFormat=Text</v>
      </c>
      <c r="P707" s="6">
        <v>1.0</v>
      </c>
    </row>
    <row r="708">
      <c r="A708" s="36" t="s">
        <v>2607</v>
      </c>
      <c r="B708" s="37" t="s">
        <v>2607</v>
      </c>
      <c r="C708" s="13" t="s">
        <v>2608</v>
      </c>
      <c r="D708" s="5">
        <v>8601.0</v>
      </c>
      <c r="E708" s="38" t="s">
        <v>2669</v>
      </c>
      <c r="F708" s="38" t="s">
        <v>2666</v>
      </c>
      <c r="G708" s="4" t="s">
        <v>2667</v>
      </c>
      <c r="H708" s="4" t="s">
        <v>2668</v>
      </c>
      <c r="I708" s="5" t="s">
        <v>8</v>
      </c>
      <c r="J708" s="5" t="s">
        <v>2061</v>
      </c>
      <c r="K708" s="5" t="s">
        <v>25</v>
      </c>
      <c r="L708" s="11" t="s">
        <v>26</v>
      </c>
      <c r="M708" s="5" t="s">
        <v>27</v>
      </c>
      <c r="N708" s="37" t="s">
        <v>2607</v>
      </c>
      <c r="O708" s="12" t="str">
        <f t="shared" si="2"/>
        <v>https://monitoramento.pm.pr.gov.br/proxy_image_7/Interface/Cameras/GetJPEGStream?Camera=P009_Cxt&amp;AuthUser=siscop&amp;AuthPass=Siscop1234&amp;Width=1024&amp;Height=768&amp;Quality=70&amp;FPS=10&amp;ResponseFormat=Text</v>
      </c>
      <c r="P708" s="6">
        <v>1.0</v>
      </c>
    </row>
    <row r="709">
      <c r="A709" s="36" t="s">
        <v>2607</v>
      </c>
      <c r="B709" s="37" t="s">
        <v>2607</v>
      </c>
      <c r="C709" s="13" t="s">
        <v>2608</v>
      </c>
      <c r="D709" s="5">
        <v>8601.0</v>
      </c>
      <c r="E709" s="38" t="s">
        <v>2670</v>
      </c>
      <c r="F709" s="38" t="s">
        <v>2671</v>
      </c>
      <c r="G709" s="4" t="s">
        <v>2672</v>
      </c>
      <c r="H709" s="4" t="s">
        <v>2673</v>
      </c>
      <c r="I709" s="5" t="s">
        <v>8</v>
      </c>
      <c r="J709" s="5" t="s">
        <v>2061</v>
      </c>
      <c r="K709" s="5" t="s">
        <v>25</v>
      </c>
      <c r="L709" s="11" t="s">
        <v>26</v>
      </c>
      <c r="M709" s="5" t="s">
        <v>27</v>
      </c>
      <c r="N709" s="37" t="s">
        <v>2607</v>
      </c>
      <c r="O709" s="12" t="str">
        <f t="shared" si="2"/>
        <v>https://monitoramento.pm.pr.gov.br/proxy_image_7/Interface/Cameras/GetJPEGStream?Camera=P010_A_Cxt&amp;AuthUser=siscop&amp;AuthPass=Siscop1234&amp;Width=1024&amp;Height=768&amp;Quality=70&amp;FPS=10&amp;ResponseFormat=Text</v>
      </c>
      <c r="P709" s="6">
        <v>1.0</v>
      </c>
    </row>
    <row r="710">
      <c r="A710" s="36" t="s">
        <v>2607</v>
      </c>
      <c r="B710" s="37" t="s">
        <v>2607</v>
      </c>
      <c r="C710" s="13" t="s">
        <v>2608</v>
      </c>
      <c r="D710" s="5">
        <v>8601.0</v>
      </c>
      <c r="E710" s="38" t="s">
        <v>2674</v>
      </c>
      <c r="F710" s="38" t="s">
        <v>2671</v>
      </c>
      <c r="G710" s="4" t="s">
        <v>2675</v>
      </c>
      <c r="H710" s="4" t="s">
        <v>2673</v>
      </c>
      <c r="I710" s="5" t="s">
        <v>8</v>
      </c>
      <c r="J710" s="5" t="s">
        <v>2061</v>
      </c>
      <c r="K710" s="5" t="s">
        <v>25</v>
      </c>
      <c r="L710" s="11" t="s">
        <v>26</v>
      </c>
      <c r="M710" s="5" t="s">
        <v>27</v>
      </c>
      <c r="N710" s="37" t="s">
        <v>2607</v>
      </c>
      <c r="O710" s="12" t="str">
        <f t="shared" si="2"/>
        <v>https://monitoramento.pm.pr.gov.br/proxy_image_7/Interface/Cameras/GetJPEGStream?Camera=P010_B_LPR&amp;AuthUser=siscop&amp;AuthPass=Siscop1234&amp;Width=1024&amp;Height=768&amp;Quality=70&amp;FPS=10&amp;ResponseFormat=Text</v>
      </c>
      <c r="P710" s="6">
        <v>1.0</v>
      </c>
    </row>
    <row r="711">
      <c r="A711" s="36" t="s">
        <v>2607</v>
      </c>
      <c r="B711" s="37" t="s">
        <v>2607</v>
      </c>
      <c r="C711" s="13" t="s">
        <v>2608</v>
      </c>
      <c r="D711" s="5">
        <v>8601.0</v>
      </c>
      <c r="E711" s="38" t="s">
        <v>2676</v>
      </c>
      <c r="F711" s="38" t="s">
        <v>2671</v>
      </c>
      <c r="G711" s="4" t="s">
        <v>2672</v>
      </c>
      <c r="H711" s="4" t="s">
        <v>2673</v>
      </c>
      <c r="I711" s="5" t="s">
        <v>8</v>
      </c>
      <c r="J711" s="5" t="s">
        <v>2061</v>
      </c>
      <c r="K711" s="5" t="s">
        <v>25</v>
      </c>
      <c r="L711" s="11" t="s">
        <v>26</v>
      </c>
      <c r="M711" s="5" t="s">
        <v>27</v>
      </c>
      <c r="N711" s="37" t="s">
        <v>2607</v>
      </c>
      <c r="O711" s="12" t="str">
        <f t="shared" si="2"/>
        <v>https://monitoramento.pm.pr.gov.br/proxy_image_7/Interface/Cameras/GetJPEGStream?Camera=P010_C_Cxt&amp;AuthUser=siscop&amp;AuthPass=Siscop1234&amp;Width=1024&amp;Height=768&amp;Quality=70&amp;FPS=10&amp;ResponseFormat=Text</v>
      </c>
      <c r="P711" s="6">
        <v>1.0</v>
      </c>
    </row>
    <row r="712">
      <c r="A712" s="36" t="s">
        <v>2607</v>
      </c>
      <c r="B712" s="37" t="s">
        <v>2607</v>
      </c>
      <c r="C712" s="13" t="s">
        <v>2608</v>
      </c>
      <c r="D712" s="5">
        <v>8601.0</v>
      </c>
      <c r="E712" s="38" t="s">
        <v>2677</v>
      </c>
      <c r="F712" s="38" t="s">
        <v>2678</v>
      </c>
      <c r="G712" s="4" t="s">
        <v>2679</v>
      </c>
      <c r="H712" s="4" t="s">
        <v>2680</v>
      </c>
      <c r="I712" s="5" t="s">
        <v>8</v>
      </c>
      <c r="J712" s="5" t="s">
        <v>2061</v>
      </c>
      <c r="K712" s="5" t="s">
        <v>25</v>
      </c>
      <c r="L712" s="11" t="s">
        <v>26</v>
      </c>
      <c r="M712" s="5" t="s">
        <v>27</v>
      </c>
      <c r="N712" s="37" t="s">
        <v>2607</v>
      </c>
      <c r="O712" s="12" t="str">
        <f t="shared" si="2"/>
        <v>https://monitoramento.pm.pr.gov.br/proxy_image_7/Interface/Cameras/GetJPEGStream?Camera=P011.2_LPR&amp;AuthUser=siscop&amp;AuthPass=Siscop1234&amp;Width=1024&amp;Height=768&amp;Quality=70&amp;FPS=10&amp;ResponseFormat=Text</v>
      </c>
      <c r="P712" s="6">
        <v>1.0</v>
      </c>
    </row>
    <row r="713">
      <c r="A713" s="36" t="s">
        <v>2607</v>
      </c>
      <c r="B713" s="37" t="s">
        <v>2607</v>
      </c>
      <c r="C713" s="13" t="s">
        <v>2608</v>
      </c>
      <c r="D713" s="5">
        <v>8601.0</v>
      </c>
      <c r="E713" s="38" t="s">
        <v>2681</v>
      </c>
      <c r="F713" s="38" t="s">
        <v>2682</v>
      </c>
      <c r="G713" s="4" t="s">
        <v>2683</v>
      </c>
      <c r="H713" s="4" t="s">
        <v>2684</v>
      </c>
      <c r="I713" s="5" t="s">
        <v>8</v>
      </c>
      <c r="J713" s="5" t="s">
        <v>2061</v>
      </c>
      <c r="K713" s="5" t="s">
        <v>25</v>
      </c>
      <c r="L713" s="11" t="s">
        <v>26</v>
      </c>
      <c r="M713" s="5" t="s">
        <v>27</v>
      </c>
      <c r="N713" s="37" t="s">
        <v>2607</v>
      </c>
      <c r="O713" s="12" t="str">
        <f t="shared" si="2"/>
        <v>https://monitoramento.pm.pr.gov.br/proxy_image_7/Interface/Cameras/GetJPEGStream?Camera=P011_Cxt&amp;AuthUser=siscop&amp;AuthPass=Siscop1234&amp;Width=1024&amp;Height=768&amp;Quality=70&amp;FPS=10&amp;ResponseFormat=Text</v>
      </c>
      <c r="P713" s="6">
        <v>1.0</v>
      </c>
    </row>
    <row r="714">
      <c r="A714" s="36" t="s">
        <v>2607</v>
      </c>
      <c r="B714" s="37" t="s">
        <v>2607</v>
      </c>
      <c r="C714" s="13" t="s">
        <v>2608</v>
      </c>
      <c r="D714" s="5">
        <v>8601.0</v>
      </c>
      <c r="E714" s="38" t="s">
        <v>2685</v>
      </c>
      <c r="F714" s="38" t="s">
        <v>2686</v>
      </c>
      <c r="G714" s="4" t="s">
        <v>2687</v>
      </c>
      <c r="H714" s="4" t="s">
        <v>2688</v>
      </c>
      <c r="I714" s="5" t="s">
        <v>8</v>
      </c>
      <c r="J714" s="5" t="s">
        <v>2061</v>
      </c>
      <c r="K714" s="5" t="s">
        <v>25</v>
      </c>
      <c r="L714" s="11" t="s">
        <v>26</v>
      </c>
      <c r="M714" s="5" t="s">
        <v>27</v>
      </c>
      <c r="N714" s="37" t="s">
        <v>2607</v>
      </c>
      <c r="O714" s="12" t="str">
        <f t="shared" si="2"/>
        <v>https://monitoramento.pm.pr.gov.br/proxy_image_7/Interface/Cameras/GetJPEGStream?Camera=P012.2_Cxt&amp;AuthUser=siscop&amp;AuthPass=Siscop1234&amp;Width=1024&amp;Height=768&amp;Quality=70&amp;FPS=10&amp;ResponseFormat=Text</v>
      </c>
      <c r="P714" s="6">
        <v>1.0</v>
      </c>
    </row>
    <row r="715">
      <c r="A715" s="36" t="s">
        <v>2607</v>
      </c>
      <c r="B715" s="37" t="s">
        <v>2607</v>
      </c>
      <c r="C715" s="13" t="s">
        <v>2608</v>
      </c>
      <c r="D715" s="5">
        <v>8601.0</v>
      </c>
      <c r="E715" s="38" t="s">
        <v>2689</v>
      </c>
      <c r="F715" s="38" t="s">
        <v>2686</v>
      </c>
      <c r="G715" s="4" t="s">
        <v>2687</v>
      </c>
      <c r="H715" s="4" t="s">
        <v>2688</v>
      </c>
      <c r="I715" s="5" t="s">
        <v>8</v>
      </c>
      <c r="J715" s="5" t="s">
        <v>2061</v>
      </c>
      <c r="K715" s="5" t="s">
        <v>25</v>
      </c>
      <c r="L715" s="11" t="s">
        <v>26</v>
      </c>
      <c r="M715" s="5" t="s">
        <v>27</v>
      </c>
      <c r="N715" s="37" t="s">
        <v>2607</v>
      </c>
      <c r="O715" s="12" t="str">
        <f t="shared" si="2"/>
        <v>https://monitoramento.pm.pr.gov.br/proxy_image_7/Interface/Cameras/GetJPEGStream?Camera=P012_LPR&amp;AuthUser=siscop&amp;AuthPass=Siscop1234&amp;Width=1024&amp;Height=768&amp;Quality=70&amp;FPS=10&amp;ResponseFormat=Text</v>
      </c>
      <c r="P715" s="6">
        <v>1.0</v>
      </c>
    </row>
    <row r="716">
      <c r="A716" s="36" t="s">
        <v>2607</v>
      </c>
      <c r="B716" s="37" t="s">
        <v>2607</v>
      </c>
      <c r="C716" s="13" t="s">
        <v>2608</v>
      </c>
      <c r="D716" s="5">
        <v>8601.0</v>
      </c>
      <c r="E716" s="38" t="s">
        <v>2690</v>
      </c>
      <c r="F716" s="38" t="s">
        <v>2691</v>
      </c>
      <c r="G716" s="4" t="s">
        <v>2679</v>
      </c>
      <c r="H716" s="4" t="s">
        <v>2680</v>
      </c>
      <c r="I716" s="5" t="s">
        <v>8</v>
      </c>
      <c r="J716" s="5" t="s">
        <v>2061</v>
      </c>
      <c r="K716" s="5" t="s">
        <v>25</v>
      </c>
      <c r="L716" s="11" t="s">
        <v>26</v>
      </c>
      <c r="M716" s="5" t="s">
        <v>27</v>
      </c>
      <c r="N716" s="37" t="s">
        <v>2607</v>
      </c>
      <c r="O716" s="12" t="str">
        <f t="shared" si="2"/>
        <v>https://monitoramento.pm.pr.gov.br/proxy_image_7/Interface/Cameras/GetJPEGStream?Camera=P013.2_LPR&amp;AuthUser=siscop&amp;AuthPass=Siscop1234&amp;Width=1024&amp;Height=768&amp;Quality=70&amp;FPS=10&amp;ResponseFormat=Text</v>
      </c>
      <c r="P716" s="6">
        <v>1.0</v>
      </c>
    </row>
    <row r="717">
      <c r="A717" s="36" t="s">
        <v>2607</v>
      </c>
      <c r="B717" s="37" t="s">
        <v>2607</v>
      </c>
      <c r="C717" s="13" t="s">
        <v>2608</v>
      </c>
      <c r="D717" s="5">
        <v>8601.0</v>
      </c>
      <c r="E717" s="38" t="s">
        <v>2692</v>
      </c>
      <c r="F717" s="38" t="s">
        <v>2691</v>
      </c>
      <c r="G717" s="4" t="s">
        <v>2679</v>
      </c>
      <c r="H717" s="4" t="s">
        <v>2680</v>
      </c>
      <c r="I717" s="5" t="s">
        <v>8</v>
      </c>
      <c r="J717" s="5" t="s">
        <v>2061</v>
      </c>
      <c r="K717" s="5" t="s">
        <v>25</v>
      </c>
      <c r="L717" s="11" t="s">
        <v>26</v>
      </c>
      <c r="M717" s="5" t="s">
        <v>27</v>
      </c>
      <c r="N717" s="37" t="s">
        <v>2607</v>
      </c>
      <c r="O717" s="12" t="str">
        <f t="shared" si="2"/>
        <v>https://monitoramento.pm.pr.gov.br/proxy_image_7/Interface/Cameras/GetJPEGStream?Camera=P013_Cxt&amp;AuthUser=siscop&amp;AuthPass=Siscop1234&amp;Width=1024&amp;Height=768&amp;Quality=70&amp;FPS=10&amp;ResponseFormat=Text</v>
      </c>
      <c r="P717" s="6">
        <v>1.0</v>
      </c>
    </row>
    <row r="718">
      <c r="A718" s="36" t="s">
        <v>2607</v>
      </c>
      <c r="B718" s="37" t="s">
        <v>2607</v>
      </c>
      <c r="C718" s="13" t="s">
        <v>2608</v>
      </c>
      <c r="D718" s="5">
        <v>8601.0</v>
      </c>
      <c r="E718" s="38" t="s">
        <v>2693</v>
      </c>
      <c r="F718" s="38" t="s">
        <v>2694</v>
      </c>
      <c r="G718" s="4" t="s">
        <v>2695</v>
      </c>
      <c r="H718" s="4" t="s">
        <v>2696</v>
      </c>
      <c r="I718" s="5" t="s">
        <v>8</v>
      </c>
      <c r="J718" s="5" t="s">
        <v>2061</v>
      </c>
      <c r="K718" s="5" t="s">
        <v>25</v>
      </c>
      <c r="L718" s="11" t="s">
        <v>26</v>
      </c>
      <c r="M718" s="5" t="s">
        <v>27</v>
      </c>
      <c r="N718" s="37" t="s">
        <v>2607</v>
      </c>
      <c r="O718" s="12" t="str">
        <f t="shared" si="2"/>
        <v>https://monitoramento.pm.pr.gov.br/proxy_image_7/Interface/Cameras/GetJPEGStream?Camera=P014.1_LPR&amp;AuthUser=siscop&amp;AuthPass=Siscop1234&amp;Width=1024&amp;Height=768&amp;Quality=70&amp;FPS=10&amp;ResponseFormat=Text</v>
      </c>
      <c r="P718" s="6">
        <v>1.0</v>
      </c>
    </row>
    <row r="719">
      <c r="A719" s="36" t="s">
        <v>2607</v>
      </c>
      <c r="B719" s="37" t="s">
        <v>2607</v>
      </c>
      <c r="C719" s="13" t="s">
        <v>2608</v>
      </c>
      <c r="D719" s="5">
        <v>8601.0</v>
      </c>
      <c r="E719" s="38" t="s">
        <v>2697</v>
      </c>
      <c r="F719" s="38" t="s">
        <v>2698</v>
      </c>
      <c r="G719" s="4" t="s">
        <v>2699</v>
      </c>
      <c r="H719" s="4" t="s">
        <v>2700</v>
      </c>
      <c r="I719" s="5" t="s">
        <v>8</v>
      </c>
      <c r="J719" s="5" t="s">
        <v>2061</v>
      </c>
      <c r="K719" s="5" t="s">
        <v>25</v>
      </c>
      <c r="L719" s="11" t="s">
        <v>26</v>
      </c>
      <c r="M719" s="5" t="s">
        <v>27</v>
      </c>
      <c r="N719" s="37" t="s">
        <v>2607</v>
      </c>
      <c r="O719" s="12" t="str">
        <f t="shared" si="2"/>
        <v>https://monitoramento.pm.pr.gov.br/proxy_image_7/Interface/Cameras/GetJPEGStream?Camera=P014.2_Cxt&amp;AuthUser=siscop&amp;AuthPass=Siscop1234&amp;Width=1024&amp;Height=768&amp;Quality=70&amp;FPS=10&amp;ResponseFormat=Text</v>
      </c>
      <c r="P719" s="6">
        <v>1.0</v>
      </c>
    </row>
    <row r="720">
      <c r="A720" s="36" t="s">
        <v>2607</v>
      </c>
      <c r="B720" s="37" t="s">
        <v>2607</v>
      </c>
      <c r="C720" s="13" t="s">
        <v>2608</v>
      </c>
      <c r="D720" s="5">
        <v>8601.0</v>
      </c>
      <c r="E720" s="38" t="s">
        <v>2701</v>
      </c>
      <c r="F720" s="38" t="s">
        <v>2694</v>
      </c>
      <c r="G720" s="4" t="s">
        <v>2695</v>
      </c>
      <c r="H720" s="4" t="s">
        <v>2696</v>
      </c>
      <c r="I720" s="5" t="s">
        <v>8</v>
      </c>
      <c r="J720" s="5" t="s">
        <v>2061</v>
      </c>
      <c r="K720" s="5" t="s">
        <v>25</v>
      </c>
      <c r="L720" s="11" t="s">
        <v>26</v>
      </c>
      <c r="M720" s="5" t="s">
        <v>27</v>
      </c>
      <c r="N720" s="37" t="s">
        <v>2607</v>
      </c>
      <c r="O720" s="12" t="str">
        <f t="shared" si="2"/>
        <v>https://monitoramento.pm.pr.gov.br/proxy_image_7/Interface/Cameras/GetJPEGStream?Camera=P014.3_LPR&amp;AuthUser=siscop&amp;AuthPass=Siscop1234&amp;Width=1024&amp;Height=768&amp;Quality=70&amp;FPS=10&amp;ResponseFormat=Text</v>
      </c>
      <c r="P720" s="6">
        <v>1.0</v>
      </c>
    </row>
    <row r="721">
      <c r="A721" s="36" t="s">
        <v>2607</v>
      </c>
      <c r="B721" s="37" t="s">
        <v>2607</v>
      </c>
      <c r="C721" s="13" t="s">
        <v>2608</v>
      </c>
      <c r="D721" s="5">
        <v>8601.0</v>
      </c>
      <c r="E721" s="38" t="s">
        <v>2702</v>
      </c>
      <c r="F721" s="38" t="s">
        <v>2703</v>
      </c>
      <c r="G721" s="4" t="s">
        <v>2704</v>
      </c>
      <c r="H721" s="4" t="s">
        <v>2705</v>
      </c>
      <c r="I721" s="5" t="s">
        <v>8</v>
      </c>
      <c r="J721" s="5" t="s">
        <v>2061</v>
      </c>
      <c r="K721" s="5" t="s">
        <v>25</v>
      </c>
      <c r="L721" s="11" t="s">
        <v>26</v>
      </c>
      <c r="M721" s="5" t="s">
        <v>27</v>
      </c>
      <c r="N721" s="37" t="s">
        <v>2607</v>
      </c>
      <c r="O721" s="12" t="str">
        <f t="shared" si="2"/>
        <v>https://monitoramento.pm.pr.gov.br/proxy_image_7/Interface/Cameras/GetJPEGStream?Camera=P015_Cxt&amp;AuthUser=siscop&amp;AuthPass=Siscop1234&amp;Width=1024&amp;Height=768&amp;Quality=70&amp;FPS=10&amp;ResponseFormat=Text</v>
      </c>
      <c r="P721" s="6">
        <v>1.0</v>
      </c>
    </row>
    <row r="722">
      <c r="A722" s="36" t="s">
        <v>2607</v>
      </c>
      <c r="B722" s="37" t="s">
        <v>2607</v>
      </c>
      <c r="C722" s="13" t="s">
        <v>2608</v>
      </c>
      <c r="D722" s="5">
        <v>8601.0</v>
      </c>
      <c r="E722" s="38" t="s">
        <v>2706</v>
      </c>
      <c r="F722" s="38" t="s">
        <v>2707</v>
      </c>
      <c r="G722" s="4" t="s">
        <v>2708</v>
      </c>
      <c r="H722" s="4" t="s">
        <v>2709</v>
      </c>
      <c r="I722" s="5" t="s">
        <v>8</v>
      </c>
      <c r="J722" s="5" t="s">
        <v>2061</v>
      </c>
      <c r="K722" s="5" t="s">
        <v>25</v>
      </c>
      <c r="L722" s="11" t="s">
        <v>26</v>
      </c>
      <c r="M722" s="5" t="s">
        <v>27</v>
      </c>
      <c r="N722" s="37" t="s">
        <v>2607</v>
      </c>
      <c r="O722" s="12" t="str">
        <f t="shared" si="2"/>
        <v>https://monitoramento.pm.pr.gov.br/proxy_image_7/Interface/Cameras/GetJPEGStream?Camera=P016_Cxt&amp;AuthUser=siscop&amp;AuthPass=Siscop1234&amp;Width=1024&amp;Height=768&amp;Quality=70&amp;FPS=10&amp;ResponseFormat=Text</v>
      </c>
      <c r="P722" s="6">
        <v>1.0</v>
      </c>
    </row>
    <row r="723">
      <c r="A723" s="36" t="s">
        <v>2607</v>
      </c>
      <c r="B723" s="37" t="s">
        <v>2607</v>
      </c>
      <c r="C723" s="13" t="s">
        <v>2608</v>
      </c>
      <c r="D723" s="5">
        <v>8601.0</v>
      </c>
      <c r="E723" s="38" t="s">
        <v>2710</v>
      </c>
      <c r="F723" s="38" t="s">
        <v>2711</v>
      </c>
      <c r="G723" s="4" t="s">
        <v>2712</v>
      </c>
      <c r="H723" s="4" t="s">
        <v>2713</v>
      </c>
      <c r="I723" s="5" t="s">
        <v>8</v>
      </c>
      <c r="J723" s="5" t="s">
        <v>2061</v>
      </c>
      <c r="K723" s="5" t="s">
        <v>25</v>
      </c>
      <c r="L723" s="11" t="s">
        <v>26</v>
      </c>
      <c r="M723" s="5" t="s">
        <v>27</v>
      </c>
      <c r="N723" s="37" t="s">
        <v>2607</v>
      </c>
      <c r="O723" s="12" t="str">
        <f t="shared" si="2"/>
        <v>https://monitoramento.pm.pr.gov.br/proxy_image_7/Interface/Cameras/GetJPEGStream?Camera=P017.2_LPR&amp;AuthUser=siscop&amp;AuthPass=Siscop1234&amp;Width=1024&amp;Height=768&amp;Quality=70&amp;FPS=10&amp;ResponseFormat=Text</v>
      </c>
      <c r="P723" s="6">
        <v>1.0</v>
      </c>
    </row>
    <row r="724">
      <c r="A724" s="36" t="s">
        <v>2607</v>
      </c>
      <c r="B724" s="37" t="s">
        <v>2607</v>
      </c>
      <c r="C724" s="13" t="s">
        <v>2608</v>
      </c>
      <c r="D724" s="5">
        <v>8601.0</v>
      </c>
      <c r="E724" s="38" t="s">
        <v>2714</v>
      </c>
      <c r="F724" s="38" t="s">
        <v>2715</v>
      </c>
      <c r="G724" s="4" t="s">
        <v>2716</v>
      </c>
      <c r="H724" s="4" t="s">
        <v>2717</v>
      </c>
      <c r="I724" s="5" t="s">
        <v>8</v>
      </c>
      <c r="J724" s="5" t="s">
        <v>2061</v>
      </c>
      <c r="K724" s="5" t="s">
        <v>25</v>
      </c>
      <c r="L724" s="11" t="s">
        <v>26</v>
      </c>
      <c r="M724" s="5" t="s">
        <v>27</v>
      </c>
      <c r="N724" s="37" t="s">
        <v>2607</v>
      </c>
      <c r="O724" s="12" t="str">
        <f t="shared" si="2"/>
        <v>https://monitoramento.pm.pr.gov.br/proxy_image_7/Interface/Cameras/GetJPEGStream?Camera=P017_Cxt&amp;AuthUser=siscop&amp;AuthPass=Siscop1234&amp;Width=1024&amp;Height=768&amp;Quality=70&amp;FPS=10&amp;ResponseFormat=Text</v>
      </c>
      <c r="P724" s="6">
        <v>1.0</v>
      </c>
    </row>
    <row r="725">
      <c r="A725" s="36" t="s">
        <v>2607</v>
      </c>
      <c r="B725" s="37" t="s">
        <v>2607</v>
      </c>
      <c r="C725" s="13" t="s">
        <v>2608</v>
      </c>
      <c r="D725" s="5">
        <v>8601.0</v>
      </c>
      <c r="E725" s="38" t="s">
        <v>2718</v>
      </c>
      <c r="F725" s="38" t="s">
        <v>2719</v>
      </c>
      <c r="G725" s="4" t="s">
        <v>2720</v>
      </c>
      <c r="H725" s="4" t="s">
        <v>2721</v>
      </c>
      <c r="I725" s="5" t="s">
        <v>8</v>
      </c>
      <c r="J725" s="5" t="s">
        <v>2061</v>
      </c>
      <c r="K725" s="5" t="s">
        <v>25</v>
      </c>
      <c r="L725" s="11" t="s">
        <v>26</v>
      </c>
      <c r="M725" s="5" t="s">
        <v>27</v>
      </c>
      <c r="N725" s="37" t="s">
        <v>2607</v>
      </c>
      <c r="O725" s="12" t="str">
        <f t="shared" si="2"/>
        <v>https://monitoramento.pm.pr.gov.br/proxy_image_7/Interface/Cameras/GetJPEGStream?Camera=P018_Cxt&amp;AuthUser=siscop&amp;AuthPass=Siscop1234&amp;Width=1024&amp;Height=768&amp;Quality=70&amp;FPS=10&amp;ResponseFormat=Text</v>
      </c>
      <c r="P725" s="6">
        <v>1.0</v>
      </c>
    </row>
    <row r="726">
      <c r="A726" s="36" t="s">
        <v>2607</v>
      </c>
      <c r="B726" s="37" t="s">
        <v>2607</v>
      </c>
      <c r="C726" s="13" t="s">
        <v>2608</v>
      </c>
      <c r="D726" s="5">
        <v>8601.0</v>
      </c>
      <c r="E726" s="38" t="s">
        <v>2722</v>
      </c>
      <c r="F726" s="38" t="s">
        <v>2723</v>
      </c>
      <c r="G726" s="4" t="s">
        <v>2724</v>
      </c>
      <c r="H726" s="4" t="s">
        <v>2725</v>
      </c>
      <c r="I726" s="5" t="s">
        <v>8</v>
      </c>
      <c r="J726" s="5" t="s">
        <v>2061</v>
      </c>
      <c r="K726" s="5" t="s">
        <v>25</v>
      </c>
      <c r="L726" s="11" t="s">
        <v>26</v>
      </c>
      <c r="M726" s="5" t="s">
        <v>27</v>
      </c>
      <c r="N726" s="37" t="s">
        <v>2607</v>
      </c>
      <c r="O726" s="12" t="str">
        <f t="shared" si="2"/>
        <v>https://monitoramento.pm.pr.gov.br/proxy_image_7/Interface/Cameras/GetJPEGStream?Camera=P019_PTZ&amp;AuthUser=siscop&amp;AuthPass=Siscop1234&amp;Width=1024&amp;Height=768&amp;Quality=70&amp;FPS=10&amp;ResponseFormat=Text</v>
      </c>
      <c r="P726" s="6">
        <v>1.0</v>
      </c>
    </row>
    <row r="727">
      <c r="A727" s="36" t="s">
        <v>2607</v>
      </c>
      <c r="B727" s="37" t="s">
        <v>2607</v>
      </c>
      <c r="C727" s="13" t="s">
        <v>2608</v>
      </c>
      <c r="D727" s="5">
        <v>8601.0</v>
      </c>
      <c r="E727" s="38" t="s">
        <v>2726</v>
      </c>
      <c r="F727" s="38" t="s">
        <v>2727</v>
      </c>
      <c r="G727" s="4" t="s">
        <v>2728</v>
      </c>
      <c r="H727" s="4" t="s">
        <v>2729</v>
      </c>
      <c r="I727" s="5" t="s">
        <v>8</v>
      </c>
      <c r="J727" s="5" t="s">
        <v>2061</v>
      </c>
      <c r="K727" s="5" t="s">
        <v>25</v>
      </c>
      <c r="L727" s="11" t="s">
        <v>26</v>
      </c>
      <c r="M727" s="5" t="s">
        <v>27</v>
      </c>
      <c r="N727" s="37" t="s">
        <v>2607</v>
      </c>
      <c r="O727" s="12" t="str">
        <f t="shared" si="2"/>
        <v>https://monitoramento.pm.pr.gov.br/proxy_image_7/Interface/Cameras/GetJPEGStream?Camera=P020.1_Cxt&amp;AuthUser=siscop&amp;AuthPass=Siscop1234&amp;Width=1024&amp;Height=768&amp;Quality=70&amp;FPS=10&amp;ResponseFormat=Text</v>
      </c>
      <c r="P727" s="6">
        <v>1.0</v>
      </c>
    </row>
    <row r="728">
      <c r="A728" s="36" t="s">
        <v>2607</v>
      </c>
      <c r="B728" s="37" t="s">
        <v>2607</v>
      </c>
      <c r="C728" s="13" t="s">
        <v>2608</v>
      </c>
      <c r="D728" s="5">
        <v>8601.0</v>
      </c>
      <c r="E728" s="38" t="s">
        <v>2730</v>
      </c>
      <c r="F728" s="38" t="s">
        <v>2731</v>
      </c>
      <c r="G728" s="4" t="s">
        <v>2732</v>
      </c>
      <c r="H728" s="4" t="s">
        <v>2733</v>
      </c>
      <c r="I728" s="5" t="s">
        <v>8</v>
      </c>
      <c r="J728" s="5" t="s">
        <v>2061</v>
      </c>
      <c r="K728" s="5" t="s">
        <v>25</v>
      </c>
      <c r="L728" s="11" t="s">
        <v>26</v>
      </c>
      <c r="M728" s="5" t="s">
        <v>27</v>
      </c>
      <c r="N728" s="37" t="s">
        <v>2607</v>
      </c>
      <c r="O728" s="12" t="str">
        <f t="shared" si="2"/>
        <v>https://monitoramento.pm.pr.gov.br/proxy_image_7/Interface/Cameras/GetJPEGStream?Camera=P020.2_Cxt&amp;AuthUser=siscop&amp;AuthPass=Siscop1234&amp;Width=1024&amp;Height=768&amp;Quality=70&amp;FPS=10&amp;ResponseFormat=Text</v>
      </c>
      <c r="P728" s="6">
        <v>1.0</v>
      </c>
    </row>
    <row r="729">
      <c r="A729" s="36" t="s">
        <v>2607</v>
      </c>
      <c r="B729" s="37" t="s">
        <v>2607</v>
      </c>
      <c r="C729" s="13" t="s">
        <v>2608</v>
      </c>
      <c r="D729" s="5">
        <v>8601.0</v>
      </c>
      <c r="E729" s="38" t="s">
        <v>2734</v>
      </c>
      <c r="F729" s="38" t="s">
        <v>2735</v>
      </c>
      <c r="G729" s="4" t="s">
        <v>2732</v>
      </c>
      <c r="H729" s="4" t="s">
        <v>2733</v>
      </c>
      <c r="I729" s="5" t="s">
        <v>8</v>
      </c>
      <c r="J729" s="5" t="s">
        <v>2061</v>
      </c>
      <c r="K729" s="5" t="s">
        <v>25</v>
      </c>
      <c r="L729" s="11" t="s">
        <v>26</v>
      </c>
      <c r="M729" s="5" t="s">
        <v>27</v>
      </c>
      <c r="N729" s="37" t="s">
        <v>2607</v>
      </c>
      <c r="O729" s="12" t="str">
        <f t="shared" si="2"/>
        <v>https://monitoramento.pm.pr.gov.br/proxy_image_7/Interface/Cameras/GetJPEGStream?Camera=P020.3_Cxt&amp;AuthUser=siscop&amp;AuthPass=Siscop1234&amp;Width=1024&amp;Height=768&amp;Quality=70&amp;FPS=10&amp;ResponseFormat=Text</v>
      </c>
      <c r="P729" s="6">
        <v>1.0</v>
      </c>
    </row>
    <row r="730">
      <c r="A730" s="36" t="s">
        <v>2607</v>
      </c>
      <c r="B730" s="37" t="s">
        <v>2607</v>
      </c>
      <c r="C730" s="13" t="s">
        <v>2608</v>
      </c>
      <c r="D730" s="5">
        <v>8601.0</v>
      </c>
      <c r="E730" s="38" t="s">
        <v>2736</v>
      </c>
      <c r="F730" s="38" t="s">
        <v>2735</v>
      </c>
      <c r="G730" s="4" t="s">
        <v>2732</v>
      </c>
      <c r="H730" s="4" t="s">
        <v>2733</v>
      </c>
      <c r="I730" s="5" t="s">
        <v>8</v>
      </c>
      <c r="J730" s="5" t="s">
        <v>2061</v>
      </c>
      <c r="K730" s="5" t="s">
        <v>25</v>
      </c>
      <c r="L730" s="11" t="s">
        <v>26</v>
      </c>
      <c r="M730" s="5" t="s">
        <v>27</v>
      </c>
      <c r="N730" s="37" t="s">
        <v>2607</v>
      </c>
      <c r="O730" s="12" t="str">
        <f t="shared" si="2"/>
        <v>https://monitoramento.pm.pr.gov.br/proxy_image_7/Interface/Cameras/GetJPEGStream?Camera=P020.4_Cxt&amp;AuthUser=siscop&amp;AuthPass=Siscop1234&amp;Width=1024&amp;Height=768&amp;Quality=70&amp;FPS=10&amp;ResponseFormat=Text</v>
      </c>
      <c r="P730" s="6">
        <v>1.0</v>
      </c>
    </row>
    <row r="731">
      <c r="A731" s="36" t="s">
        <v>2607</v>
      </c>
      <c r="B731" s="37" t="s">
        <v>2607</v>
      </c>
      <c r="C731" s="13" t="s">
        <v>2608</v>
      </c>
      <c r="D731" s="5">
        <v>8601.0</v>
      </c>
      <c r="E731" s="38" t="s">
        <v>2737</v>
      </c>
      <c r="F731" s="38" t="s">
        <v>2735</v>
      </c>
      <c r="G731" s="4" t="s">
        <v>2732</v>
      </c>
      <c r="H731" s="4" t="s">
        <v>2733</v>
      </c>
      <c r="I731" s="5" t="s">
        <v>8</v>
      </c>
      <c r="J731" s="5" t="s">
        <v>2061</v>
      </c>
      <c r="K731" s="5" t="s">
        <v>25</v>
      </c>
      <c r="L731" s="11" t="s">
        <v>26</v>
      </c>
      <c r="M731" s="5" t="s">
        <v>27</v>
      </c>
      <c r="N731" s="37" t="s">
        <v>2607</v>
      </c>
      <c r="O731" s="12" t="str">
        <f t="shared" si="2"/>
        <v>https://monitoramento.pm.pr.gov.br/proxy_image_7/Interface/Cameras/GetJPEGStream?Camera=P020.5_Cxt&amp;AuthUser=siscop&amp;AuthPass=Siscop1234&amp;Width=1024&amp;Height=768&amp;Quality=70&amp;FPS=10&amp;ResponseFormat=Text</v>
      </c>
      <c r="P731" s="6">
        <v>1.0</v>
      </c>
    </row>
    <row r="732">
      <c r="A732" s="36" t="s">
        <v>2607</v>
      </c>
      <c r="B732" s="37" t="s">
        <v>2607</v>
      </c>
      <c r="C732" s="13" t="s">
        <v>2608</v>
      </c>
      <c r="D732" s="5">
        <v>8601.0</v>
      </c>
      <c r="E732" s="38" t="s">
        <v>2738</v>
      </c>
      <c r="F732" s="38" t="s">
        <v>2739</v>
      </c>
      <c r="G732" s="4" t="s">
        <v>2740</v>
      </c>
      <c r="H732" s="4" t="s">
        <v>2741</v>
      </c>
      <c r="I732" s="5" t="s">
        <v>8</v>
      </c>
      <c r="J732" s="5" t="s">
        <v>2061</v>
      </c>
      <c r="K732" s="5" t="s">
        <v>25</v>
      </c>
      <c r="L732" s="11" t="s">
        <v>26</v>
      </c>
      <c r="M732" s="5" t="s">
        <v>27</v>
      </c>
      <c r="N732" s="37" t="s">
        <v>2607</v>
      </c>
      <c r="O732" s="12" t="str">
        <f t="shared" si="2"/>
        <v>https://monitoramento.pm.pr.gov.br/proxy_image_7/Interface/Cameras/GetJPEGStream?Camera=P021_PTZ&amp;AuthUser=siscop&amp;AuthPass=Siscop1234&amp;Width=1024&amp;Height=768&amp;Quality=70&amp;FPS=10&amp;ResponseFormat=Text</v>
      </c>
      <c r="P732" s="6">
        <v>1.0</v>
      </c>
    </row>
    <row r="733">
      <c r="A733" s="36" t="s">
        <v>2607</v>
      </c>
      <c r="B733" s="37" t="s">
        <v>2607</v>
      </c>
      <c r="C733" s="13" t="s">
        <v>2608</v>
      </c>
      <c r="D733" s="5">
        <v>8601.0</v>
      </c>
      <c r="E733" s="38" t="s">
        <v>2742</v>
      </c>
      <c r="F733" s="38" t="s">
        <v>2743</v>
      </c>
      <c r="G733" s="4" t="s">
        <v>2744</v>
      </c>
      <c r="H733" s="4" t="s">
        <v>2745</v>
      </c>
      <c r="I733" s="5" t="s">
        <v>8</v>
      </c>
      <c r="J733" s="5" t="s">
        <v>2061</v>
      </c>
      <c r="K733" s="5" t="s">
        <v>25</v>
      </c>
      <c r="L733" s="11" t="s">
        <v>26</v>
      </c>
      <c r="M733" s="5" t="s">
        <v>27</v>
      </c>
      <c r="N733" s="37" t="s">
        <v>2607</v>
      </c>
      <c r="O733" s="12" t="str">
        <f t="shared" si="2"/>
        <v>https://monitoramento.pm.pr.gov.br/proxy_image_7/Interface/Cameras/GetJPEGStream?Camera=P022.2_Cxt&amp;AuthUser=siscop&amp;AuthPass=Siscop1234&amp;Width=1024&amp;Height=768&amp;Quality=70&amp;FPS=10&amp;ResponseFormat=Text</v>
      </c>
      <c r="P733" s="6">
        <v>1.0</v>
      </c>
    </row>
    <row r="734">
      <c r="A734" s="36" t="s">
        <v>2607</v>
      </c>
      <c r="B734" s="37" t="s">
        <v>2607</v>
      </c>
      <c r="C734" s="13" t="s">
        <v>2608</v>
      </c>
      <c r="D734" s="5">
        <v>8601.0</v>
      </c>
      <c r="E734" s="38" t="s">
        <v>2746</v>
      </c>
      <c r="F734" s="38" t="s">
        <v>2743</v>
      </c>
      <c r="G734" s="4" t="s">
        <v>2744</v>
      </c>
      <c r="H734" s="4" t="s">
        <v>2745</v>
      </c>
      <c r="I734" s="5" t="s">
        <v>8</v>
      </c>
      <c r="J734" s="5" t="s">
        <v>2061</v>
      </c>
      <c r="K734" s="5" t="s">
        <v>25</v>
      </c>
      <c r="L734" s="11" t="s">
        <v>26</v>
      </c>
      <c r="M734" s="5" t="s">
        <v>27</v>
      </c>
      <c r="N734" s="37" t="s">
        <v>2607</v>
      </c>
      <c r="O734" s="12" t="str">
        <f t="shared" si="2"/>
        <v>https://monitoramento.pm.pr.gov.br/proxy_image_7/Interface/Cameras/GetJPEGStream?Camera=P022.3_Cxt&amp;AuthUser=siscop&amp;AuthPass=Siscop1234&amp;Width=1024&amp;Height=768&amp;Quality=70&amp;FPS=10&amp;ResponseFormat=Text</v>
      </c>
      <c r="P734" s="6">
        <v>1.0</v>
      </c>
    </row>
    <row r="735">
      <c r="A735" s="36" t="s">
        <v>2607</v>
      </c>
      <c r="B735" s="37" t="s">
        <v>2607</v>
      </c>
      <c r="C735" s="13" t="s">
        <v>2608</v>
      </c>
      <c r="D735" s="5">
        <v>8601.0</v>
      </c>
      <c r="E735" s="38" t="s">
        <v>2747</v>
      </c>
      <c r="F735" s="38" t="s">
        <v>2748</v>
      </c>
      <c r="G735" s="4" t="s">
        <v>2749</v>
      </c>
      <c r="H735" s="4" t="s">
        <v>2750</v>
      </c>
      <c r="I735" s="5" t="s">
        <v>8</v>
      </c>
      <c r="J735" s="5" t="s">
        <v>2061</v>
      </c>
      <c r="K735" s="5" t="s">
        <v>25</v>
      </c>
      <c r="L735" s="11" t="s">
        <v>26</v>
      </c>
      <c r="M735" s="5" t="s">
        <v>27</v>
      </c>
      <c r="N735" s="37" t="s">
        <v>2607</v>
      </c>
      <c r="O735" s="12" t="str">
        <f t="shared" si="2"/>
        <v>https://monitoramento.pm.pr.gov.br/proxy_image_7/Interface/Cameras/GetJPEGStream?Camera=P022_PTZ&amp;AuthUser=siscop&amp;AuthPass=Siscop1234&amp;Width=1024&amp;Height=768&amp;Quality=70&amp;FPS=10&amp;ResponseFormat=Text</v>
      </c>
      <c r="P735" s="6">
        <v>1.0</v>
      </c>
    </row>
    <row r="736">
      <c r="A736" s="36" t="s">
        <v>2607</v>
      </c>
      <c r="B736" s="37" t="s">
        <v>2607</v>
      </c>
      <c r="C736" s="13" t="s">
        <v>2608</v>
      </c>
      <c r="D736" s="5">
        <v>8601.0</v>
      </c>
      <c r="E736" s="38" t="s">
        <v>2751</v>
      </c>
      <c r="F736" s="38" t="s">
        <v>2752</v>
      </c>
      <c r="G736" s="4" t="s">
        <v>2753</v>
      </c>
      <c r="H736" s="4" t="s">
        <v>2754</v>
      </c>
      <c r="I736" s="5" t="s">
        <v>8</v>
      </c>
      <c r="J736" s="5" t="s">
        <v>2061</v>
      </c>
      <c r="K736" s="5" t="s">
        <v>25</v>
      </c>
      <c r="L736" s="11" t="s">
        <v>26</v>
      </c>
      <c r="M736" s="5" t="s">
        <v>27</v>
      </c>
      <c r="N736" s="37" t="s">
        <v>2607</v>
      </c>
      <c r="O736" s="12" t="str">
        <f t="shared" si="2"/>
        <v>https://monitoramento.pm.pr.gov.br/proxy_image_7/Interface/Cameras/GetJPEGStream?Camera=P023.2_Cxt&amp;AuthUser=siscop&amp;AuthPass=Siscop1234&amp;Width=1024&amp;Height=768&amp;Quality=70&amp;FPS=10&amp;ResponseFormat=Text</v>
      </c>
      <c r="P736" s="6">
        <v>1.0</v>
      </c>
    </row>
    <row r="737">
      <c r="A737" s="36" t="s">
        <v>2607</v>
      </c>
      <c r="B737" s="37" t="s">
        <v>2607</v>
      </c>
      <c r="C737" s="13" t="s">
        <v>2608</v>
      </c>
      <c r="D737" s="5">
        <v>8601.0</v>
      </c>
      <c r="E737" s="38" t="s">
        <v>2755</v>
      </c>
      <c r="F737" s="38" t="s">
        <v>2756</v>
      </c>
      <c r="G737" s="4" t="s">
        <v>2757</v>
      </c>
      <c r="H737" s="4" t="s">
        <v>2758</v>
      </c>
      <c r="I737" s="5" t="s">
        <v>8</v>
      </c>
      <c r="J737" s="5" t="s">
        <v>2061</v>
      </c>
      <c r="K737" s="5" t="s">
        <v>25</v>
      </c>
      <c r="L737" s="11" t="s">
        <v>26</v>
      </c>
      <c r="M737" s="5" t="s">
        <v>27</v>
      </c>
      <c r="N737" s="37" t="s">
        <v>2607</v>
      </c>
      <c r="O737" s="12" t="str">
        <f t="shared" si="2"/>
        <v>https://monitoramento.pm.pr.gov.br/proxy_image_7/Interface/Cameras/GetJPEGStream?Camera=P023_PTZ&amp;AuthUser=siscop&amp;AuthPass=Siscop1234&amp;Width=1024&amp;Height=768&amp;Quality=70&amp;FPS=10&amp;ResponseFormat=Text</v>
      </c>
      <c r="P737" s="6">
        <v>1.0</v>
      </c>
    </row>
    <row r="738">
      <c r="A738" s="36" t="s">
        <v>2607</v>
      </c>
      <c r="B738" s="37" t="s">
        <v>2607</v>
      </c>
      <c r="C738" s="13" t="s">
        <v>2608</v>
      </c>
      <c r="D738" s="5">
        <v>8601.0</v>
      </c>
      <c r="E738" s="38" t="s">
        <v>2759</v>
      </c>
      <c r="F738" s="38" t="s">
        <v>2760</v>
      </c>
      <c r="G738" s="4" t="s">
        <v>2753</v>
      </c>
      <c r="H738" s="4" t="s">
        <v>2754</v>
      </c>
      <c r="I738" s="5" t="s">
        <v>8</v>
      </c>
      <c r="J738" s="5" t="s">
        <v>2061</v>
      </c>
      <c r="K738" s="5" t="s">
        <v>25</v>
      </c>
      <c r="L738" s="11" t="s">
        <v>26</v>
      </c>
      <c r="M738" s="5" t="s">
        <v>27</v>
      </c>
      <c r="N738" s="37" t="s">
        <v>2607</v>
      </c>
      <c r="O738" s="12" t="str">
        <f t="shared" si="2"/>
        <v>https://monitoramento.pm.pr.gov.br/proxy_image_7/Interface/Cameras/GetJPEGStream?Camera=P024_A_Cxt&amp;AuthUser=siscop&amp;AuthPass=Siscop1234&amp;Width=1024&amp;Height=768&amp;Quality=70&amp;FPS=10&amp;ResponseFormat=Text</v>
      </c>
      <c r="P738" s="6">
        <v>1.0</v>
      </c>
    </row>
    <row r="739">
      <c r="A739" s="36" t="s">
        <v>2607</v>
      </c>
      <c r="B739" s="37" t="s">
        <v>2607</v>
      </c>
      <c r="C739" s="13" t="s">
        <v>2608</v>
      </c>
      <c r="D739" s="5">
        <v>8601.0</v>
      </c>
      <c r="E739" s="38" t="s">
        <v>2761</v>
      </c>
      <c r="F739" s="38" t="s">
        <v>2760</v>
      </c>
      <c r="G739" s="4" t="s">
        <v>2762</v>
      </c>
      <c r="H739" s="4" t="s">
        <v>2763</v>
      </c>
      <c r="I739" s="5" t="s">
        <v>8</v>
      </c>
      <c r="J739" s="5" t="s">
        <v>2061</v>
      </c>
      <c r="K739" s="5" t="s">
        <v>25</v>
      </c>
      <c r="L739" s="11" t="s">
        <v>26</v>
      </c>
      <c r="M739" s="5" t="s">
        <v>27</v>
      </c>
      <c r="N739" s="37" t="s">
        <v>2607</v>
      </c>
      <c r="O739" s="12" t="str">
        <f t="shared" si="2"/>
        <v>https://monitoramento.pm.pr.gov.br/proxy_image_7/Interface/Cameras/GetJPEGStream?Camera=P024_B_LPR&amp;AuthUser=siscop&amp;AuthPass=Siscop1234&amp;Width=1024&amp;Height=768&amp;Quality=70&amp;FPS=10&amp;ResponseFormat=Text</v>
      </c>
      <c r="P739" s="6">
        <v>1.0</v>
      </c>
    </row>
    <row r="740">
      <c r="A740" s="36" t="s">
        <v>2607</v>
      </c>
      <c r="B740" s="37" t="s">
        <v>2607</v>
      </c>
      <c r="C740" s="13" t="s">
        <v>2608</v>
      </c>
      <c r="D740" s="5">
        <v>8601.0</v>
      </c>
      <c r="E740" s="38" t="s">
        <v>2764</v>
      </c>
      <c r="F740" s="38" t="s">
        <v>2765</v>
      </c>
      <c r="G740" s="4" t="s">
        <v>2766</v>
      </c>
      <c r="H740" s="4" t="s">
        <v>2767</v>
      </c>
      <c r="I740" s="5" t="s">
        <v>8</v>
      </c>
      <c r="J740" s="5" t="s">
        <v>2061</v>
      </c>
      <c r="K740" s="5" t="s">
        <v>25</v>
      </c>
      <c r="L740" s="11" t="s">
        <v>26</v>
      </c>
      <c r="M740" s="5" t="s">
        <v>27</v>
      </c>
      <c r="N740" s="37" t="s">
        <v>2607</v>
      </c>
      <c r="O740" s="12" t="str">
        <f t="shared" si="2"/>
        <v>https://monitoramento.pm.pr.gov.br/proxy_image_7/Interface/Cameras/GetJPEGStream?Camera=P025_Cxt&amp;AuthUser=siscop&amp;AuthPass=Siscop1234&amp;Width=1024&amp;Height=768&amp;Quality=70&amp;FPS=10&amp;ResponseFormat=Text</v>
      </c>
      <c r="P740" s="6">
        <v>1.0</v>
      </c>
    </row>
    <row r="741">
      <c r="A741" s="36" t="s">
        <v>2607</v>
      </c>
      <c r="B741" s="37" t="s">
        <v>2607</v>
      </c>
      <c r="C741" s="13" t="s">
        <v>2608</v>
      </c>
      <c r="D741" s="5">
        <v>8601.0</v>
      </c>
      <c r="E741" s="38" t="s">
        <v>2768</v>
      </c>
      <c r="F741" s="38" t="s">
        <v>2769</v>
      </c>
      <c r="G741" s="4" t="s">
        <v>2770</v>
      </c>
      <c r="H741" s="4" t="s">
        <v>2771</v>
      </c>
      <c r="I741" s="5" t="s">
        <v>8</v>
      </c>
      <c r="J741" s="5" t="s">
        <v>2061</v>
      </c>
      <c r="K741" s="5" t="s">
        <v>25</v>
      </c>
      <c r="L741" s="11" t="s">
        <v>26</v>
      </c>
      <c r="M741" s="5" t="s">
        <v>27</v>
      </c>
      <c r="N741" s="37" t="s">
        <v>2607</v>
      </c>
      <c r="O741" s="12" t="str">
        <f t="shared" si="2"/>
        <v>https://monitoramento.pm.pr.gov.br/proxy_image_7/Interface/Cameras/GetJPEGStream?Camera=P026_A_Cxt&amp;AuthUser=siscop&amp;AuthPass=Siscop1234&amp;Width=1024&amp;Height=768&amp;Quality=70&amp;FPS=10&amp;ResponseFormat=Text</v>
      </c>
      <c r="P741" s="6">
        <v>1.0</v>
      </c>
    </row>
    <row r="742">
      <c r="A742" s="36" t="s">
        <v>2607</v>
      </c>
      <c r="B742" s="37" t="s">
        <v>2607</v>
      </c>
      <c r="C742" s="13" t="s">
        <v>2608</v>
      </c>
      <c r="D742" s="5">
        <v>8601.0</v>
      </c>
      <c r="E742" s="38" t="s">
        <v>2772</v>
      </c>
      <c r="F742" s="38" t="s">
        <v>2773</v>
      </c>
      <c r="G742" s="4" t="s">
        <v>2774</v>
      </c>
      <c r="H742" s="4" t="s">
        <v>2775</v>
      </c>
      <c r="I742" s="5" t="s">
        <v>8</v>
      </c>
      <c r="J742" s="5" t="s">
        <v>2061</v>
      </c>
      <c r="K742" s="5" t="s">
        <v>25</v>
      </c>
      <c r="L742" s="11" t="s">
        <v>26</v>
      </c>
      <c r="M742" s="5" t="s">
        <v>27</v>
      </c>
      <c r="N742" s="37" t="s">
        <v>2607</v>
      </c>
      <c r="O742" s="12" t="str">
        <f t="shared" si="2"/>
        <v>https://monitoramento.pm.pr.gov.br/proxy_image_7/Interface/Cameras/GetJPEGStream?Camera=P026_B_Cxt&amp;AuthUser=siscop&amp;AuthPass=Siscop1234&amp;Width=1024&amp;Height=768&amp;Quality=70&amp;FPS=10&amp;ResponseFormat=Text</v>
      </c>
      <c r="P742" s="6">
        <v>1.0</v>
      </c>
    </row>
    <row r="743">
      <c r="A743" s="36" t="s">
        <v>2607</v>
      </c>
      <c r="B743" s="37" t="s">
        <v>2607</v>
      </c>
      <c r="C743" s="13" t="s">
        <v>2608</v>
      </c>
      <c r="D743" s="5">
        <v>8601.0</v>
      </c>
      <c r="E743" s="38" t="s">
        <v>2776</v>
      </c>
      <c r="F743" s="38" t="s">
        <v>2777</v>
      </c>
      <c r="G743" s="4" t="s">
        <v>2778</v>
      </c>
      <c r="H743" s="4" t="s">
        <v>2779</v>
      </c>
      <c r="I743" s="5" t="s">
        <v>8</v>
      </c>
      <c r="J743" s="5" t="s">
        <v>2061</v>
      </c>
      <c r="K743" s="5" t="s">
        <v>25</v>
      </c>
      <c r="L743" s="11" t="s">
        <v>26</v>
      </c>
      <c r="M743" s="5" t="s">
        <v>27</v>
      </c>
      <c r="N743" s="37" t="s">
        <v>2607</v>
      </c>
      <c r="O743" s="12" t="str">
        <f t="shared" si="2"/>
        <v>https://monitoramento.pm.pr.gov.br/proxy_image_7/Interface/Cameras/GetJPEGStream?Camera=P026_C_Cxt&amp;AuthUser=siscop&amp;AuthPass=Siscop1234&amp;Width=1024&amp;Height=768&amp;Quality=70&amp;FPS=10&amp;ResponseFormat=Text</v>
      </c>
      <c r="P743" s="6">
        <v>1.0</v>
      </c>
    </row>
    <row r="744">
      <c r="A744" s="36" t="s">
        <v>2607</v>
      </c>
      <c r="B744" s="37" t="s">
        <v>2607</v>
      </c>
      <c r="C744" s="13" t="s">
        <v>2608</v>
      </c>
      <c r="D744" s="5">
        <v>8601.0</v>
      </c>
      <c r="E744" s="38" t="s">
        <v>2780</v>
      </c>
      <c r="F744" s="38" t="s">
        <v>2781</v>
      </c>
      <c r="G744" s="4" t="s">
        <v>2782</v>
      </c>
      <c r="H744" s="4" t="s">
        <v>2783</v>
      </c>
      <c r="I744" s="5" t="s">
        <v>8</v>
      </c>
      <c r="J744" s="5" t="s">
        <v>2061</v>
      </c>
      <c r="K744" s="5" t="s">
        <v>25</v>
      </c>
      <c r="L744" s="11" t="s">
        <v>26</v>
      </c>
      <c r="M744" s="5" t="s">
        <v>27</v>
      </c>
      <c r="N744" s="37" t="s">
        <v>2607</v>
      </c>
      <c r="O744" s="12" t="str">
        <f t="shared" si="2"/>
        <v>https://monitoramento.pm.pr.gov.br/proxy_image_7/Interface/Cameras/GetJPEGStream?Camera=P027_Cxt&amp;AuthUser=siscop&amp;AuthPass=Siscop1234&amp;Width=1024&amp;Height=768&amp;Quality=70&amp;FPS=10&amp;ResponseFormat=Text</v>
      </c>
      <c r="P744" s="6">
        <v>1.0</v>
      </c>
    </row>
    <row r="745">
      <c r="A745" s="36" t="s">
        <v>2607</v>
      </c>
      <c r="B745" s="37" t="s">
        <v>2607</v>
      </c>
      <c r="C745" s="13" t="s">
        <v>2608</v>
      </c>
      <c r="D745" s="5">
        <v>8601.0</v>
      </c>
      <c r="E745" s="38" t="s">
        <v>2784</v>
      </c>
      <c r="F745" s="38" t="s">
        <v>2785</v>
      </c>
      <c r="G745" s="4" t="s">
        <v>2786</v>
      </c>
      <c r="H745" s="4" t="s">
        <v>2787</v>
      </c>
      <c r="I745" s="5" t="s">
        <v>8</v>
      </c>
      <c r="J745" s="5" t="s">
        <v>2061</v>
      </c>
      <c r="K745" s="5" t="s">
        <v>25</v>
      </c>
      <c r="L745" s="11" t="s">
        <v>26</v>
      </c>
      <c r="M745" s="5" t="s">
        <v>27</v>
      </c>
      <c r="N745" s="37" t="s">
        <v>2607</v>
      </c>
      <c r="O745" s="12" t="str">
        <f t="shared" si="2"/>
        <v>https://monitoramento.pm.pr.gov.br/proxy_image_7/Interface/Cameras/GetJPEGStream?Camera=P028_Cxt&amp;AuthUser=siscop&amp;AuthPass=Siscop1234&amp;Width=1024&amp;Height=768&amp;Quality=70&amp;FPS=10&amp;ResponseFormat=Text</v>
      </c>
      <c r="P745" s="6">
        <v>1.0</v>
      </c>
    </row>
    <row r="746">
      <c r="A746" s="36" t="s">
        <v>2607</v>
      </c>
      <c r="B746" s="37" t="s">
        <v>2607</v>
      </c>
      <c r="C746" s="13" t="s">
        <v>2608</v>
      </c>
      <c r="D746" s="5">
        <v>8601.0</v>
      </c>
      <c r="E746" s="38" t="s">
        <v>2788</v>
      </c>
      <c r="F746" s="38" t="s">
        <v>2789</v>
      </c>
      <c r="G746" s="4" t="s">
        <v>2790</v>
      </c>
      <c r="H746" s="4" t="s">
        <v>2791</v>
      </c>
      <c r="I746" s="5" t="s">
        <v>8</v>
      </c>
      <c r="J746" s="5" t="s">
        <v>2061</v>
      </c>
      <c r="K746" s="5" t="s">
        <v>25</v>
      </c>
      <c r="L746" s="11" t="s">
        <v>26</v>
      </c>
      <c r="M746" s="5" t="s">
        <v>27</v>
      </c>
      <c r="N746" s="37" t="s">
        <v>2607</v>
      </c>
      <c r="O746" s="12" t="str">
        <f t="shared" si="2"/>
        <v>https://monitoramento.pm.pr.gov.br/proxy_image_7/Interface/Cameras/GetJPEGStream?Camera=P029_A_Cxt&amp;AuthUser=siscop&amp;AuthPass=Siscop1234&amp;Width=1024&amp;Height=768&amp;Quality=70&amp;FPS=10&amp;ResponseFormat=Text</v>
      </c>
      <c r="P746" s="6">
        <v>1.0</v>
      </c>
    </row>
    <row r="747">
      <c r="A747" s="36" t="s">
        <v>2607</v>
      </c>
      <c r="B747" s="37" t="s">
        <v>2607</v>
      </c>
      <c r="C747" s="13" t="s">
        <v>2608</v>
      </c>
      <c r="D747" s="5">
        <v>8601.0</v>
      </c>
      <c r="E747" s="38" t="s">
        <v>2792</v>
      </c>
      <c r="F747" s="38" t="s">
        <v>2793</v>
      </c>
      <c r="G747" s="4" t="s">
        <v>2794</v>
      </c>
      <c r="H747" s="4" t="s">
        <v>2795</v>
      </c>
      <c r="I747" s="5" t="s">
        <v>8</v>
      </c>
      <c r="J747" s="5" t="s">
        <v>2061</v>
      </c>
      <c r="K747" s="5" t="s">
        <v>25</v>
      </c>
      <c r="L747" s="11" t="s">
        <v>26</v>
      </c>
      <c r="M747" s="5" t="s">
        <v>27</v>
      </c>
      <c r="N747" s="37" t="s">
        <v>2607</v>
      </c>
      <c r="O747" s="12" t="str">
        <f t="shared" si="2"/>
        <v>https://monitoramento.pm.pr.gov.br/proxy_image_7/Interface/Cameras/GetJPEGStream?Camera=P029_B_LPR&amp;AuthUser=siscop&amp;AuthPass=Siscop1234&amp;Width=1024&amp;Height=768&amp;Quality=70&amp;FPS=10&amp;ResponseFormat=Text</v>
      </c>
      <c r="P747" s="6">
        <v>1.0</v>
      </c>
    </row>
    <row r="748">
      <c r="A748" s="36" t="s">
        <v>2607</v>
      </c>
      <c r="B748" s="37" t="s">
        <v>2607</v>
      </c>
      <c r="C748" s="13" t="s">
        <v>2608</v>
      </c>
      <c r="D748" s="5">
        <v>8601.0</v>
      </c>
      <c r="E748" s="38" t="s">
        <v>2796</v>
      </c>
      <c r="F748" s="38" t="s">
        <v>2797</v>
      </c>
      <c r="G748" s="4" t="s">
        <v>2798</v>
      </c>
      <c r="H748" s="4" t="s">
        <v>2799</v>
      </c>
      <c r="I748" s="5" t="s">
        <v>8</v>
      </c>
      <c r="J748" s="5" t="s">
        <v>2061</v>
      </c>
      <c r="K748" s="5" t="s">
        <v>25</v>
      </c>
      <c r="L748" s="11" t="s">
        <v>26</v>
      </c>
      <c r="M748" s="5" t="s">
        <v>27</v>
      </c>
      <c r="N748" s="37" t="s">
        <v>2607</v>
      </c>
      <c r="O748" s="12" t="str">
        <f t="shared" si="2"/>
        <v>https://monitoramento.pm.pr.gov.br/proxy_image_7/Interface/Cameras/GetJPEGStream?Camera=P030_A_Cxt&amp;AuthUser=siscop&amp;AuthPass=Siscop1234&amp;Width=1024&amp;Height=768&amp;Quality=70&amp;FPS=10&amp;ResponseFormat=Text</v>
      </c>
      <c r="P748" s="6">
        <v>1.0</v>
      </c>
    </row>
    <row r="749">
      <c r="A749" s="36" t="s">
        <v>2607</v>
      </c>
      <c r="B749" s="37" t="s">
        <v>2607</v>
      </c>
      <c r="C749" s="13" t="s">
        <v>2608</v>
      </c>
      <c r="D749" s="5">
        <v>8601.0</v>
      </c>
      <c r="E749" s="38" t="s">
        <v>2800</v>
      </c>
      <c r="F749" s="38" t="s">
        <v>2797</v>
      </c>
      <c r="G749" s="4" t="s">
        <v>2801</v>
      </c>
      <c r="H749" s="4" t="s">
        <v>2802</v>
      </c>
      <c r="I749" s="5" t="s">
        <v>8</v>
      </c>
      <c r="J749" s="5" t="s">
        <v>2061</v>
      </c>
      <c r="K749" s="5" t="s">
        <v>25</v>
      </c>
      <c r="L749" s="11" t="s">
        <v>26</v>
      </c>
      <c r="M749" s="5" t="s">
        <v>27</v>
      </c>
      <c r="N749" s="37" t="s">
        <v>2607</v>
      </c>
      <c r="O749" s="12" t="str">
        <f t="shared" si="2"/>
        <v>https://monitoramento.pm.pr.gov.br/proxy_image_7/Interface/Cameras/GetJPEGStream?Camera=P030_B_LPR&amp;AuthUser=siscop&amp;AuthPass=Siscop1234&amp;Width=1024&amp;Height=768&amp;Quality=70&amp;FPS=10&amp;ResponseFormat=Text</v>
      </c>
      <c r="P749" s="6">
        <v>1.0</v>
      </c>
    </row>
    <row r="750">
      <c r="A750" s="36" t="s">
        <v>2607</v>
      </c>
      <c r="B750" s="37" t="s">
        <v>2607</v>
      </c>
      <c r="C750" s="13" t="s">
        <v>2608</v>
      </c>
      <c r="D750" s="5">
        <v>8601.0</v>
      </c>
      <c r="E750" s="38" t="s">
        <v>2803</v>
      </c>
      <c r="F750" s="38" t="s">
        <v>2797</v>
      </c>
      <c r="G750" s="4" t="s">
        <v>2804</v>
      </c>
      <c r="H750" s="4" t="s">
        <v>2799</v>
      </c>
      <c r="I750" s="5" t="s">
        <v>8</v>
      </c>
      <c r="J750" s="5" t="s">
        <v>2061</v>
      </c>
      <c r="K750" s="5" t="s">
        <v>25</v>
      </c>
      <c r="L750" s="11" t="s">
        <v>26</v>
      </c>
      <c r="M750" s="5" t="s">
        <v>27</v>
      </c>
      <c r="N750" s="37" t="s">
        <v>2607</v>
      </c>
      <c r="O750" s="12" t="str">
        <f t="shared" si="2"/>
        <v>https://monitoramento.pm.pr.gov.br/proxy_image_7/Interface/Cameras/GetJPEGStream?Camera=P030_C_LPR&amp;AuthUser=siscop&amp;AuthPass=Siscop1234&amp;Width=1024&amp;Height=768&amp;Quality=70&amp;FPS=10&amp;ResponseFormat=Text</v>
      </c>
      <c r="P750" s="6">
        <v>1.0</v>
      </c>
    </row>
    <row r="751">
      <c r="A751" s="36" t="s">
        <v>2607</v>
      </c>
      <c r="B751" s="37" t="s">
        <v>2607</v>
      </c>
      <c r="C751" s="13" t="s">
        <v>2608</v>
      </c>
      <c r="D751" s="5">
        <v>8601.0</v>
      </c>
      <c r="E751" s="38" t="s">
        <v>2805</v>
      </c>
      <c r="F751" s="38" t="s">
        <v>2806</v>
      </c>
      <c r="G751" s="4" t="s">
        <v>2807</v>
      </c>
      <c r="H751" s="4" t="s">
        <v>2808</v>
      </c>
      <c r="I751" s="5" t="s">
        <v>8</v>
      </c>
      <c r="J751" s="5" t="s">
        <v>2061</v>
      </c>
      <c r="K751" s="5" t="s">
        <v>25</v>
      </c>
      <c r="L751" s="11" t="s">
        <v>26</v>
      </c>
      <c r="M751" s="5" t="s">
        <v>27</v>
      </c>
      <c r="N751" s="37" t="s">
        <v>2607</v>
      </c>
      <c r="O751" s="12" t="str">
        <f t="shared" si="2"/>
        <v>https://monitoramento.pm.pr.gov.br/proxy_image_7/Interface/Cameras/GetJPEGStream?Camera=P031_A_Cxt&amp;AuthUser=siscop&amp;AuthPass=Siscop1234&amp;Width=1024&amp;Height=768&amp;Quality=70&amp;FPS=10&amp;ResponseFormat=Text</v>
      </c>
      <c r="P751" s="6">
        <v>1.0</v>
      </c>
    </row>
    <row r="752">
      <c r="A752" s="36" t="s">
        <v>2607</v>
      </c>
      <c r="B752" s="37" t="s">
        <v>2607</v>
      </c>
      <c r="C752" s="13" t="s">
        <v>2608</v>
      </c>
      <c r="D752" s="5">
        <v>8601.0</v>
      </c>
      <c r="E752" s="38" t="s">
        <v>2809</v>
      </c>
      <c r="F752" s="38" t="s">
        <v>2806</v>
      </c>
      <c r="G752" s="4" t="s">
        <v>2810</v>
      </c>
      <c r="H752" s="4" t="s">
        <v>2811</v>
      </c>
      <c r="I752" s="5" t="s">
        <v>8</v>
      </c>
      <c r="J752" s="5" t="s">
        <v>2061</v>
      </c>
      <c r="K752" s="5" t="s">
        <v>25</v>
      </c>
      <c r="L752" s="11" t="s">
        <v>26</v>
      </c>
      <c r="M752" s="5" t="s">
        <v>27</v>
      </c>
      <c r="N752" s="37" t="s">
        <v>2607</v>
      </c>
      <c r="O752" s="12" t="str">
        <f t="shared" si="2"/>
        <v>https://monitoramento.pm.pr.gov.br/proxy_image_7/Interface/Cameras/GetJPEGStream?Camera=P031_B_LPR&amp;AuthUser=siscop&amp;AuthPass=Siscop1234&amp;Width=1024&amp;Height=768&amp;Quality=70&amp;FPS=10&amp;ResponseFormat=Text</v>
      </c>
      <c r="P752" s="6">
        <v>1.0</v>
      </c>
    </row>
    <row r="753">
      <c r="A753" s="36" t="s">
        <v>2607</v>
      </c>
      <c r="B753" s="37" t="s">
        <v>2607</v>
      </c>
      <c r="C753" s="13" t="s">
        <v>2608</v>
      </c>
      <c r="D753" s="5">
        <v>8601.0</v>
      </c>
      <c r="E753" s="38" t="s">
        <v>2812</v>
      </c>
      <c r="F753" s="38" t="s">
        <v>2813</v>
      </c>
      <c r="G753" s="4" t="s">
        <v>2814</v>
      </c>
      <c r="H753" s="4" t="s">
        <v>2815</v>
      </c>
      <c r="I753" s="5" t="s">
        <v>8</v>
      </c>
      <c r="J753" s="5" t="s">
        <v>2061</v>
      </c>
      <c r="K753" s="5" t="s">
        <v>25</v>
      </c>
      <c r="L753" s="11" t="s">
        <v>26</v>
      </c>
      <c r="M753" s="5" t="s">
        <v>27</v>
      </c>
      <c r="N753" s="37" t="s">
        <v>2607</v>
      </c>
      <c r="O753" s="12" t="str">
        <f t="shared" si="2"/>
        <v>https://monitoramento.pm.pr.gov.br/proxy_image_7/Interface/Cameras/GetJPEGStream?Camera=P032.1_Cxt&amp;AuthUser=siscop&amp;AuthPass=Siscop1234&amp;Width=1024&amp;Height=768&amp;Quality=70&amp;FPS=10&amp;ResponseFormat=Text</v>
      </c>
      <c r="P753" s="6">
        <v>1.0</v>
      </c>
    </row>
    <row r="754">
      <c r="A754" s="36" t="s">
        <v>2607</v>
      </c>
      <c r="B754" s="37" t="s">
        <v>2607</v>
      </c>
      <c r="C754" s="13" t="s">
        <v>2608</v>
      </c>
      <c r="D754" s="5">
        <v>8601.0</v>
      </c>
      <c r="E754" s="38" t="s">
        <v>2816</v>
      </c>
      <c r="F754" s="38" t="s">
        <v>2813</v>
      </c>
      <c r="G754" s="4" t="s">
        <v>2817</v>
      </c>
      <c r="H754" s="4" t="s">
        <v>2818</v>
      </c>
      <c r="I754" s="5" t="s">
        <v>8</v>
      </c>
      <c r="J754" s="5" t="s">
        <v>2061</v>
      </c>
      <c r="K754" s="5" t="s">
        <v>25</v>
      </c>
      <c r="L754" s="11" t="s">
        <v>26</v>
      </c>
      <c r="M754" s="5" t="s">
        <v>27</v>
      </c>
      <c r="N754" s="37" t="s">
        <v>2607</v>
      </c>
      <c r="O754" s="12" t="str">
        <f t="shared" si="2"/>
        <v>https://monitoramento.pm.pr.gov.br/proxy_image_7/Interface/Cameras/GetJPEGStream?Camera=P032.2_Cxt&amp;AuthUser=siscop&amp;AuthPass=Siscop1234&amp;Width=1024&amp;Height=768&amp;Quality=70&amp;FPS=10&amp;ResponseFormat=Text</v>
      </c>
      <c r="P754" s="6">
        <v>1.0</v>
      </c>
    </row>
    <row r="755">
      <c r="A755" s="36" t="s">
        <v>2607</v>
      </c>
      <c r="B755" s="37" t="s">
        <v>2607</v>
      </c>
      <c r="C755" s="13" t="s">
        <v>2608</v>
      </c>
      <c r="D755" s="5">
        <v>8601.0</v>
      </c>
      <c r="E755" s="38" t="s">
        <v>2819</v>
      </c>
      <c r="F755" s="38" t="s">
        <v>2820</v>
      </c>
      <c r="G755" s="4" t="s">
        <v>2821</v>
      </c>
      <c r="H755" s="4" t="s">
        <v>2822</v>
      </c>
      <c r="I755" s="5" t="s">
        <v>8</v>
      </c>
      <c r="J755" s="5" t="s">
        <v>2061</v>
      </c>
      <c r="K755" s="5" t="s">
        <v>25</v>
      </c>
      <c r="L755" s="11" t="s">
        <v>26</v>
      </c>
      <c r="M755" s="5" t="s">
        <v>27</v>
      </c>
      <c r="N755" s="37" t="s">
        <v>2607</v>
      </c>
      <c r="O755" s="12" t="str">
        <f t="shared" si="2"/>
        <v>https://monitoramento.pm.pr.gov.br/proxy_image_7/Interface/Cameras/GetJPEGStream?Camera=P033_A_Cxt&amp;AuthUser=siscop&amp;AuthPass=Siscop1234&amp;Width=1024&amp;Height=768&amp;Quality=70&amp;FPS=10&amp;ResponseFormat=Text</v>
      </c>
      <c r="P755" s="6">
        <v>1.0</v>
      </c>
    </row>
    <row r="756">
      <c r="A756" s="36" t="s">
        <v>2607</v>
      </c>
      <c r="B756" s="37" t="s">
        <v>2607</v>
      </c>
      <c r="C756" s="13" t="s">
        <v>2608</v>
      </c>
      <c r="D756" s="5">
        <v>8601.0</v>
      </c>
      <c r="E756" s="38" t="s">
        <v>2823</v>
      </c>
      <c r="F756" s="38" t="s">
        <v>2820</v>
      </c>
      <c r="G756" s="4" t="s">
        <v>2824</v>
      </c>
      <c r="H756" s="4" t="s">
        <v>2825</v>
      </c>
      <c r="I756" s="5" t="s">
        <v>8</v>
      </c>
      <c r="J756" s="5" t="s">
        <v>2061</v>
      </c>
      <c r="K756" s="5" t="s">
        <v>25</v>
      </c>
      <c r="L756" s="11" t="s">
        <v>26</v>
      </c>
      <c r="M756" s="5" t="s">
        <v>27</v>
      </c>
      <c r="N756" s="37" t="s">
        <v>2607</v>
      </c>
      <c r="O756" s="12" t="str">
        <f t="shared" si="2"/>
        <v>https://monitoramento.pm.pr.gov.br/proxy_image_7/Interface/Cameras/GetJPEGStream?Camera=P033_B_LPR&amp;AuthUser=siscop&amp;AuthPass=Siscop1234&amp;Width=1024&amp;Height=768&amp;Quality=70&amp;FPS=10&amp;ResponseFormat=Text</v>
      </c>
      <c r="P756" s="6">
        <v>1.0</v>
      </c>
    </row>
    <row r="757">
      <c r="A757" s="36" t="s">
        <v>2607</v>
      </c>
      <c r="B757" s="37" t="s">
        <v>2607</v>
      </c>
      <c r="C757" s="13" t="s">
        <v>2608</v>
      </c>
      <c r="D757" s="5">
        <v>8601.0</v>
      </c>
      <c r="E757" s="38" t="s">
        <v>2826</v>
      </c>
      <c r="F757" s="38" t="s">
        <v>2827</v>
      </c>
      <c r="G757" s="4" t="s">
        <v>2828</v>
      </c>
      <c r="H757" s="4" t="s">
        <v>2829</v>
      </c>
      <c r="I757" s="5" t="s">
        <v>8</v>
      </c>
      <c r="J757" s="5" t="s">
        <v>2061</v>
      </c>
      <c r="K757" s="5" t="s">
        <v>25</v>
      </c>
      <c r="L757" s="11" t="s">
        <v>26</v>
      </c>
      <c r="M757" s="5" t="s">
        <v>27</v>
      </c>
      <c r="N757" s="37" t="s">
        <v>2607</v>
      </c>
      <c r="O757" s="12" t="str">
        <f t="shared" si="2"/>
        <v>https://monitoramento.pm.pr.gov.br/proxy_image_7/Interface/Cameras/GetJPEGStream?Camera=P034.1_A_Cxt&amp;AuthUser=siscop&amp;AuthPass=Siscop1234&amp;Width=1024&amp;Height=768&amp;Quality=70&amp;FPS=10&amp;ResponseFormat=Text</v>
      </c>
      <c r="P757" s="6">
        <v>1.0</v>
      </c>
    </row>
    <row r="758">
      <c r="A758" s="36" t="s">
        <v>2607</v>
      </c>
      <c r="B758" s="37" t="s">
        <v>2607</v>
      </c>
      <c r="C758" s="13" t="s">
        <v>2608</v>
      </c>
      <c r="D758" s="5">
        <v>8601.0</v>
      </c>
      <c r="E758" s="38" t="s">
        <v>2830</v>
      </c>
      <c r="F758" s="38" t="s">
        <v>2827</v>
      </c>
      <c r="G758" s="4" t="s">
        <v>2831</v>
      </c>
      <c r="H758" s="4" t="s">
        <v>2832</v>
      </c>
      <c r="I758" s="5" t="s">
        <v>8</v>
      </c>
      <c r="J758" s="5" t="s">
        <v>2061</v>
      </c>
      <c r="K758" s="5" t="s">
        <v>25</v>
      </c>
      <c r="L758" s="11" t="s">
        <v>26</v>
      </c>
      <c r="M758" s="5" t="s">
        <v>27</v>
      </c>
      <c r="N758" s="37" t="s">
        <v>2607</v>
      </c>
      <c r="O758" s="12" t="str">
        <f t="shared" si="2"/>
        <v>https://monitoramento.pm.pr.gov.br/proxy_image_7/Interface/Cameras/GetJPEGStream?Camera=P034.1_B_LPR&amp;AuthUser=siscop&amp;AuthPass=Siscop1234&amp;Width=1024&amp;Height=768&amp;Quality=70&amp;FPS=10&amp;ResponseFormat=Text</v>
      </c>
      <c r="P758" s="6">
        <v>1.0</v>
      </c>
    </row>
    <row r="759">
      <c r="A759" s="36" t="s">
        <v>2607</v>
      </c>
      <c r="B759" s="37" t="s">
        <v>2607</v>
      </c>
      <c r="C759" s="13" t="s">
        <v>2608</v>
      </c>
      <c r="D759" s="5">
        <v>8601.0</v>
      </c>
      <c r="E759" s="38" t="s">
        <v>2833</v>
      </c>
      <c r="F759" s="38" t="s">
        <v>2834</v>
      </c>
      <c r="G759" s="4" t="s">
        <v>2835</v>
      </c>
      <c r="H759" s="4" t="s">
        <v>2836</v>
      </c>
      <c r="I759" s="5" t="s">
        <v>8</v>
      </c>
      <c r="J759" s="5" t="s">
        <v>2061</v>
      </c>
      <c r="K759" s="5" t="s">
        <v>25</v>
      </c>
      <c r="L759" s="11" t="s">
        <v>26</v>
      </c>
      <c r="M759" s="5" t="s">
        <v>27</v>
      </c>
      <c r="N759" s="37" t="s">
        <v>2607</v>
      </c>
      <c r="O759" s="12" t="str">
        <f t="shared" si="2"/>
        <v>https://monitoramento.pm.pr.gov.br/proxy_image_7/Interface/Cameras/GetJPEGStream?Camera=P034.2_Cxt&amp;AuthUser=siscop&amp;AuthPass=Siscop1234&amp;Width=1024&amp;Height=768&amp;Quality=70&amp;FPS=10&amp;ResponseFormat=Text</v>
      </c>
      <c r="P759" s="6">
        <v>1.0</v>
      </c>
    </row>
    <row r="760">
      <c r="A760" s="36" t="s">
        <v>2607</v>
      </c>
      <c r="B760" s="37" t="s">
        <v>2607</v>
      </c>
      <c r="C760" s="13" t="s">
        <v>2608</v>
      </c>
      <c r="D760" s="5">
        <v>8601.0</v>
      </c>
      <c r="E760" s="38" t="s">
        <v>2837</v>
      </c>
      <c r="F760" s="38" t="s">
        <v>2838</v>
      </c>
      <c r="G760" s="4" t="s">
        <v>2839</v>
      </c>
      <c r="H760" s="4" t="s">
        <v>2840</v>
      </c>
      <c r="I760" s="5" t="s">
        <v>8</v>
      </c>
      <c r="J760" s="5" t="s">
        <v>2061</v>
      </c>
      <c r="K760" s="5" t="s">
        <v>25</v>
      </c>
      <c r="L760" s="11" t="s">
        <v>26</v>
      </c>
      <c r="M760" s="5" t="s">
        <v>27</v>
      </c>
      <c r="N760" s="37" t="s">
        <v>2607</v>
      </c>
      <c r="O760" s="12" t="str">
        <f t="shared" si="2"/>
        <v>https://monitoramento.pm.pr.gov.br/proxy_image_7/Interface/Cameras/GetJPEGStream?Camera=P034.3_Cxt&amp;AuthUser=siscop&amp;AuthPass=Siscop1234&amp;Width=1024&amp;Height=768&amp;Quality=70&amp;FPS=10&amp;ResponseFormat=Text</v>
      </c>
      <c r="P760" s="6">
        <v>1.0</v>
      </c>
    </row>
    <row r="761">
      <c r="A761" s="36" t="s">
        <v>2607</v>
      </c>
      <c r="B761" s="37" t="s">
        <v>2607</v>
      </c>
      <c r="C761" s="13" t="s">
        <v>2608</v>
      </c>
      <c r="D761" s="5">
        <v>8601.0</v>
      </c>
      <c r="E761" s="38" t="s">
        <v>2841</v>
      </c>
      <c r="F761" s="38" t="s">
        <v>2842</v>
      </c>
      <c r="G761" s="4" t="s">
        <v>2843</v>
      </c>
      <c r="H761" s="4" t="s">
        <v>2844</v>
      </c>
      <c r="I761" s="5" t="s">
        <v>8</v>
      </c>
      <c r="J761" s="5" t="s">
        <v>2061</v>
      </c>
      <c r="K761" s="5" t="s">
        <v>25</v>
      </c>
      <c r="L761" s="11" t="s">
        <v>26</v>
      </c>
      <c r="M761" s="5" t="s">
        <v>27</v>
      </c>
      <c r="N761" s="37" t="s">
        <v>2607</v>
      </c>
      <c r="O761" s="12" t="str">
        <f t="shared" si="2"/>
        <v>https://monitoramento.pm.pr.gov.br/proxy_image_7/Interface/Cameras/GetJPEGStream?Camera=P034.4_A_Cxt&amp;AuthUser=siscop&amp;AuthPass=Siscop1234&amp;Width=1024&amp;Height=768&amp;Quality=70&amp;FPS=10&amp;ResponseFormat=Text</v>
      </c>
      <c r="P761" s="6">
        <v>1.0</v>
      </c>
    </row>
    <row r="762">
      <c r="A762" s="36" t="s">
        <v>2607</v>
      </c>
      <c r="B762" s="37" t="s">
        <v>2607</v>
      </c>
      <c r="C762" s="13" t="s">
        <v>2608</v>
      </c>
      <c r="D762" s="5">
        <v>8601.0</v>
      </c>
      <c r="E762" s="38" t="s">
        <v>2845</v>
      </c>
      <c r="F762" s="38" t="s">
        <v>2842</v>
      </c>
      <c r="G762" s="4" t="s">
        <v>2846</v>
      </c>
      <c r="H762" s="4" t="s">
        <v>2847</v>
      </c>
      <c r="I762" s="5" t="s">
        <v>8</v>
      </c>
      <c r="J762" s="5" t="s">
        <v>2061</v>
      </c>
      <c r="K762" s="5" t="s">
        <v>25</v>
      </c>
      <c r="L762" s="11" t="s">
        <v>26</v>
      </c>
      <c r="M762" s="5" t="s">
        <v>27</v>
      </c>
      <c r="N762" s="37" t="s">
        <v>2607</v>
      </c>
      <c r="O762" s="12" t="str">
        <f t="shared" si="2"/>
        <v>https://monitoramento.pm.pr.gov.br/proxy_image_7/Interface/Cameras/GetJPEGStream?Camera=P034.4_B_LPR&amp;AuthUser=siscop&amp;AuthPass=Siscop1234&amp;Width=1024&amp;Height=768&amp;Quality=70&amp;FPS=10&amp;ResponseFormat=Text</v>
      </c>
      <c r="P762" s="6">
        <v>1.0</v>
      </c>
    </row>
    <row r="763">
      <c r="A763" s="36" t="s">
        <v>2607</v>
      </c>
      <c r="B763" s="37" t="s">
        <v>2607</v>
      </c>
      <c r="C763" s="13" t="s">
        <v>2608</v>
      </c>
      <c r="D763" s="5">
        <v>8601.0</v>
      </c>
      <c r="E763" s="38" t="s">
        <v>2848</v>
      </c>
      <c r="F763" s="38" t="s">
        <v>2849</v>
      </c>
      <c r="G763" s="4" t="s">
        <v>2850</v>
      </c>
      <c r="H763" s="4" t="s">
        <v>2851</v>
      </c>
      <c r="I763" s="5" t="s">
        <v>8</v>
      </c>
      <c r="J763" s="5" t="s">
        <v>2061</v>
      </c>
      <c r="K763" s="5" t="s">
        <v>25</v>
      </c>
      <c r="L763" s="11" t="s">
        <v>26</v>
      </c>
      <c r="M763" s="5" t="s">
        <v>27</v>
      </c>
      <c r="N763" s="37" t="s">
        <v>2607</v>
      </c>
      <c r="O763" s="12" t="str">
        <f t="shared" si="2"/>
        <v>https://monitoramento.pm.pr.gov.br/proxy_image_7/Interface/Cameras/GetJPEGStream?Camera=P035_A_Cxt&amp;AuthUser=siscop&amp;AuthPass=Siscop1234&amp;Width=1024&amp;Height=768&amp;Quality=70&amp;FPS=10&amp;ResponseFormat=Text</v>
      </c>
      <c r="P763" s="6">
        <v>1.0</v>
      </c>
    </row>
    <row r="764">
      <c r="A764" s="36" t="s">
        <v>2607</v>
      </c>
      <c r="B764" s="37" t="s">
        <v>2607</v>
      </c>
      <c r="C764" s="13" t="s">
        <v>2608</v>
      </c>
      <c r="D764" s="5">
        <v>8601.0</v>
      </c>
      <c r="E764" s="38" t="s">
        <v>2852</v>
      </c>
      <c r="F764" s="38" t="s">
        <v>2849</v>
      </c>
      <c r="G764" s="4" t="s">
        <v>2853</v>
      </c>
      <c r="H764" s="4" t="s">
        <v>2854</v>
      </c>
      <c r="I764" s="5" t="s">
        <v>8</v>
      </c>
      <c r="J764" s="5" t="s">
        <v>2061</v>
      </c>
      <c r="K764" s="5" t="s">
        <v>25</v>
      </c>
      <c r="L764" s="11" t="s">
        <v>26</v>
      </c>
      <c r="M764" s="5" t="s">
        <v>27</v>
      </c>
      <c r="N764" s="37" t="s">
        <v>2607</v>
      </c>
      <c r="O764" s="12" t="str">
        <f t="shared" si="2"/>
        <v>https://monitoramento.pm.pr.gov.br/proxy_image_7/Interface/Cameras/GetJPEGStream?Camera=P035_B_LPR&amp;AuthUser=siscop&amp;AuthPass=Siscop1234&amp;Width=1024&amp;Height=768&amp;Quality=70&amp;FPS=10&amp;ResponseFormat=Text</v>
      </c>
      <c r="P764" s="6">
        <v>1.0</v>
      </c>
    </row>
    <row r="765">
      <c r="A765" s="36" t="s">
        <v>2607</v>
      </c>
      <c r="B765" s="37" t="s">
        <v>2607</v>
      </c>
      <c r="C765" s="13" t="s">
        <v>2608</v>
      </c>
      <c r="D765" s="5">
        <v>8601.0</v>
      </c>
      <c r="E765" s="38" t="s">
        <v>2855</v>
      </c>
      <c r="F765" s="38" t="s">
        <v>2856</v>
      </c>
      <c r="G765" s="4" t="s">
        <v>2857</v>
      </c>
      <c r="H765" s="4" t="s">
        <v>2858</v>
      </c>
      <c r="I765" s="5" t="s">
        <v>8</v>
      </c>
      <c r="J765" s="5" t="s">
        <v>2061</v>
      </c>
      <c r="K765" s="5" t="s">
        <v>25</v>
      </c>
      <c r="L765" s="11" t="s">
        <v>26</v>
      </c>
      <c r="M765" s="5" t="s">
        <v>27</v>
      </c>
      <c r="N765" s="37" t="s">
        <v>2607</v>
      </c>
      <c r="O765" s="12" t="str">
        <f t="shared" si="2"/>
        <v>https://monitoramento.pm.pr.gov.br/proxy_image_7/Interface/Cameras/GetJPEGStream?Camera=P036.1_A_Cxt&amp;AuthUser=siscop&amp;AuthPass=Siscop1234&amp;Width=1024&amp;Height=768&amp;Quality=70&amp;FPS=10&amp;ResponseFormat=Text</v>
      </c>
      <c r="P765" s="6">
        <v>1.0</v>
      </c>
    </row>
    <row r="766">
      <c r="A766" s="36" t="s">
        <v>2607</v>
      </c>
      <c r="B766" s="37" t="s">
        <v>2607</v>
      </c>
      <c r="C766" s="13" t="s">
        <v>2608</v>
      </c>
      <c r="D766" s="5">
        <v>8601.0</v>
      </c>
      <c r="E766" s="38" t="s">
        <v>2859</v>
      </c>
      <c r="F766" s="38" t="s">
        <v>2856</v>
      </c>
      <c r="G766" s="4" t="s">
        <v>2860</v>
      </c>
      <c r="H766" s="4" t="s">
        <v>2861</v>
      </c>
      <c r="I766" s="5" t="s">
        <v>8</v>
      </c>
      <c r="J766" s="5" t="s">
        <v>2061</v>
      </c>
      <c r="K766" s="5" t="s">
        <v>25</v>
      </c>
      <c r="L766" s="11" t="s">
        <v>26</v>
      </c>
      <c r="M766" s="5" t="s">
        <v>27</v>
      </c>
      <c r="N766" s="37" t="s">
        <v>2607</v>
      </c>
      <c r="O766" s="12" t="str">
        <f t="shared" si="2"/>
        <v>https://monitoramento.pm.pr.gov.br/proxy_image_7/Interface/Cameras/GetJPEGStream?Camera=P036.1_B_LPR&amp;AuthUser=siscop&amp;AuthPass=Siscop1234&amp;Width=1024&amp;Height=768&amp;Quality=70&amp;FPS=10&amp;ResponseFormat=Text</v>
      </c>
      <c r="P766" s="6">
        <v>1.0</v>
      </c>
    </row>
    <row r="767">
      <c r="A767" s="36" t="s">
        <v>2607</v>
      </c>
      <c r="B767" s="37" t="s">
        <v>2607</v>
      </c>
      <c r="C767" s="13" t="s">
        <v>2608</v>
      </c>
      <c r="D767" s="5">
        <v>8601.0</v>
      </c>
      <c r="E767" s="38" t="s">
        <v>2862</v>
      </c>
      <c r="F767" s="38" t="s">
        <v>2863</v>
      </c>
      <c r="G767" s="4" t="s">
        <v>2864</v>
      </c>
      <c r="H767" s="4" t="s">
        <v>2865</v>
      </c>
      <c r="I767" s="5" t="s">
        <v>8</v>
      </c>
      <c r="J767" s="5" t="s">
        <v>2061</v>
      </c>
      <c r="K767" s="5" t="s">
        <v>25</v>
      </c>
      <c r="L767" s="11" t="s">
        <v>26</v>
      </c>
      <c r="M767" s="5" t="s">
        <v>27</v>
      </c>
      <c r="N767" s="37" t="s">
        <v>2607</v>
      </c>
      <c r="O767" s="12" t="str">
        <f t="shared" si="2"/>
        <v>https://monitoramento.pm.pr.gov.br/proxy_image_7/Interface/Cameras/GetJPEGStream?Camera=P036.2_LPR&amp;AuthUser=siscop&amp;AuthPass=Siscop1234&amp;Width=1024&amp;Height=768&amp;Quality=70&amp;FPS=10&amp;ResponseFormat=Text</v>
      </c>
      <c r="P767" s="6">
        <v>1.0</v>
      </c>
    </row>
    <row r="768">
      <c r="A768" s="36" t="s">
        <v>2607</v>
      </c>
      <c r="B768" s="37" t="s">
        <v>2607</v>
      </c>
      <c r="C768" s="13" t="s">
        <v>2608</v>
      </c>
      <c r="D768" s="5">
        <v>8601.0</v>
      </c>
      <c r="E768" s="38" t="s">
        <v>2866</v>
      </c>
      <c r="F768" s="38" t="s">
        <v>2867</v>
      </c>
      <c r="G768" s="4" t="s">
        <v>2868</v>
      </c>
      <c r="H768" s="4" t="s">
        <v>2869</v>
      </c>
      <c r="I768" s="5" t="s">
        <v>8</v>
      </c>
      <c r="J768" s="5" t="s">
        <v>2061</v>
      </c>
      <c r="K768" s="5" t="s">
        <v>25</v>
      </c>
      <c r="L768" s="11" t="s">
        <v>26</v>
      </c>
      <c r="M768" s="5" t="s">
        <v>27</v>
      </c>
      <c r="N768" s="37" t="s">
        <v>2607</v>
      </c>
      <c r="O768" s="12" t="str">
        <f t="shared" si="2"/>
        <v>https://monitoramento.pm.pr.gov.br/proxy_image_7/Interface/Cameras/GetJPEGStream?Camera=P036.3_LPR&amp;AuthUser=siscop&amp;AuthPass=Siscop1234&amp;Width=1024&amp;Height=768&amp;Quality=70&amp;FPS=10&amp;ResponseFormat=Text</v>
      </c>
      <c r="P768" s="6">
        <v>1.0</v>
      </c>
    </row>
    <row r="769">
      <c r="A769" s="36" t="s">
        <v>2607</v>
      </c>
      <c r="B769" s="37" t="s">
        <v>2607</v>
      </c>
      <c r="C769" s="13" t="s">
        <v>2608</v>
      </c>
      <c r="D769" s="5">
        <v>8601.0</v>
      </c>
      <c r="E769" s="38" t="s">
        <v>2870</v>
      </c>
      <c r="F769" s="38" t="s">
        <v>2871</v>
      </c>
      <c r="G769" s="4" t="s">
        <v>2872</v>
      </c>
      <c r="H769" s="4" t="s">
        <v>2873</v>
      </c>
      <c r="I769" s="5" t="s">
        <v>8</v>
      </c>
      <c r="J769" s="5" t="s">
        <v>2061</v>
      </c>
      <c r="K769" s="5" t="s">
        <v>25</v>
      </c>
      <c r="L769" s="11" t="s">
        <v>26</v>
      </c>
      <c r="M769" s="5" t="s">
        <v>27</v>
      </c>
      <c r="N769" s="37" t="s">
        <v>2607</v>
      </c>
      <c r="O769" s="12" t="str">
        <f t="shared" si="2"/>
        <v>https://monitoramento.pm.pr.gov.br/proxy_image_7/Interface/Cameras/GetJPEGStream?Camera=P036.4_Cxt&amp;AuthUser=siscop&amp;AuthPass=Siscop1234&amp;Width=1024&amp;Height=768&amp;Quality=70&amp;FPS=10&amp;ResponseFormat=Text</v>
      </c>
      <c r="P769" s="6">
        <v>1.0</v>
      </c>
    </row>
    <row r="770">
      <c r="A770" s="36" t="s">
        <v>2607</v>
      </c>
      <c r="B770" s="37" t="s">
        <v>2607</v>
      </c>
      <c r="C770" s="13" t="s">
        <v>2608</v>
      </c>
      <c r="D770" s="5">
        <v>8601.0</v>
      </c>
      <c r="E770" s="38" t="s">
        <v>2874</v>
      </c>
      <c r="F770" s="38" t="s">
        <v>2875</v>
      </c>
      <c r="G770" s="4" t="s">
        <v>2876</v>
      </c>
      <c r="H770" s="4" t="s">
        <v>2877</v>
      </c>
      <c r="I770" s="5" t="s">
        <v>8</v>
      </c>
      <c r="J770" s="5" t="s">
        <v>2061</v>
      </c>
      <c r="K770" s="5" t="s">
        <v>25</v>
      </c>
      <c r="L770" s="11" t="s">
        <v>26</v>
      </c>
      <c r="M770" s="5" t="s">
        <v>27</v>
      </c>
      <c r="N770" s="37" t="s">
        <v>2607</v>
      </c>
      <c r="O770" s="12" t="str">
        <f t="shared" si="2"/>
        <v>https://monitoramento.pm.pr.gov.br/proxy_image_7/Interface/Cameras/GetJPEGStream?Camera=P037.1_LPR&amp;AuthUser=siscop&amp;AuthPass=Siscop1234&amp;Width=1024&amp;Height=768&amp;Quality=70&amp;FPS=10&amp;ResponseFormat=Text</v>
      </c>
      <c r="P770" s="6">
        <v>1.0</v>
      </c>
    </row>
    <row r="771">
      <c r="A771" s="36" t="s">
        <v>2607</v>
      </c>
      <c r="B771" s="37" t="s">
        <v>2607</v>
      </c>
      <c r="C771" s="13" t="s">
        <v>2608</v>
      </c>
      <c r="D771" s="5">
        <v>8601.0</v>
      </c>
      <c r="E771" s="38" t="s">
        <v>2878</v>
      </c>
      <c r="F771" s="38" t="s">
        <v>2879</v>
      </c>
      <c r="G771" s="4" t="s">
        <v>2876</v>
      </c>
      <c r="H771" s="4" t="s">
        <v>2877</v>
      </c>
      <c r="I771" s="5" t="s">
        <v>8</v>
      </c>
      <c r="J771" s="5" t="s">
        <v>2061</v>
      </c>
      <c r="K771" s="5" t="s">
        <v>25</v>
      </c>
      <c r="L771" s="11" t="s">
        <v>26</v>
      </c>
      <c r="M771" s="5" t="s">
        <v>27</v>
      </c>
      <c r="N771" s="37" t="s">
        <v>2607</v>
      </c>
      <c r="O771" s="12" t="str">
        <f t="shared" si="2"/>
        <v>https://monitoramento.pm.pr.gov.br/proxy_image_7/Interface/Cameras/GetJPEGStream?Camera=P037.2_Cxt&amp;AuthUser=siscop&amp;AuthPass=Siscop1234&amp;Width=1024&amp;Height=768&amp;Quality=70&amp;FPS=10&amp;ResponseFormat=Text</v>
      </c>
      <c r="P771" s="6">
        <v>1.0</v>
      </c>
    </row>
    <row r="772">
      <c r="A772" s="36" t="s">
        <v>2607</v>
      </c>
      <c r="B772" s="37" t="s">
        <v>2607</v>
      </c>
      <c r="C772" s="13" t="s">
        <v>2608</v>
      </c>
      <c r="D772" s="5">
        <v>8601.0</v>
      </c>
      <c r="E772" s="38" t="s">
        <v>2880</v>
      </c>
      <c r="F772" s="38" t="s">
        <v>2881</v>
      </c>
      <c r="G772" s="4" t="s">
        <v>2882</v>
      </c>
      <c r="H772" s="4" t="s">
        <v>2883</v>
      </c>
      <c r="I772" s="5" t="s">
        <v>8</v>
      </c>
      <c r="J772" s="5" t="s">
        <v>2061</v>
      </c>
      <c r="K772" s="5" t="s">
        <v>25</v>
      </c>
      <c r="L772" s="11" t="s">
        <v>26</v>
      </c>
      <c r="M772" s="5" t="s">
        <v>27</v>
      </c>
      <c r="N772" s="37" t="s">
        <v>2607</v>
      </c>
      <c r="O772" s="12" t="str">
        <f t="shared" si="2"/>
        <v>https://monitoramento.pm.pr.gov.br/proxy_image_7/Interface/Cameras/GetJPEGStream?Camera=P038.1_PTZ&amp;AuthUser=siscop&amp;AuthPass=Siscop1234&amp;Width=1024&amp;Height=768&amp;Quality=70&amp;FPS=10&amp;ResponseFormat=Text</v>
      </c>
      <c r="P772" s="6">
        <v>1.0</v>
      </c>
    </row>
    <row r="773">
      <c r="A773" s="36" t="s">
        <v>2607</v>
      </c>
      <c r="B773" s="37" t="s">
        <v>2607</v>
      </c>
      <c r="C773" s="13" t="s">
        <v>2608</v>
      </c>
      <c r="D773" s="5">
        <v>8601.0</v>
      </c>
      <c r="E773" s="38" t="s">
        <v>2884</v>
      </c>
      <c r="F773" s="38" t="s">
        <v>2881</v>
      </c>
      <c r="G773" s="4" t="s">
        <v>2882</v>
      </c>
      <c r="H773" s="4" t="s">
        <v>2883</v>
      </c>
      <c r="I773" s="5" t="s">
        <v>8</v>
      </c>
      <c r="J773" s="5" t="s">
        <v>2061</v>
      </c>
      <c r="K773" s="5" t="s">
        <v>25</v>
      </c>
      <c r="L773" s="11" t="s">
        <v>26</v>
      </c>
      <c r="M773" s="5" t="s">
        <v>27</v>
      </c>
      <c r="N773" s="37" t="s">
        <v>2607</v>
      </c>
      <c r="O773" s="12" t="str">
        <f t="shared" si="2"/>
        <v>https://monitoramento.pm.pr.gov.br/proxy_image_7/Interface/Cameras/GetJPEGStream?Camera=P038.2_CXT&amp;AuthUser=siscop&amp;AuthPass=Siscop1234&amp;Width=1024&amp;Height=768&amp;Quality=70&amp;FPS=10&amp;ResponseFormat=Text</v>
      </c>
      <c r="P773" s="6">
        <v>1.0</v>
      </c>
    </row>
    <row r="774">
      <c r="A774" s="36" t="s">
        <v>2607</v>
      </c>
      <c r="B774" s="37" t="s">
        <v>2607</v>
      </c>
      <c r="C774" s="13" t="s">
        <v>2608</v>
      </c>
      <c r="D774" s="5">
        <v>8601.0</v>
      </c>
      <c r="E774" s="38" t="s">
        <v>2885</v>
      </c>
      <c r="F774" s="38" t="s">
        <v>2881</v>
      </c>
      <c r="G774" s="4" t="s">
        <v>2882</v>
      </c>
      <c r="H774" s="4" t="s">
        <v>2883</v>
      </c>
      <c r="I774" s="5" t="s">
        <v>8</v>
      </c>
      <c r="J774" s="5" t="s">
        <v>2061</v>
      </c>
      <c r="K774" s="5" t="s">
        <v>25</v>
      </c>
      <c r="L774" s="11" t="s">
        <v>26</v>
      </c>
      <c r="M774" s="5" t="s">
        <v>27</v>
      </c>
      <c r="N774" s="37" t="s">
        <v>2607</v>
      </c>
      <c r="O774" s="12" t="str">
        <f t="shared" si="2"/>
        <v>https://monitoramento.pm.pr.gov.br/proxy_image_7/Interface/Cameras/GetJPEGStream?Camera=P038.3_CXT&amp;AuthUser=siscop&amp;AuthPass=Siscop1234&amp;Width=1024&amp;Height=768&amp;Quality=70&amp;FPS=10&amp;ResponseFormat=Text</v>
      </c>
      <c r="P774" s="6">
        <v>1.0</v>
      </c>
    </row>
    <row r="775">
      <c r="A775" s="36" t="s">
        <v>2607</v>
      </c>
      <c r="B775" s="37" t="s">
        <v>2607</v>
      </c>
      <c r="C775" s="13" t="s">
        <v>2608</v>
      </c>
      <c r="D775" s="5">
        <v>8601.0</v>
      </c>
      <c r="E775" s="38" t="s">
        <v>2886</v>
      </c>
      <c r="F775" s="38" t="s">
        <v>2881</v>
      </c>
      <c r="G775" s="4" t="s">
        <v>2882</v>
      </c>
      <c r="H775" s="4" t="s">
        <v>2883</v>
      </c>
      <c r="I775" s="5" t="s">
        <v>8</v>
      </c>
      <c r="J775" s="5" t="s">
        <v>2061</v>
      </c>
      <c r="K775" s="5" t="s">
        <v>25</v>
      </c>
      <c r="L775" s="11" t="s">
        <v>26</v>
      </c>
      <c r="M775" s="5" t="s">
        <v>27</v>
      </c>
      <c r="N775" s="37" t="s">
        <v>2607</v>
      </c>
      <c r="O775" s="12" t="str">
        <f t="shared" si="2"/>
        <v>https://monitoramento.pm.pr.gov.br/proxy_image_7/Interface/Cameras/GetJPEGStream?Camera=P038.4_CXT&amp;AuthUser=siscop&amp;AuthPass=Siscop1234&amp;Width=1024&amp;Height=768&amp;Quality=70&amp;FPS=10&amp;ResponseFormat=Text</v>
      </c>
      <c r="P775" s="6">
        <v>1.0</v>
      </c>
    </row>
    <row r="776">
      <c r="A776" s="36" t="s">
        <v>2607</v>
      </c>
      <c r="B776" s="37" t="s">
        <v>2607</v>
      </c>
      <c r="C776" s="13" t="s">
        <v>2608</v>
      </c>
      <c r="D776" s="5">
        <v>8601.0</v>
      </c>
      <c r="E776" s="38" t="s">
        <v>2887</v>
      </c>
      <c r="F776" s="38" t="s">
        <v>2881</v>
      </c>
      <c r="G776" s="4" t="s">
        <v>2882</v>
      </c>
      <c r="H776" s="4" t="s">
        <v>2883</v>
      </c>
      <c r="I776" s="5" t="s">
        <v>8</v>
      </c>
      <c r="J776" s="5" t="s">
        <v>2061</v>
      </c>
      <c r="K776" s="5" t="s">
        <v>25</v>
      </c>
      <c r="L776" s="11" t="s">
        <v>26</v>
      </c>
      <c r="M776" s="5" t="s">
        <v>27</v>
      </c>
      <c r="N776" s="37" t="s">
        <v>2607</v>
      </c>
      <c r="O776" s="12" t="str">
        <f t="shared" si="2"/>
        <v>https://monitoramento.pm.pr.gov.br/proxy_image_7/Interface/Cameras/GetJPEGStream?Camera=P038.5_CXT&amp;AuthUser=siscop&amp;AuthPass=Siscop1234&amp;Width=1024&amp;Height=768&amp;Quality=70&amp;FPS=10&amp;ResponseFormat=Text</v>
      </c>
      <c r="P776" s="6">
        <v>1.0</v>
      </c>
    </row>
    <row r="777">
      <c r="A777" s="36" t="s">
        <v>2607</v>
      </c>
      <c r="B777" s="37" t="s">
        <v>2607</v>
      </c>
      <c r="C777" s="13" t="s">
        <v>2608</v>
      </c>
      <c r="D777" s="5">
        <v>8601.0</v>
      </c>
      <c r="E777" s="38" t="s">
        <v>2888</v>
      </c>
      <c r="F777" s="38" t="s">
        <v>2889</v>
      </c>
      <c r="G777" s="4" t="s">
        <v>2890</v>
      </c>
      <c r="H777" s="4" t="s">
        <v>2891</v>
      </c>
      <c r="I777" s="5" t="s">
        <v>8</v>
      </c>
      <c r="J777" s="5" t="s">
        <v>2061</v>
      </c>
      <c r="K777" s="5" t="s">
        <v>25</v>
      </c>
      <c r="L777" s="11" t="s">
        <v>26</v>
      </c>
      <c r="M777" s="5" t="s">
        <v>27</v>
      </c>
      <c r="N777" s="37" t="s">
        <v>2607</v>
      </c>
      <c r="O777" s="12" t="str">
        <f t="shared" si="2"/>
        <v>https://monitoramento.pm.pr.gov.br/proxy_image_7/Interface/Cameras/GetJPEGStream?Camera=P039_Cxt&amp;AuthUser=siscop&amp;AuthPass=Siscop1234&amp;Width=1024&amp;Height=768&amp;Quality=70&amp;FPS=10&amp;ResponseFormat=Text</v>
      </c>
      <c r="P777" s="6">
        <v>1.0</v>
      </c>
    </row>
    <row r="778">
      <c r="A778" s="36" t="s">
        <v>2607</v>
      </c>
      <c r="B778" s="37" t="s">
        <v>2607</v>
      </c>
      <c r="C778" s="13" t="s">
        <v>2608</v>
      </c>
      <c r="D778" s="5">
        <v>8601.0</v>
      </c>
      <c r="E778" s="38" t="s">
        <v>2892</v>
      </c>
      <c r="F778" s="38" t="s">
        <v>2893</v>
      </c>
      <c r="G778" s="4" t="s">
        <v>2894</v>
      </c>
      <c r="H778" s="4" t="s">
        <v>2895</v>
      </c>
      <c r="I778" s="5" t="s">
        <v>8</v>
      </c>
      <c r="J778" s="5" t="s">
        <v>2061</v>
      </c>
      <c r="K778" s="5" t="s">
        <v>25</v>
      </c>
      <c r="L778" s="11" t="s">
        <v>26</v>
      </c>
      <c r="M778" s="5" t="s">
        <v>27</v>
      </c>
      <c r="N778" s="37" t="s">
        <v>2607</v>
      </c>
      <c r="O778" s="12" t="str">
        <f t="shared" si="2"/>
        <v>https://monitoramento.pm.pr.gov.br/proxy_image_7/Interface/Cameras/GetJPEGStream?Camera=P040.1_Cxt&amp;AuthUser=siscop&amp;AuthPass=Siscop1234&amp;Width=1024&amp;Height=768&amp;Quality=70&amp;FPS=10&amp;ResponseFormat=Text</v>
      </c>
      <c r="P778" s="6">
        <v>1.0</v>
      </c>
    </row>
    <row r="779">
      <c r="A779" s="36" t="s">
        <v>2607</v>
      </c>
      <c r="B779" s="37" t="s">
        <v>2607</v>
      </c>
      <c r="C779" s="13" t="s">
        <v>2608</v>
      </c>
      <c r="D779" s="5">
        <v>8601.0</v>
      </c>
      <c r="E779" s="38" t="s">
        <v>2896</v>
      </c>
      <c r="F779" s="38" t="s">
        <v>2893</v>
      </c>
      <c r="G779" s="4" t="s">
        <v>2894</v>
      </c>
      <c r="H779" s="4" t="s">
        <v>2895</v>
      </c>
      <c r="I779" s="5" t="s">
        <v>8</v>
      </c>
      <c r="J779" s="5" t="s">
        <v>2061</v>
      </c>
      <c r="K779" s="5" t="s">
        <v>25</v>
      </c>
      <c r="L779" s="11" t="s">
        <v>26</v>
      </c>
      <c r="M779" s="5" t="s">
        <v>27</v>
      </c>
      <c r="N779" s="37" t="s">
        <v>2607</v>
      </c>
      <c r="O779" s="12" t="str">
        <f t="shared" si="2"/>
        <v>https://monitoramento.pm.pr.gov.br/proxy_image_7/Interface/Cameras/GetJPEGStream?Camera=P040.2_Cxt&amp;AuthUser=siscop&amp;AuthPass=Siscop1234&amp;Width=1024&amp;Height=768&amp;Quality=70&amp;FPS=10&amp;ResponseFormat=Text</v>
      </c>
      <c r="P779" s="6">
        <v>1.0</v>
      </c>
    </row>
    <row r="780">
      <c r="A780" s="36" t="s">
        <v>2607</v>
      </c>
      <c r="B780" s="37" t="s">
        <v>2607</v>
      </c>
      <c r="C780" s="13" t="s">
        <v>2608</v>
      </c>
      <c r="D780" s="5">
        <v>8601.0</v>
      </c>
      <c r="E780" s="38" t="s">
        <v>2897</v>
      </c>
      <c r="F780" s="38" t="s">
        <v>2898</v>
      </c>
      <c r="G780" s="4" t="s">
        <v>2857</v>
      </c>
      <c r="H780" s="4" t="s">
        <v>2858</v>
      </c>
      <c r="I780" s="5" t="s">
        <v>8</v>
      </c>
      <c r="J780" s="5" t="s">
        <v>2061</v>
      </c>
      <c r="K780" s="5" t="s">
        <v>25</v>
      </c>
      <c r="L780" s="11" t="s">
        <v>26</v>
      </c>
      <c r="M780" s="5" t="s">
        <v>27</v>
      </c>
      <c r="N780" s="37" t="s">
        <v>2607</v>
      </c>
      <c r="O780" s="12" t="str">
        <f t="shared" si="2"/>
        <v>https://monitoramento.pm.pr.gov.br/proxy_image_7/Interface/Cameras/GetJPEGStream?Camera=P041.1_Cxt&amp;AuthUser=siscop&amp;AuthPass=Siscop1234&amp;Width=1024&amp;Height=768&amp;Quality=70&amp;FPS=10&amp;ResponseFormat=Text</v>
      </c>
      <c r="P780" s="6">
        <v>1.0</v>
      </c>
    </row>
    <row r="781">
      <c r="A781" s="36" t="s">
        <v>2607</v>
      </c>
      <c r="B781" s="37" t="s">
        <v>2607</v>
      </c>
      <c r="C781" s="13" t="s">
        <v>2608</v>
      </c>
      <c r="D781" s="5">
        <v>8601.0</v>
      </c>
      <c r="E781" s="38" t="s">
        <v>2899</v>
      </c>
      <c r="F781" s="38" t="s">
        <v>2898</v>
      </c>
      <c r="G781" s="4" t="s">
        <v>2857</v>
      </c>
      <c r="H781" s="4" t="s">
        <v>2858</v>
      </c>
      <c r="I781" s="5" t="s">
        <v>8</v>
      </c>
      <c r="J781" s="5" t="s">
        <v>2061</v>
      </c>
      <c r="K781" s="5" t="s">
        <v>25</v>
      </c>
      <c r="L781" s="11" t="s">
        <v>26</v>
      </c>
      <c r="M781" s="5" t="s">
        <v>27</v>
      </c>
      <c r="N781" s="37" t="s">
        <v>2607</v>
      </c>
      <c r="O781" s="12" t="str">
        <f t="shared" si="2"/>
        <v>https://monitoramento.pm.pr.gov.br/proxy_image_7/Interface/Cameras/GetJPEGStream?Camera=P041.2_Cxt&amp;AuthUser=siscop&amp;AuthPass=Siscop1234&amp;Width=1024&amp;Height=768&amp;Quality=70&amp;FPS=10&amp;ResponseFormat=Text</v>
      </c>
      <c r="P781" s="6">
        <v>1.0</v>
      </c>
    </row>
    <row r="782">
      <c r="A782" s="36" t="s">
        <v>2607</v>
      </c>
      <c r="B782" s="37" t="s">
        <v>2607</v>
      </c>
      <c r="C782" s="13" t="s">
        <v>2608</v>
      </c>
      <c r="D782" s="5">
        <v>8601.0</v>
      </c>
      <c r="E782" s="38" t="s">
        <v>2900</v>
      </c>
      <c r="F782" s="38" t="s">
        <v>2901</v>
      </c>
      <c r="G782" s="4" t="s">
        <v>2857</v>
      </c>
      <c r="H782" s="4" t="s">
        <v>2858</v>
      </c>
      <c r="I782" s="5" t="s">
        <v>8</v>
      </c>
      <c r="J782" s="5" t="s">
        <v>2061</v>
      </c>
      <c r="K782" s="5" t="s">
        <v>25</v>
      </c>
      <c r="L782" s="11" t="s">
        <v>26</v>
      </c>
      <c r="M782" s="5" t="s">
        <v>27</v>
      </c>
      <c r="N782" s="37" t="s">
        <v>2607</v>
      </c>
      <c r="O782" s="12" t="str">
        <f t="shared" si="2"/>
        <v>https://monitoramento.pm.pr.gov.br/proxy_image_7/Interface/Cameras/GetJPEGStream?Camera=P042.1_Cxt&amp;AuthUser=siscop&amp;AuthPass=Siscop1234&amp;Width=1024&amp;Height=768&amp;Quality=70&amp;FPS=10&amp;ResponseFormat=Text</v>
      </c>
      <c r="P782" s="6">
        <v>1.0</v>
      </c>
    </row>
    <row r="783">
      <c r="A783" s="36" t="s">
        <v>2607</v>
      </c>
      <c r="B783" s="37" t="s">
        <v>2607</v>
      </c>
      <c r="C783" s="13" t="s">
        <v>2608</v>
      </c>
      <c r="D783" s="5">
        <v>8601.0</v>
      </c>
      <c r="E783" s="38" t="s">
        <v>2902</v>
      </c>
      <c r="F783" s="38" t="s">
        <v>2901</v>
      </c>
      <c r="G783" s="4" t="s">
        <v>2857</v>
      </c>
      <c r="H783" s="4" t="s">
        <v>2858</v>
      </c>
      <c r="I783" s="5" t="s">
        <v>8</v>
      </c>
      <c r="J783" s="5" t="s">
        <v>2061</v>
      </c>
      <c r="K783" s="5" t="s">
        <v>25</v>
      </c>
      <c r="L783" s="11" t="s">
        <v>26</v>
      </c>
      <c r="M783" s="5" t="s">
        <v>27</v>
      </c>
      <c r="N783" s="37" t="s">
        <v>2607</v>
      </c>
      <c r="O783" s="12" t="str">
        <f t="shared" si="2"/>
        <v>https://monitoramento.pm.pr.gov.br/proxy_image_7/Interface/Cameras/GetJPEGStream?Camera=P042.2_Cxt&amp;AuthUser=siscop&amp;AuthPass=Siscop1234&amp;Width=1024&amp;Height=768&amp;Quality=70&amp;FPS=10&amp;ResponseFormat=Text</v>
      </c>
      <c r="P783" s="6">
        <v>1.0</v>
      </c>
    </row>
    <row r="784">
      <c r="A784" s="36" t="s">
        <v>2607</v>
      </c>
      <c r="B784" s="37" t="s">
        <v>2607</v>
      </c>
      <c r="C784" s="13" t="s">
        <v>2608</v>
      </c>
      <c r="D784" s="5">
        <v>8601.0</v>
      </c>
      <c r="E784" s="38" t="s">
        <v>2903</v>
      </c>
      <c r="F784" s="38" t="s">
        <v>2904</v>
      </c>
      <c r="G784" s="4" t="s">
        <v>2894</v>
      </c>
      <c r="H784" s="4" t="s">
        <v>2895</v>
      </c>
      <c r="I784" s="5" t="s">
        <v>8</v>
      </c>
      <c r="J784" s="5" t="s">
        <v>2061</v>
      </c>
      <c r="K784" s="5" t="s">
        <v>25</v>
      </c>
      <c r="L784" s="11" t="s">
        <v>26</v>
      </c>
      <c r="M784" s="5" t="s">
        <v>27</v>
      </c>
      <c r="N784" s="37" t="s">
        <v>2607</v>
      </c>
      <c r="O784" s="12" t="str">
        <f t="shared" si="2"/>
        <v>https://monitoramento.pm.pr.gov.br/proxy_image_7/Interface/Cameras/GetJPEGStream?Camera=P043.1_Cxt&amp;AuthUser=siscop&amp;AuthPass=Siscop1234&amp;Width=1024&amp;Height=768&amp;Quality=70&amp;FPS=10&amp;ResponseFormat=Text</v>
      </c>
      <c r="P784" s="6">
        <v>1.0</v>
      </c>
    </row>
    <row r="785">
      <c r="A785" s="36" t="s">
        <v>2607</v>
      </c>
      <c r="B785" s="37" t="s">
        <v>2607</v>
      </c>
      <c r="C785" s="13" t="s">
        <v>2608</v>
      </c>
      <c r="D785" s="5">
        <v>8601.0</v>
      </c>
      <c r="E785" s="38" t="s">
        <v>2905</v>
      </c>
      <c r="F785" s="38" t="s">
        <v>2906</v>
      </c>
      <c r="G785" s="4" t="s">
        <v>2894</v>
      </c>
      <c r="H785" s="4" t="s">
        <v>2895</v>
      </c>
      <c r="I785" s="5" t="s">
        <v>8</v>
      </c>
      <c r="J785" s="5" t="s">
        <v>2061</v>
      </c>
      <c r="K785" s="5" t="s">
        <v>25</v>
      </c>
      <c r="L785" s="11" t="s">
        <v>26</v>
      </c>
      <c r="M785" s="5" t="s">
        <v>27</v>
      </c>
      <c r="N785" s="37" t="s">
        <v>2607</v>
      </c>
      <c r="O785" s="12" t="str">
        <f t="shared" si="2"/>
        <v>https://monitoramento.pm.pr.gov.br/proxy_image_7/Interface/Cameras/GetJPEGStream?Camera=P043.2_Cxt&amp;AuthUser=siscop&amp;AuthPass=Siscop1234&amp;Width=1024&amp;Height=768&amp;Quality=70&amp;FPS=10&amp;ResponseFormat=Text</v>
      </c>
      <c r="P785" s="6">
        <v>1.0</v>
      </c>
    </row>
    <row r="786">
      <c r="A786" s="36" t="s">
        <v>2607</v>
      </c>
      <c r="B786" s="37" t="s">
        <v>2607</v>
      </c>
      <c r="C786" s="13" t="s">
        <v>2608</v>
      </c>
      <c r="D786" s="5">
        <v>8601.0</v>
      </c>
      <c r="E786" s="38" t="s">
        <v>2907</v>
      </c>
      <c r="F786" s="38" t="s">
        <v>2908</v>
      </c>
      <c r="G786" s="4" t="s">
        <v>2894</v>
      </c>
      <c r="H786" s="4" t="s">
        <v>2895</v>
      </c>
      <c r="I786" s="5" t="s">
        <v>8</v>
      </c>
      <c r="J786" s="5" t="s">
        <v>2061</v>
      </c>
      <c r="K786" s="5" t="s">
        <v>25</v>
      </c>
      <c r="L786" s="11" t="s">
        <v>26</v>
      </c>
      <c r="M786" s="5" t="s">
        <v>27</v>
      </c>
      <c r="N786" s="37" t="s">
        <v>2607</v>
      </c>
      <c r="O786" s="12" t="str">
        <f t="shared" si="2"/>
        <v>https://monitoramento.pm.pr.gov.br/proxy_image_7/Interface/Cameras/GetJPEGStream?Camera=P043.3_Cxt&amp;AuthUser=siscop&amp;AuthPass=Siscop1234&amp;Width=1024&amp;Height=768&amp;Quality=70&amp;FPS=10&amp;ResponseFormat=Text</v>
      </c>
      <c r="P786" s="6">
        <v>1.0</v>
      </c>
    </row>
    <row r="787">
      <c r="A787" s="36" t="s">
        <v>2607</v>
      </c>
      <c r="B787" s="37" t="s">
        <v>2607</v>
      </c>
      <c r="C787" s="13" t="s">
        <v>2608</v>
      </c>
      <c r="D787" s="5">
        <v>8601.0</v>
      </c>
      <c r="E787" s="38" t="s">
        <v>2909</v>
      </c>
      <c r="F787" s="38" t="s">
        <v>2904</v>
      </c>
      <c r="G787" s="4" t="s">
        <v>2894</v>
      </c>
      <c r="H787" s="4" t="s">
        <v>2895</v>
      </c>
      <c r="I787" s="5" t="s">
        <v>8</v>
      </c>
      <c r="J787" s="5" t="s">
        <v>2061</v>
      </c>
      <c r="K787" s="5" t="s">
        <v>25</v>
      </c>
      <c r="L787" s="11" t="s">
        <v>26</v>
      </c>
      <c r="M787" s="5" t="s">
        <v>27</v>
      </c>
      <c r="N787" s="37" t="s">
        <v>2607</v>
      </c>
      <c r="O787" s="12" t="str">
        <f t="shared" si="2"/>
        <v>https://monitoramento.pm.pr.gov.br/proxy_image_7/Interface/Cameras/GetJPEGStream?Camera=P043.4_Cxt&amp;AuthUser=siscop&amp;AuthPass=Siscop1234&amp;Width=1024&amp;Height=768&amp;Quality=70&amp;FPS=10&amp;ResponseFormat=Text</v>
      </c>
      <c r="P787" s="6">
        <v>1.0</v>
      </c>
    </row>
    <row r="788">
      <c r="A788" s="36" t="s">
        <v>2607</v>
      </c>
      <c r="B788" s="37" t="s">
        <v>2607</v>
      </c>
      <c r="C788" s="13" t="s">
        <v>2608</v>
      </c>
      <c r="D788" s="5">
        <v>8601.0</v>
      </c>
      <c r="E788" s="38" t="s">
        <v>2910</v>
      </c>
      <c r="F788" s="38" t="s">
        <v>2911</v>
      </c>
      <c r="G788" s="4" t="s">
        <v>2912</v>
      </c>
      <c r="H788" s="4" t="s">
        <v>2913</v>
      </c>
      <c r="I788" s="5" t="s">
        <v>8</v>
      </c>
      <c r="J788" s="5" t="s">
        <v>2061</v>
      </c>
      <c r="K788" s="5" t="s">
        <v>25</v>
      </c>
      <c r="L788" s="11" t="s">
        <v>26</v>
      </c>
      <c r="M788" s="5" t="s">
        <v>27</v>
      </c>
      <c r="N788" s="37" t="s">
        <v>2607</v>
      </c>
      <c r="O788" s="12" t="str">
        <f t="shared" si="2"/>
        <v>https://monitoramento.pm.pr.gov.br/proxy_image_7/Interface/Cameras/GetJPEGStream?Camera=P044.1_LPR&amp;AuthUser=siscop&amp;AuthPass=Siscop1234&amp;Width=1024&amp;Height=768&amp;Quality=70&amp;FPS=10&amp;ResponseFormat=Text</v>
      </c>
      <c r="P788" s="6">
        <v>1.0</v>
      </c>
    </row>
    <row r="789">
      <c r="A789" s="36" t="s">
        <v>2607</v>
      </c>
      <c r="B789" s="37" t="s">
        <v>2607</v>
      </c>
      <c r="C789" s="13" t="s">
        <v>2608</v>
      </c>
      <c r="D789" s="5">
        <v>8601.0</v>
      </c>
      <c r="E789" s="38" t="s">
        <v>2914</v>
      </c>
      <c r="F789" s="38" t="s">
        <v>2634</v>
      </c>
      <c r="G789" s="4" t="s">
        <v>2915</v>
      </c>
      <c r="H789" s="4" t="s">
        <v>2916</v>
      </c>
      <c r="I789" s="5" t="s">
        <v>8</v>
      </c>
      <c r="J789" s="5" t="s">
        <v>2061</v>
      </c>
      <c r="K789" s="5" t="s">
        <v>25</v>
      </c>
      <c r="L789" s="11" t="s">
        <v>26</v>
      </c>
      <c r="M789" s="5" t="s">
        <v>27</v>
      </c>
      <c r="N789" s="37" t="s">
        <v>2607</v>
      </c>
      <c r="O789" s="12" t="str">
        <f t="shared" si="2"/>
        <v>https://monitoramento.pm.pr.gov.br/proxy_image_7/Interface/Cameras/GetJPEGStream?Camera=P045.1_LPR&amp;AuthUser=siscop&amp;AuthPass=Siscop1234&amp;Width=1024&amp;Height=768&amp;Quality=70&amp;FPS=10&amp;ResponseFormat=Text</v>
      </c>
      <c r="P789" s="6">
        <v>1.0</v>
      </c>
    </row>
    <row r="790">
      <c r="A790" s="36" t="s">
        <v>2607</v>
      </c>
      <c r="B790" s="37" t="s">
        <v>2607</v>
      </c>
      <c r="C790" s="13" t="s">
        <v>2608</v>
      </c>
      <c r="D790" s="5">
        <v>8601.0</v>
      </c>
      <c r="E790" s="38" t="s">
        <v>2917</v>
      </c>
      <c r="F790" s="38" t="s">
        <v>2918</v>
      </c>
      <c r="G790" s="4" t="s">
        <v>2915</v>
      </c>
      <c r="H790" s="4" t="s">
        <v>2916</v>
      </c>
      <c r="I790" s="5" t="s">
        <v>8</v>
      </c>
      <c r="J790" s="5" t="s">
        <v>2061</v>
      </c>
      <c r="K790" s="5" t="s">
        <v>25</v>
      </c>
      <c r="L790" s="11" t="s">
        <v>26</v>
      </c>
      <c r="M790" s="5" t="s">
        <v>27</v>
      </c>
      <c r="N790" s="37" t="s">
        <v>2607</v>
      </c>
      <c r="O790" s="12" t="str">
        <f t="shared" si="2"/>
        <v>https://monitoramento.pm.pr.gov.br/proxy_image_7/Interface/Cameras/GetJPEGStream?Camera=P046.1_LPR&amp;AuthUser=siscop&amp;AuthPass=Siscop1234&amp;Width=1024&amp;Height=768&amp;Quality=70&amp;FPS=10&amp;ResponseFormat=Text</v>
      </c>
      <c r="P790" s="6">
        <v>1.0</v>
      </c>
    </row>
    <row r="791">
      <c r="A791" s="36" t="s">
        <v>2607</v>
      </c>
      <c r="B791" s="37" t="s">
        <v>2607</v>
      </c>
      <c r="C791" s="13" t="s">
        <v>2608</v>
      </c>
      <c r="D791" s="5">
        <v>8601.0</v>
      </c>
      <c r="E791" s="38" t="s">
        <v>2919</v>
      </c>
      <c r="F791" s="38" t="s">
        <v>2918</v>
      </c>
      <c r="G791" s="4" t="s">
        <v>2915</v>
      </c>
      <c r="H791" s="4" t="s">
        <v>2916</v>
      </c>
      <c r="I791" s="5" t="s">
        <v>8</v>
      </c>
      <c r="J791" s="5" t="s">
        <v>2061</v>
      </c>
      <c r="K791" s="5" t="s">
        <v>25</v>
      </c>
      <c r="L791" s="11" t="s">
        <v>26</v>
      </c>
      <c r="M791" s="5" t="s">
        <v>27</v>
      </c>
      <c r="N791" s="37" t="s">
        <v>2607</v>
      </c>
      <c r="O791" s="12" t="str">
        <f t="shared" si="2"/>
        <v>https://monitoramento.pm.pr.gov.br/proxy_image_7/Interface/Cameras/GetJPEGStream?Camera=P046.2_Cxt&amp;AuthUser=siscop&amp;AuthPass=Siscop1234&amp;Width=1024&amp;Height=768&amp;Quality=70&amp;FPS=10&amp;ResponseFormat=Text</v>
      </c>
      <c r="P791" s="6">
        <v>1.0</v>
      </c>
    </row>
    <row r="792">
      <c r="A792" s="36" t="s">
        <v>2607</v>
      </c>
      <c r="B792" s="37" t="s">
        <v>2607</v>
      </c>
      <c r="C792" s="13" t="s">
        <v>2608</v>
      </c>
      <c r="D792" s="5">
        <v>8601.0</v>
      </c>
      <c r="E792" s="38" t="s">
        <v>2920</v>
      </c>
      <c r="F792" s="38" t="s">
        <v>2921</v>
      </c>
      <c r="G792" s="4" t="s">
        <v>2915</v>
      </c>
      <c r="H792" s="4" t="s">
        <v>2916</v>
      </c>
      <c r="I792" s="5" t="s">
        <v>8</v>
      </c>
      <c r="J792" s="5" t="s">
        <v>2061</v>
      </c>
      <c r="K792" s="5" t="s">
        <v>25</v>
      </c>
      <c r="L792" s="11" t="s">
        <v>26</v>
      </c>
      <c r="M792" s="5" t="s">
        <v>27</v>
      </c>
      <c r="N792" s="37" t="s">
        <v>2607</v>
      </c>
      <c r="O792" s="12" t="str">
        <f t="shared" si="2"/>
        <v>https://monitoramento.pm.pr.gov.br/proxy_image_7/Interface/Cameras/GetJPEGStream?Camera=P047.1_LPR&amp;AuthUser=siscop&amp;AuthPass=Siscop1234&amp;Width=1024&amp;Height=768&amp;Quality=70&amp;FPS=10&amp;ResponseFormat=Text</v>
      </c>
      <c r="P792" s="6">
        <v>1.0</v>
      </c>
    </row>
    <row r="793">
      <c r="A793" s="36" t="s">
        <v>2607</v>
      </c>
      <c r="B793" s="37" t="s">
        <v>2607</v>
      </c>
      <c r="C793" s="13" t="s">
        <v>2608</v>
      </c>
      <c r="D793" s="5">
        <v>8601.0</v>
      </c>
      <c r="E793" s="38" t="s">
        <v>2922</v>
      </c>
      <c r="F793" s="38" t="s">
        <v>2634</v>
      </c>
      <c r="G793" s="4" t="s">
        <v>2923</v>
      </c>
      <c r="H793" s="4" t="s">
        <v>2924</v>
      </c>
      <c r="I793" s="5" t="s">
        <v>8</v>
      </c>
      <c r="J793" s="5" t="s">
        <v>2061</v>
      </c>
      <c r="K793" s="5" t="s">
        <v>25</v>
      </c>
      <c r="L793" s="11" t="s">
        <v>26</v>
      </c>
      <c r="M793" s="5" t="s">
        <v>27</v>
      </c>
      <c r="N793" s="37" t="s">
        <v>2607</v>
      </c>
      <c r="O793" s="12" t="str">
        <f t="shared" si="2"/>
        <v>https://monitoramento.pm.pr.gov.br/proxy_image_7/Interface/Cameras/GetJPEGStream?Camera=P049.1_LPR&amp;AuthUser=siscop&amp;AuthPass=Siscop1234&amp;Width=1024&amp;Height=768&amp;Quality=70&amp;FPS=10&amp;ResponseFormat=Text</v>
      </c>
      <c r="P793" s="6">
        <v>1.0</v>
      </c>
    </row>
    <row r="794">
      <c r="A794" s="36" t="s">
        <v>2607</v>
      </c>
      <c r="B794" s="37" t="s">
        <v>2607</v>
      </c>
      <c r="C794" s="13" t="s">
        <v>2608</v>
      </c>
      <c r="D794" s="5">
        <v>8601.0</v>
      </c>
      <c r="E794" s="38" t="s">
        <v>2925</v>
      </c>
      <c r="F794" s="38" t="s">
        <v>2926</v>
      </c>
      <c r="G794" s="4" t="s">
        <v>2923</v>
      </c>
      <c r="H794" s="4" t="s">
        <v>2924</v>
      </c>
      <c r="I794" s="5" t="s">
        <v>8</v>
      </c>
      <c r="J794" s="5" t="s">
        <v>2061</v>
      </c>
      <c r="K794" s="5" t="s">
        <v>25</v>
      </c>
      <c r="L794" s="11" t="s">
        <v>26</v>
      </c>
      <c r="M794" s="5" t="s">
        <v>27</v>
      </c>
      <c r="N794" s="37" t="s">
        <v>2607</v>
      </c>
      <c r="O794" s="12" t="str">
        <f t="shared" si="2"/>
        <v>https://monitoramento.pm.pr.gov.br/proxy_image_7/Interface/Cameras/GetJPEGStream?Camera=P049.2_CXT&amp;AuthUser=siscop&amp;AuthPass=Siscop1234&amp;Width=1024&amp;Height=768&amp;Quality=70&amp;FPS=10&amp;ResponseFormat=Text</v>
      </c>
      <c r="P794" s="6">
        <v>1.0</v>
      </c>
    </row>
    <row r="795">
      <c r="A795" s="36" t="s">
        <v>2607</v>
      </c>
      <c r="B795" s="37" t="s">
        <v>2607</v>
      </c>
      <c r="C795" s="13" t="s">
        <v>2608</v>
      </c>
      <c r="D795" s="5">
        <v>8601.0</v>
      </c>
      <c r="E795" s="38" t="s">
        <v>2927</v>
      </c>
      <c r="F795" s="38" t="s">
        <v>2928</v>
      </c>
      <c r="G795" s="4" t="s">
        <v>2923</v>
      </c>
      <c r="H795" s="4" t="s">
        <v>2924</v>
      </c>
      <c r="I795" s="5" t="s">
        <v>8</v>
      </c>
      <c r="J795" s="5" t="s">
        <v>2061</v>
      </c>
      <c r="K795" s="5" t="s">
        <v>25</v>
      </c>
      <c r="L795" s="11" t="s">
        <v>26</v>
      </c>
      <c r="M795" s="5" t="s">
        <v>27</v>
      </c>
      <c r="N795" s="37" t="s">
        <v>2607</v>
      </c>
      <c r="O795" s="12" t="str">
        <f t="shared" si="2"/>
        <v>https://monitoramento.pm.pr.gov.br/proxy_image_7/Interface/Cameras/GetJPEGStream?Camera=P049.3_CXT&amp;AuthUser=siscop&amp;AuthPass=Siscop1234&amp;Width=1024&amp;Height=768&amp;Quality=70&amp;FPS=10&amp;ResponseFormat=Text</v>
      </c>
      <c r="P795" s="6">
        <v>1.0</v>
      </c>
    </row>
    <row r="796">
      <c r="A796" s="39" t="s">
        <v>2929</v>
      </c>
      <c r="B796" s="39" t="s">
        <v>2930</v>
      </c>
      <c r="C796" s="13" t="s">
        <v>2931</v>
      </c>
      <c r="D796" s="40">
        <v>8601.0</v>
      </c>
      <c r="E796" s="38" t="s">
        <v>2932</v>
      </c>
      <c r="F796" s="38" t="s">
        <v>2933</v>
      </c>
      <c r="G796" s="4" t="s">
        <v>2934</v>
      </c>
      <c r="H796" s="4" t="s">
        <v>2935</v>
      </c>
      <c r="I796" s="41" t="s">
        <v>8</v>
      </c>
      <c r="J796" s="41" t="s">
        <v>2061</v>
      </c>
      <c r="K796" s="41" t="s">
        <v>25</v>
      </c>
      <c r="L796" s="41" t="s">
        <v>26</v>
      </c>
      <c r="M796" s="41" t="s">
        <v>27</v>
      </c>
      <c r="N796" s="41" t="s">
        <v>2930</v>
      </c>
      <c r="O796" s="35" t="str">
        <f t="shared" si="2"/>
        <v>https://monitoramento.pm.pr.gov.br/proxy_image_8/Interface/Cameras/GetJPEGStream?Camera=Av. Brasil - ptz&amp;AuthUser=siscop&amp;AuthPass=Siscop1234&amp;Width=1024&amp;Height=768&amp;Quality=70&amp;FPS=10&amp;ResponseFormat=Text</v>
      </c>
      <c r="P796" s="42">
        <v>1.0</v>
      </c>
    </row>
    <row r="797">
      <c r="A797" s="39" t="s">
        <v>2929</v>
      </c>
      <c r="B797" s="39" t="s">
        <v>2930</v>
      </c>
      <c r="C797" s="13" t="s">
        <v>2936</v>
      </c>
      <c r="D797" s="40">
        <v>8601.0</v>
      </c>
      <c r="E797" s="38" t="s">
        <v>2937</v>
      </c>
      <c r="F797" s="38" t="s">
        <v>2933</v>
      </c>
      <c r="G797" s="4" t="s">
        <v>2938</v>
      </c>
      <c r="H797" s="4" t="s">
        <v>2939</v>
      </c>
      <c r="I797" s="41" t="s">
        <v>8</v>
      </c>
      <c r="J797" s="41" t="s">
        <v>2061</v>
      </c>
      <c r="K797" s="41" t="s">
        <v>25</v>
      </c>
      <c r="L797" s="41" t="s">
        <v>26</v>
      </c>
      <c r="M797" s="41" t="s">
        <v>27</v>
      </c>
      <c r="N797" s="41" t="s">
        <v>2930</v>
      </c>
      <c r="O797" s="35" t="str">
        <f t="shared" si="2"/>
        <v>https://monitoramento.pm.pr.gov.br/proxy_image_8/Interface/Cameras/GetJPEGStream?Camera=Av. Brasil - Totem 01&amp;AuthUser=siscop&amp;AuthPass=Siscop1234&amp;Width=1024&amp;Height=768&amp;Quality=70&amp;FPS=10&amp;ResponseFormat=Text</v>
      </c>
      <c r="P797" s="42">
        <v>1.0</v>
      </c>
    </row>
    <row r="798">
      <c r="A798" s="39" t="s">
        <v>2929</v>
      </c>
      <c r="B798" s="39" t="s">
        <v>2930</v>
      </c>
      <c r="C798" s="13" t="s">
        <v>2940</v>
      </c>
      <c r="D798" s="40">
        <v>8601.0</v>
      </c>
      <c r="E798" s="38" t="s">
        <v>2941</v>
      </c>
      <c r="F798" s="38" t="s">
        <v>2933</v>
      </c>
      <c r="G798" s="4" t="s">
        <v>2942</v>
      </c>
      <c r="H798" s="4" t="s">
        <v>2943</v>
      </c>
      <c r="I798" s="41" t="s">
        <v>8</v>
      </c>
      <c r="J798" s="41" t="s">
        <v>2061</v>
      </c>
      <c r="K798" s="41" t="s">
        <v>25</v>
      </c>
      <c r="L798" s="41" t="s">
        <v>26</v>
      </c>
      <c r="M798" s="41" t="s">
        <v>27</v>
      </c>
      <c r="N798" s="41" t="s">
        <v>2930</v>
      </c>
      <c r="O798" s="35" t="str">
        <f t="shared" si="2"/>
        <v>https://monitoramento.pm.pr.gov.br/proxy_image_8/Interface/Cameras/GetJPEGStream?Camera=Av. Brasil - Totem 02&amp;AuthUser=siscop&amp;AuthPass=Siscop1234&amp;Width=1024&amp;Height=768&amp;Quality=70&amp;FPS=10&amp;ResponseFormat=Text</v>
      </c>
      <c r="P798" s="42">
        <v>1.0</v>
      </c>
    </row>
    <row r="799">
      <c r="A799" s="39" t="s">
        <v>2929</v>
      </c>
      <c r="B799" s="39" t="s">
        <v>2930</v>
      </c>
      <c r="C799" s="13" t="s">
        <v>2944</v>
      </c>
      <c r="D799" s="40">
        <v>8601.0</v>
      </c>
      <c r="E799" s="38" t="s">
        <v>2945</v>
      </c>
      <c r="F799" s="38" t="s">
        <v>2946</v>
      </c>
      <c r="G799" s="4" t="s">
        <v>2947</v>
      </c>
      <c r="H799" s="4" t="s">
        <v>2948</v>
      </c>
      <c r="I799" s="41" t="s">
        <v>8</v>
      </c>
      <c r="J799" s="41" t="s">
        <v>2061</v>
      </c>
      <c r="K799" s="41" t="s">
        <v>25</v>
      </c>
      <c r="L799" s="41" t="s">
        <v>26</v>
      </c>
      <c r="M799" s="41" t="s">
        <v>27</v>
      </c>
      <c r="N799" s="41" t="s">
        <v>2930</v>
      </c>
      <c r="O799" s="35" t="str">
        <f t="shared" si="2"/>
        <v>#</v>
      </c>
      <c r="P799" s="42">
        <v>0.0</v>
      </c>
    </row>
    <row r="800">
      <c r="A800" s="39" t="s">
        <v>2929</v>
      </c>
      <c r="B800" s="39" t="s">
        <v>2930</v>
      </c>
      <c r="C800" s="13" t="s">
        <v>2949</v>
      </c>
      <c r="D800" s="40">
        <v>8601.0</v>
      </c>
      <c r="E800" s="38" t="s">
        <v>2950</v>
      </c>
      <c r="F800" s="38" t="s">
        <v>2951</v>
      </c>
      <c r="G800" s="4" t="s">
        <v>2952</v>
      </c>
      <c r="H800" s="4" t="s">
        <v>2953</v>
      </c>
      <c r="I800" s="41" t="s">
        <v>8</v>
      </c>
      <c r="J800" s="41" t="s">
        <v>2061</v>
      </c>
      <c r="K800" s="41" t="s">
        <v>25</v>
      </c>
      <c r="L800" s="41" t="s">
        <v>26</v>
      </c>
      <c r="M800" s="41" t="s">
        <v>27</v>
      </c>
      <c r="N800" s="41" t="s">
        <v>2930</v>
      </c>
      <c r="O800" s="35" t="str">
        <f t="shared" si="2"/>
        <v>https://monitoramento.pm.pr.gov.br/proxy_image_8/Interface/Cameras/GetJPEGStream?Camera=Av. Brasil x Bartinik&amp;AuthUser=siscop&amp;AuthPass=Siscop1234&amp;Width=1024&amp;Height=768&amp;Quality=70&amp;FPS=10&amp;ResponseFormat=Text</v>
      </c>
      <c r="P800" s="42">
        <v>1.0</v>
      </c>
    </row>
    <row r="801">
      <c r="A801" s="39" t="s">
        <v>2929</v>
      </c>
      <c r="B801" s="39" t="s">
        <v>2930</v>
      </c>
      <c r="C801" s="13" t="s">
        <v>2954</v>
      </c>
      <c r="D801" s="40">
        <v>8601.0</v>
      </c>
      <c r="E801" s="38" t="s">
        <v>2955</v>
      </c>
      <c r="F801" s="38" t="s">
        <v>2956</v>
      </c>
      <c r="G801" s="4" t="s">
        <v>2957</v>
      </c>
      <c r="H801" s="4" t="s">
        <v>2958</v>
      </c>
      <c r="I801" s="41" t="s">
        <v>8</v>
      </c>
      <c r="J801" s="41" t="s">
        <v>2061</v>
      </c>
      <c r="K801" s="41" t="s">
        <v>25</v>
      </c>
      <c r="L801" s="41" t="s">
        <v>26</v>
      </c>
      <c r="M801" s="41" t="s">
        <v>27</v>
      </c>
      <c r="N801" s="41" t="s">
        <v>2930</v>
      </c>
      <c r="O801" s="35" t="str">
        <f t="shared" si="2"/>
        <v>#</v>
      </c>
      <c r="P801" s="42">
        <v>0.0</v>
      </c>
    </row>
    <row r="802">
      <c r="A802" s="39" t="s">
        <v>2929</v>
      </c>
      <c r="B802" s="39" t="s">
        <v>2930</v>
      </c>
      <c r="C802" s="13" t="s">
        <v>2959</v>
      </c>
      <c r="D802" s="40">
        <v>8601.0</v>
      </c>
      <c r="E802" s="38" t="s">
        <v>2960</v>
      </c>
      <c r="F802" s="38" t="s">
        <v>2956</v>
      </c>
      <c r="G802" s="4" t="s">
        <v>2957</v>
      </c>
      <c r="H802" s="4" t="s">
        <v>2961</v>
      </c>
      <c r="I802" s="41" t="s">
        <v>8</v>
      </c>
      <c r="J802" s="41" t="s">
        <v>2061</v>
      </c>
      <c r="K802" s="41" t="s">
        <v>25</v>
      </c>
      <c r="L802" s="41" t="s">
        <v>26</v>
      </c>
      <c r="M802" s="41" t="s">
        <v>27</v>
      </c>
      <c r="N802" s="41" t="s">
        <v>2930</v>
      </c>
      <c r="O802" s="35" t="str">
        <f t="shared" si="2"/>
        <v>#</v>
      </c>
      <c r="P802" s="42">
        <v>0.0</v>
      </c>
    </row>
    <row r="803">
      <c r="A803" s="39" t="s">
        <v>2929</v>
      </c>
      <c r="B803" s="39" t="s">
        <v>2930</v>
      </c>
      <c r="C803" s="13" t="s">
        <v>2962</v>
      </c>
      <c r="D803" s="40">
        <v>8601.0</v>
      </c>
      <c r="E803" s="38" t="s">
        <v>2963</v>
      </c>
      <c r="F803" s="38" t="s">
        <v>2964</v>
      </c>
      <c r="G803" s="4" t="s">
        <v>2965</v>
      </c>
      <c r="H803" s="4" t="s">
        <v>2966</v>
      </c>
      <c r="I803" s="41" t="s">
        <v>8</v>
      </c>
      <c r="J803" s="41" t="s">
        <v>2061</v>
      </c>
      <c r="K803" s="41" t="s">
        <v>25</v>
      </c>
      <c r="L803" s="41" t="s">
        <v>26</v>
      </c>
      <c r="M803" s="41" t="s">
        <v>27</v>
      </c>
      <c r="N803" s="41" t="s">
        <v>2930</v>
      </c>
      <c r="O803" s="35" t="str">
        <f t="shared" si="2"/>
        <v>https://monitoramento.pm.pr.gov.br/proxy_image_8/Interface/Cameras/GetJPEGStream?Camera=EcoPark - Santa Cruz 01&amp;AuthUser=siscop&amp;AuthPass=Siscop1234&amp;Width=1024&amp;Height=768&amp;Quality=70&amp;FPS=10&amp;ResponseFormat=Text</v>
      </c>
      <c r="P803" s="42">
        <v>1.0</v>
      </c>
    </row>
    <row r="804">
      <c r="A804" s="39" t="s">
        <v>2929</v>
      </c>
      <c r="B804" s="39" t="s">
        <v>2930</v>
      </c>
      <c r="C804" s="13" t="s">
        <v>2967</v>
      </c>
      <c r="D804" s="40">
        <v>8601.0</v>
      </c>
      <c r="E804" s="38" t="s">
        <v>2968</v>
      </c>
      <c r="F804" s="38" t="s">
        <v>2964</v>
      </c>
      <c r="G804" s="4" t="s">
        <v>2969</v>
      </c>
      <c r="H804" s="4" t="s">
        <v>2970</v>
      </c>
      <c r="I804" s="41" t="s">
        <v>8</v>
      </c>
      <c r="J804" s="41" t="s">
        <v>2061</v>
      </c>
      <c r="K804" s="41" t="s">
        <v>25</v>
      </c>
      <c r="L804" s="41" t="s">
        <v>26</v>
      </c>
      <c r="M804" s="41" t="s">
        <v>27</v>
      </c>
      <c r="N804" s="41" t="s">
        <v>2930</v>
      </c>
      <c r="O804" s="35" t="str">
        <f t="shared" si="2"/>
        <v>https://monitoramento.pm.pr.gov.br/proxy_image_8/Interface/Cameras/GetJPEGStream?Camera=EcoPark - Santa Cruz 02&amp;AuthUser=siscop&amp;AuthPass=Siscop1234&amp;Width=1024&amp;Height=768&amp;Quality=70&amp;FPS=10&amp;ResponseFormat=Text</v>
      </c>
      <c r="P804" s="42">
        <v>1.0</v>
      </c>
    </row>
    <row r="805">
      <c r="A805" s="39" t="s">
        <v>2929</v>
      </c>
      <c r="B805" s="39" t="s">
        <v>2930</v>
      </c>
      <c r="C805" s="13" t="s">
        <v>2971</v>
      </c>
      <c r="D805" s="40">
        <v>8601.0</v>
      </c>
      <c r="E805" s="38" t="s">
        <v>2972</v>
      </c>
      <c r="F805" s="38" t="s">
        <v>2964</v>
      </c>
      <c r="G805" s="4" t="s">
        <v>2973</v>
      </c>
      <c r="H805" s="4" t="s">
        <v>2974</v>
      </c>
      <c r="I805" s="41" t="s">
        <v>8</v>
      </c>
      <c r="J805" s="41" t="s">
        <v>2061</v>
      </c>
      <c r="K805" s="41" t="s">
        <v>25</v>
      </c>
      <c r="L805" s="41" t="s">
        <v>26</v>
      </c>
      <c r="M805" s="41" t="s">
        <v>27</v>
      </c>
      <c r="N805" s="41" t="s">
        <v>2930</v>
      </c>
      <c r="O805" s="35" t="str">
        <f t="shared" si="2"/>
        <v>#</v>
      </c>
      <c r="P805" s="42">
        <v>0.0</v>
      </c>
    </row>
    <row r="806">
      <c r="A806" s="39" t="s">
        <v>2929</v>
      </c>
      <c r="B806" s="39" t="s">
        <v>2930</v>
      </c>
      <c r="C806" s="13" t="s">
        <v>2975</v>
      </c>
      <c r="D806" s="40">
        <v>8601.0</v>
      </c>
      <c r="E806" s="38" t="s">
        <v>2976</v>
      </c>
      <c r="F806" s="38" t="s">
        <v>2977</v>
      </c>
      <c r="G806" s="4" t="s">
        <v>2978</v>
      </c>
      <c r="H806" s="4" t="s">
        <v>2979</v>
      </c>
      <c r="I806" s="41" t="s">
        <v>8</v>
      </c>
      <c r="J806" s="41" t="s">
        <v>2061</v>
      </c>
      <c r="K806" s="41" t="s">
        <v>25</v>
      </c>
      <c r="L806" s="41" t="s">
        <v>26</v>
      </c>
      <c r="M806" s="41" t="s">
        <v>27</v>
      </c>
      <c r="N806" s="41" t="s">
        <v>2930</v>
      </c>
      <c r="O806" s="35" t="str">
        <f t="shared" si="2"/>
        <v>#</v>
      </c>
      <c r="P806" s="42">
        <v>0.0</v>
      </c>
    </row>
    <row r="807">
      <c r="A807" s="39" t="s">
        <v>2929</v>
      </c>
      <c r="B807" s="39" t="s">
        <v>2930</v>
      </c>
      <c r="C807" s="13" t="s">
        <v>2980</v>
      </c>
      <c r="D807" s="40">
        <v>8601.0</v>
      </c>
      <c r="E807" s="38" t="s">
        <v>2981</v>
      </c>
      <c r="F807" s="38" t="s">
        <v>2977</v>
      </c>
      <c r="G807" s="4" t="s">
        <v>2982</v>
      </c>
      <c r="H807" s="4" t="s">
        <v>2983</v>
      </c>
      <c r="I807" s="41" t="s">
        <v>8</v>
      </c>
      <c r="J807" s="41" t="s">
        <v>2061</v>
      </c>
      <c r="K807" s="41" t="s">
        <v>25</v>
      </c>
      <c r="L807" s="41" t="s">
        <v>26</v>
      </c>
      <c r="M807" s="41" t="s">
        <v>27</v>
      </c>
      <c r="N807" s="41" t="s">
        <v>2930</v>
      </c>
      <c r="O807" s="35" t="str">
        <f t="shared" si="2"/>
        <v>https://monitoramento.pm.pr.gov.br/proxy_image_8/Interface/Cameras/GetJPEGStream?Camera=Estacao Cidadania 02&amp;AuthUser=siscop&amp;AuthPass=Siscop1234&amp;Width=1024&amp;Height=768&amp;Quality=70&amp;FPS=10&amp;ResponseFormat=Text</v>
      </c>
      <c r="P807" s="42">
        <v>1.0</v>
      </c>
    </row>
    <row r="808">
      <c r="A808" s="39" t="s">
        <v>2929</v>
      </c>
      <c r="B808" s="39" t="s">
        <v>2930</v>
      </c>
      <c r="C808" s="13" t="s">
        <v>2984</v>
      </c>
      <c r="D808" s="40">
        <v>8601.0</v>
      </c>
      <c r="E808" s="38" t="s">
        <v>2985</v>
      </c>
      <c r="F808" s="38" t="s">
        <v>2986</v>
      </c>
      <c r="G808" s="4" t="s">
        <v>2987</v>
      </c>
      <c r="H808" s="4" t="s">
        <v>2988</v>
      </c>
      <c r="I808" s="41" t="s">
        <v>8</v>
      </c>
      <c r="J808" s="41" t="s">
        <v>2061</v>
      </c>
      <c r="K808" s="41" t="s">
        <v>25</v>
      </c>
      <c r="L808" s="41" t="s">
        <v>26</v>
      </c>
      <c r="M808" s="41" t="s">
        <v>27</v>
      </c>
      <c r="N808" s="41" t="s">
        <v>2930</v>
      </c>
      <c r="O808" s="35" t="str">
        <f t="shared" si="2"/>
        <v>https://monitoramento.pm.pr.gov.br/proxy_image_8/Interface/Cameras/GetJPEGStream?Camera=Farmacia Basica&amp;AuthUser=siscop&amp;AuthPass=Siscop1234&amp;Width=1024&amp;Height=768&amp;Quality=70&amp;FPS=10&amp;ResponseFormat=Text</v>
      </c>
      <c r="P808" s="42">
        <v>1.0</v>
      </c>
    </row>
    <row r="809">
      <c r="A809" s="39" t="s">
        <v>2929</v>
      </c>
      <c r="B809" s="39" t="s">
        <v>2930</v>
      </c>
      <c r="C809" s="13" t="s">
        <v>2989</v>
      </c>
      <c r="D809" s="40">
        <v>8601.0</v>
      </c>
      <c r="E809" s="38" t="s">
        <v>2990</v>
      </c>
      <c r="F809" s="38" t="s">
        <v>2991</v>
      </c>
      <c r="G809" s="4" t="s">
        <v>2992</v>
      </c>
      <c r="H809" s="4" t="s">
        <v>2993</v>
      </c>
      <c r="I809" s="41" t="s">
        <v>8</v>
      </c>
      <c r="J809" s="41" t="s">
        <v>2061</v>
      </c>
      <c r="K809" s="41" t="s">
        <v>25</v>
      </c>
      <c r="L809" s="41" t="s">
        <v>26</v>
      </c>
      <c r="M809" s="41" t="s">
        <v>27</v>
      </c>
      <c r="N809" s="41" t="s">
        <v>2930</v>
      </c>
      <c r="O809" s="35" t="str">
        <f t="shared" si="2"/>
        <v>https://monitoramento.pm.pr.gov.br/proxy_image_8/Interface/Cameras/GetJPEGStream?Camera=Gralha-Azul - Guaruja&amp;AuthUser=siscop&amp;AuthPass=Siscop1234&amp;Width=1024&amp;Height=768&amp;Quality=70&amp;FPS=10&amp;ResponseFormat=Text</v>
      </c>
      <c r="P809" s="42">
        <v>1.0</v>
      </c>
    </row>
    <row r="810">
      <c r="A810" s="39" t="s">
        <v>2929</v>
      </c>
      <c r="B810" s="39" t="s">
        <v>2930</v>
      </c>
      <c r="C810" s="13" t="s">
        <v>2994</v>
      </c>
      <c r="D810" s="40">
        <v>8601.0</v>
      </c>
      <c r="E810" s="38" t="s">
        <v>2995</v>
      </c>
      <c r="F810" s="38" t="s">
        <v>2996</v>
      </c>
      <c r="G810" s="4" t="s">
        <v>2997</v>
      </c>
      <c r="H810" s="4" t="s">
        <v>2998</v>
      </c>
      <c r="I810" s="41" t="s">
        <v>8</v>
      </c>
      <c r="J810" s="41" t="s">
        <v>2061</v>
      </c>
      <c r="K810" s="41" t="s">
        <v>25</v>
      </c>
      <c r="L810" s="41" t="s">
        <v>26</v>
      </c>
      <c r="M810" s="41" t="s">
        <v>27</v>
      </c>
      <c r="N810" s="41" t="s">
        <v>2930</v>
      </c>
      <c r="O810" s="35" t="str">
        <f t="shared" si="2"/>
        <v>#</v>
      </c>
      <c r="P810" s="42">
        <v>0.0</v>
      </c>
    </row>
    <row r="811">
      <c r="A811" s="39" t="s">
        <v>2929</v>
      </c>
      <c r="B811" s="39" t="s">
        <v>2930</v>
      </c>
      <c r="C811" s="13" t="s">
        <v>2999</v>
      </c>
      <c r="D811" s="40">
        <v>8601.0</v>
      </c>
      <c r="E811" s="38" t="s">
        <v>3000</v>
      </c>
      <c r="F811" s="38" t="s">
        <v>2996</v>
      </c>
      <c r="G811" s="4" t="s">
        <v>3001</v>
      </c>
      <c r="H811" s="4" t="s">
        <v>2998</v>
      </c>
      <c r="I811" s="41" t="s">
        <v>8</v>
      </c>
      <c r="J811" s="41" t="s">
        <v>2061</v>
      </c>
      <c r="K811" s="41" t="s">
        <v>25</v>
      </c>
      <c r="L811" s="41" t="s">
        <v>26</v>
      </c>
      <c r="M811" s="41" t="s">
        <v>27</v>
      </c>
      <c r="N811" s="41" t="s">
        <v>2930</v>
      </c>
      <c r="O811" s="35" t="str">
        <f t="shared" si="2"/>
        <v>#</v>
      </c>
      <c r="P811" s="42">
        <v>0.0</v>
      </c>
    </row>
    <row r="812">
      <c r="A812" s="39" t="s">
        <v>2929</v>
      </c>
      <c r="B812" s="39" t="s">
        <v>2930</v>
      </c>
      <c r="C812" s="13" t="s">
        <v>3002</v>
      </c>
      <c r="D812" s="40">
        <v>8601.0</v>
      </c>
      <c r="E812" s="38" t="s">
        <v>3003</v>
      </c>
      <c r="F812" s="38" t="s">
        <v>2996</v>
      </c>
      <c r="G812" s="4" t="s">
        <v>3004</v>
      </c>
      <c r="H812" s="4" t="s">
        <v>3005</v>
      </c>
      <c r="I812" s="41" t="s">
        <v>8</v>
      </c>
      <c r="J812" s="41" t="s">
        <v>2061</v>
      </c>
      <c r="K812" s="41" t="s">
        <v>25</v>
      </c>
      <c r="L812" s="41" t="s">
        <v>26</v>
      </c>
      <c r="M812" s="41" t="s">
        <v>27</v>
      </c>
      <c r="N812" s="41" t="s">
        <v>2930</v>
      </c>
      <c r="O812" s="35" t="str">
        <f t="shared" si="2"/>
        <v>#</v>
      </c>
      <c r="P812" s="42">
        <v>0.0</v>
      </c>
    </row>
    <row r="813">
      <c r="A813" s="39" t="s">
        <v>2929</v>
      </c>
      <c r="B813" s="39" t="s">
        <v>2930</v>
      </c>
      <c r="C813" s="13" t="s">
        <v>3006</v>
      </c>
      <c r="D813" s="40">
        <v>8601.0</v>
      </c>
      <c r="E813" s="38" t="s">
        <v>3007</v>
      </c>
      <c r="F813" s="38" t="s">
        <v>2996</v>
      </c>
      <c r="G813" s="4" t="s">
        <v>3008</v>
      </c>
      <c r="H813" s="4" t="s">
        <v>2998</v>
      </c>
      <c r="I813" s="41" t="s">
        <v>8</v>
      </c>
      <c r="J813" s="41" t="s">
        <v>2061</v>
      </c>
      <c r="K813" s="41" t="s">
        <v>25</v>
      </c>
      <c r="L813" s="41" t="s">
        <v>26</v>
      </c>
      <c r="M813" s="41" t="s">
        <v>27</v>
      </c>
      <c r="N813" s="41" t="s">
        <v>2930</v>
      </c>
      <c r="O813" s="35" t="str">
        <f t="shared" si="2"/>
        <v>#</v>
      </c>
      <c r="P813" s="42">
        <v>0.0</v>
      </c>
    </row>
    <row r="814">
      <c r="A814" s="39" t="s">
        <v>2929</v>
      </c>
      <c r="B814" s="39" t="s">
        <v>2930</v>
      </c>
      <c r="C814" s="13" t="s">
        <v>3009</v>
      </c>
      <c r="D814" s="40">
        <v>8601.0</v>
      </c>
      <c r="E814" s="38" t="s">
        <v>3010</v>
      </c>
      <c r="F814" s="38" t="s">
        <v>3011</v>
      </c>
      <c r="G814" s="4" t="s">
        <v>3012</v>
      </c>
      <c r="H814" s="4" t="s">
        <v>3013</v>
      </c>
      <c r="I814" s="41" t="s">
        <v>8</v>
      </c>
      <c r="J814" s="41" t="s">
        <v>2061</v>
      </c>
      <c r="K814" s="41" t="s">
        <v>25</v>
      </c>
      <c r="L814" s="41" t="s">
        <v>26</v>
      </c>
      <c r="M814" s="41" t="s">
        <v>27</v>
      </c>
      <c r="N814" s="41" t="s">
        <v>2930</v>
      </c>
      <c r="O814" s="35" t="str">
        <f t="shared" si="2"/>
        <v>https://monitoramento.pm.pr.gov.br/proxy_image_8/Interface/Cameras/GetJPEGStream?Camera=Lago Municipal&amp;AuthUser=siscop&amp;AuthPass=Siscop1234&amp;Width=1024&amp;Height=768&amp;Quality=70&amp;FPS=10&amp;ResponseFormat=Text</v>
      </c>
      <c r="P814" s="42">
        <v>1.0</v>
      </c>
    </row>
    <row r="815">
      <c r="A815" s="39" t="s">
        <v>2929</v>
      </c>
      <c r="B815" s="39" t="s">
        <v>2930</v>
      </c>
      <c r="C815" s="13" t="s">
        <v>3014</v>
      </c>
      <c r="D815" s="40">
        <v>8601.0</v>
      </c>
      <c r="E815" s="38" t="s">
        <v>3015</v>
      </c>
      <c r="F815" s="38" t="s">
        <v>3016</v>
      </c>
      <c r="G815" s="4" t="s">
        <v>3017</v>
      </c>
      <c r="H815" s="4" t="s">
        <v>3018</v>
      </c>
      <c r="I815" s="41" t="s">
        <v>8</v>
      </c>
      <c r="J815" s="41" t="s">
        <v>2061</v>
      </c>
      <c r="K815" s="41" t="s">
        <v>25</v>
      </c>
      <c r="L815" s="41" t="s">
        <v>26</v>
      </c>
      <c r="M815" s="41" t="s">
        <v>27</v>
      </c>
      <c r="N815" s="41" t="s">
        <v>2930</v>
      </c>
      <c r="O815" s="35" t="str">
        <f t="shared" si="2"/>
        <v>https://monitoramento.pm.pr.gov.br/proxy_image_8/Interface/Cameras/GetJPEGStream?Camera=Parana x Av. Piquiri&amp;AuthUser=siscop&amp;AuthPass=Siscop1234&amp;Width=1024&amp;Height=768&amp;Quality=70&amp;FPS=10&amp;ResponseFormat=Text</v>
      </c>
      <c r="P815" s="42">
        <v>1.0</v>
      </c>
    </row>
    <row r="816">
      <c r="A816" s="39" t="s">
        <v>2929</v>
      </c>
      <c r="B816" s="39" t="s">
        <v>2930</v>
      </c>
      <c r="C816" s="13" t="s">
        <v>3019</v>
      </c>
      <c r="D816" s="40">
        <v>8601.0</v>
      </c>
      <c r="E816" s="38" t="s">
        <v>3020</v>
      </c>
      <c r="F816" s="38" t="s">
        <v>3021</v>
      </c>
      <c r="G816" s="4" t="s">
        <v>3022</v>
      </c>
      <c r="H816" s="4" t="s">
        <v>3023</v>
      </c>
      <c r="I816" s="41" t="s">
        <v>8</v>
      </c>
      <c r="J816" s="41" t="s">
        <v>2061</v>
      </c>
      <c r="K816" s="41" t="s">
        <v>25</v>
      </c>
      <c r="L816" s="41" t="s">
        <v>26</v>
      </c>
      <c r="M816" s="41" t="s">
        <v>27</v>
      </c>
      <c r="N816" s="41" t="s">
        <v>2930</v>
      </c>
      <c r="O816" s="35" t="str">
        <f t="shared" si="2"/>
        <v>https://monitoramento.pm.pr.gov.br/proxy_image_8/Interface/Cameras/GetJPEGStream?Camera=Parana x Manoel Ribas&amp;AuthUser=siscop&amp;AuthPass=Siscop1234&amp;Width=1024&amp;Height=768&amp;Quality=70&amp;FPS=10&amp;ResponseFormat=Text</v>
      </c>
      <c r="P816" s="42">
        <v>1.0</v>
      </c>
    </row>
    <row r="817">
      <c r="A817" s="39" t="s">
        <v>2929</v>
      </c>
      <c r="B817" s="39" t="s">
        <v>2930</v>
      </c>
      <c r="C817" s="13" t="s">
        <v>3024</v>
      </c>
      <c r="D817" s="40">
        <v>8601.0</v>
      </c>
      <c r="E817" s="38" t="s">
        <v>3025</v>
      </c>
      <c r="F817" s="38" t="s">
        <v>3026</v>
      </c>
      <c r="G817" s="4" t="s">
        <v>3027</v>
      </c>
      <c r="H817" s="4" t="s">
        <v>3028</v>
      </c>
      <c r="I817" s="41" t="s">
        <v>8</v>
      </c>
      <c r="J817" s="41" t="s">
        <v>2061</v>
      </c>
      <c r="K817" s="41" t="s">
        <v>25</v>
      </c>
      <c r="L817" s="41" t="s">
        <v>26</v>
      </c>
      <c r="M817" s="41" t="s">
        <v>27</v>
      </c>
      <c r="N817" s="41" t="s">
        <v>2930</v>
      </c>
      <c r="O817" s="35" t="str">
        <f t="shared" si="2"/>
        <v>https://monitoramento.pm.pr.gov.br/proxy_image_8/Interface/Cameras/GetJPEGStream?Camera=Parana x Pio XII&amp;AuthUser=siscop&amp;AuthPass=Siscop1234&amp;Width=1024&amp;Height=768&amp;Quality=70&amp;FPS=10&amp;ResponseFormat=Text</v>
      </c>
      <c r="P817" s="42">
        <v>1.0</v>
      </c>
    </row>
    <row r="818">
      <c r="A818" s="39" t="s">
        <v>2929</v>
      </c>
      <c r="B818" s="39" t="s">
        <v>2930</v>
      </c>
      <c r="C818" s="13" t="s">
        <v>3029</v>
      </c>
      <c r="D818" s="40">
        <v>8601.0</v>
      </c>
      <c r="E818" s="38" t="s">
        <v>3030</v>
      </c>
      <c r="F818" s="38" t="s">
        <v>3031</v>
      </c>
      <c r="G818" s="4" t="s">
        <v>3032</v>
      </c>
      <c r="H818" s="4" t="s">
        <v>3033</v>
      </c>
      <c r="I818" s="41" t="s">
        <v>8</v>
      </c>
      <c r="J818" s="41" t="s">
        <v>2061</v>
      </c>
      <c r="K818" s="41" t="s">
        <v>25</v>
      </c>
      <c r="L818" s="41" t="s">
        <v>26</v>
      </c>
      <c r="M818" s="41" t="s">
        <v>27</v>
      </c>
      <c r="N818" s="41" t="s">
        <v>2930</v>
      </c>
      <c r="O818" s="35" t="str">
        <f t="shared" si="2"/>
        <v>https://monitoramento.pm.pr.gov.br/proxy_image_8/Interface/Cameras/GetJPEGStream?Camera=Parana x Souza Naves&amp;AuthUser=siscop&amp;AuthPass=Siscop1234&amp;Width=1024&amp;Height=768&amp;Quality=70&amp;FPS=10&amp;ResponseFormat=Text</v>
      </c>
      <c r="P818" s="42">
        <v>1.0</v>
      </c>
    </row>
    <row r="819">
      <c r="A819" s="39" t="s">
        <v>2929</v>
      </c>
      <c r="B819" s="39" t="s">
        <v>2930</v>
      </c>
      <c r="C819" s="13" t="s">
        <v>3034</v>
      </c>
      <c r="D819" s="40">
        <v>8601.0</v>
      </c>
      <c r="E819" s="38" t="s">
        <v>3035</v>
      </c>
      <c r="F819" s="38" t="s">
        <v>3036</v>
      </c>
      <c r="G819" s="4" t="s">
        <v>3037</v>
      </c>
      <c r="H819" s="4" t="s">
        <v>3038</v>
      </c>
      <c r="I819" s="41" t="s">
        <v>8</v>
      </c>
      <c r="J819" s="41" t="s">
        <v>2061</v>
      </c>
      <c r="K819" s="41" t="s">
        <v>25</v>
      </c>
      <c r="L819" s="41" t="s">
        <v>26</v>
      </c>
      <c r="M819" s="41" t="s">
        <v>27</v>
      </c>
      <c r="N819" s="41" t="s">
        <v>2930</v>
      </c>
      <c r="O819" s="35" t="str">
        <f t="shared" si="2"/>
        <v>https://monitoramento.pm.pr.gov.br/proxy_image_8/Interface/Cameras/GetJPEGStream?Camera=Pedreira Municipal 01&amp;AuthUser=siscop&amp;AuthPass=Siscop1234&amp;Width=1024&amp;Height=768&amp;Quality=70&amp;FPS=10&amp;ResponseFormat=Text</v>
      </c>
      <c r="P819" s="42">
        <v>1.0</v>
      </c>
    </row>
    <row r="820">
      <c r="A820" s="39" t="s">
        <v>2929</v>
      </c>
      <c r="B820" s="39" t="s">
        <v>2930</v>
      </c>
      <c r="C820" s="13" t="s">
        <v>3039</v>
      </c>
      <c r="D820" s="40">
        <v>8601.0</v>
      </c>
      <c r="E820" s="38" t="s">
        <v>3040</v>
      </c>
      <c r="F820" s="38" t="s">
        <v>3041</v>
      </c>
      <c r="G820" s="4" t="s">
        <v>3042</v>
      </c>
      <c r="H820" s="4" t="s">
        <v>3043</v>
      </c>
      <c r="I820" s="41" t="s">
        <v>8</v>
      </c>
      <c r="J820" s="41" t="s">
        <v>2061</v>
      </c>
      <c r="K820" s="41" t="s">
        <v>25</v>
      </c>
      <c r="L820" s="41" t="s">
        <v>26</v>
      </c>
      <c r="M820" s="41" t="s">
        <v>27</v>
      </c>
      <c r="N820" s="41" t="s">
        <v>2930</v>
      </c>
      <c r="O820" s="35" t="str">
        <f t="shared" si="2"/>
        <v>https://monitoramento.pm.pr.gov.br/proxy_image_8/Interface/Cameras/GetJPEGStream?Camera=Pedreira Municipal 02&amp;AuthUser=siscop&amp;AuthPass=Siscop1234&amp;Width=1024&amp;Height=768&amp;Quality=70&amp;FPS=10&amp;ResponseFormat=Text</v>
      </c>
      <c r="P820" s="42">
        <v>1.0</v>
      </c>
    </row>
    <row r="821">
      <c r="A821" s="39" t="s">
        <v>2929</v>
      </c>
      <c r="B821" s="39" t="s">
        <v>2930</v>
      </c>
      <c r="C821" s="13" t="s">
        <v>3044</v>
      </c>
      <c r="D821" s="40">
        <v>8601.0</v>
      </c>
      <c r="E821" s="38" t="s">
        <v>3045</v>
      </c>
      <c r="F821" s="38" t="s">
        <v>3046</v>
      </c>
      <c r="G821" s="4" t="s">
        <v>3047</v>
      </c>
      <c r="H821" s="4" t="s">
        <v>3048</v>
      </c>
      <c r="I821" s="41" t="s">
        <v>8</v>
      </c>
      <c r="J821" s="41" t="s">
        <v>2061</v>
      </c>
      <c r="K821" s="41" t="s">
        <v>25</v>
      </c>
      <c r="L821" s="41" t="s">
        <v>26</v>
      </c>
      <c r="M821" s="41" t="s">
        <v>27</v>
      </c>
      <c r="N821" s="41" t="s">
        <v>2930</v>
      </c>
      <c r="O821" s="35" t="str">
        <f t="shared" si="2"/>
        <v>https://monitoramento.pm.pr.gov.br/proxy_image_8/Interface/Cameras/GetJPEGStream?Camera=Praca da Biblia&amp;AuthUser=siscop&amp;AuthPass=Siscop1234&amp;Width=1024&amp;Height=768&amp;Quality=70&amp;FPS=10&amp;ResponseFormat=Text</v>
      </c>
      <c r="P821" s="42">
        <v>1.0</v>
      </c>
    </row>
    <row r="822">
      <c r="A822" s="39" t="s">
        <v>2929</v>
      </c>
      <c r="B822" s="39" t="s">
        <v>2930</v>
      </c>
      <c r="C822" s="13" t="s">
        <v>3049</v>
      </c>
      <c r="D822" s="40">
        <v>8601.0</v>
      </c>
      <c r="E822" s="38" t="s">
        <v>3050</v>
      </c>
      <c r="F822" s="38" t="s">
        <v>3051</v>
      </c>
      <c r="G822" s="4" t="s">
        <v>3052</v>
      </c>
      <c r="H822" s="4" t="s">
        <v>3053</v>
      </c>
      <c r="I822" s="41" t="s">
        <v>8</v>
      </c>
      <c r="J822" s="41" t="s">
        <v>2061</v>
      </c>
      <c r="K822" s="41" t="s">
        <v>25</v>
      </c>
      <c r="L822" s="41" t="s">
        <v>26</v>
      </c>
      <c r="M822" s="41" t="s">
        <v>27</v>
      </c>
      <c r="N822" s="41" t="s">
        <v>2930</v>
      </c>
      <c r="O822" s="35" t="str">
        <f t="shared" si="2"/>
        <v>https://monitoramento.pm.pr.gov.br/proxy_image_8/Interface/Cameras/GetJPEGStream?Camera=Praca do Cancelli&amp;AuthUser=siscop&amp;AuthPass=Siscop1234&amp;Width=1024&amp;Height=768&amp;Quality=70&amp;FPS=10&amp;ResponseFormat=Text</v>
      </c>
      <c r="P822" s="42">
        <v>1.0</v>
      </c>
    </row>
    <row r="823">
      <c r="A823" s="39" t="s">
        <v>2929</v>
      </c>
      <c r="B823" s="39" t="s">
        <v>2930</v>
      </c>
      <c r="C823" s="13" t="s">
        <v>3054</v>
      </c>
      <c r="D823" s="40">
        <v>8601.0</v>
      </c>
      <c r="E823" s="38" t="s">
        <v>3055</v>
      </c>
      <c r="F823" s="38" t="s">
        <v>3056</v>
      </c>
      <c r="G823" s="4" t="s">
        <v>3057</v>
      </c>
      <c r="H823" s="4" t="s">
        <v>3058</v>
      </c>
      <c r="I823" s="41" t="s">
        <v>8</v>
      </c>
      <c r="J823" s="41" t="s">
        <v>2061</v>
      </c>
      <c r="K823" s="41" t="s">
        <v>25</v>
      </c>
      <c r="L823" s="41" t="s">
        <v>26</v>
      </c>
      <c r="M823" s="41" t="s">
        <v>27</v>
      </c>
      <c r="N823" s="41" t="s">
        <v>2930</v>
      </c>
      <c r="O823" s="35" t="str">
        <f t="shared" si="2"/>
        <v>https://monitoramento.pm.pr.gov.br/proxy_image_8/Interface/Cameras/GetJPEGStream?Camera=Praca Riviera&amp;AuthUser=siscop&amp;AuthPass=Siscop1234&amp;Width=1024&amp;Height=768&amp;Quality=70&amp;FPS=10&amp;ResponseFormat=Text</v>
      </c>
      <c r="P823" s="42">
        <v>1.0</v>
      </c>
    </row>
    <row r="824">
      <c r="A824" s="39" t="s">
        <v>2929</v>
      </c>
      <c r="B824" s="39" t="s">
        <v>2930</v>
      </c>
      <c r="C824" s="13" t="s">
        <v>3059</v>
      </c>
      <c r="D824" s="40">
        <v>8601.0</v>
      </c>
      <c r="E824" s="38" t="s">
        <v>3060</v>
      </c>
      <c r="F824" s="38" t="s">
        <v>3061</v>
      </c>
      <c r="G824" s="4" t="s">
        <v>3062</v>
      </c>
      <c r="H824" s="4" t="s">
        <v>3063</v>
      </c>
      <c r="I824" s="41" t="s">
        <v>8</v>
      </c>
      <c r="J824" s="41" t="s">
        <v>2061</v>
      </c>
      <c r="K824" s="41" t="s">
        <v>25</v>
      </c>
      <c r="L824" s="41" t="s">
        <v>26</v>
      </c>
      <c r="M824" s="41" t="s">
        <v>27</v>
      </c>
      <c r="N824" s="41" t="s">
        <v>2930</v>
      </c>
      <c r="O824" s="35" t="str">
        <f t="shared" si="2"/>
        <v>https://monitoramento.pm.pr.gov.br/proxy_image_8/Interface/Cameras/GetJPEGStream?Camera=Prefeitura - Porta Detras&amp;AuthUser=siscop&amp;AuthPass=Siscop1234&amp;Width=1024&amp;Height=768&amp;Quality=70&amp;FPS=10&amp;ResponseFormat=Text</v>
      </c>
      <c r="P824" s="42">
        <v>1.0</v>
      </c>
    </row>
    <row r="825">
      <c r="A825" s="39" t="s">
        <v>2929</v>
      </c>
      <c r="B825" s="39" t="s">
        <v>2930</v>
      </c>
      <c r="C825" s="13" t="s">
        <v>3064</v>
      </c>
      <c r="D825" s="40">
        <v>8601.0</v>
      </c>
      <c r="E825" s="38" t="s">
        <v>3065</v>
      </c>
      <c r="F825" s="38" t="s">
        <v>3066</v>
      </c>
      <c r="G825" s="4" t="s">
        <v>3067</v>
      </c>
      <c r="H825" s="4" t="s">
        <v>3068</v>
      </c>
      <c r="I825" s="41" t="s">
        <v>8</v>
      </c>
      <c r="J825" s="41" t="s">
        <v>2061</v>
      </c>
      <c r="K825" s="41" t="s">
        <v>25</v>
      </c>
      <c r="L825" s="41" t="s">
        <v>26</v>
      </c>
      <c r="M825" s="41" t="s">
        <v>27</v>
      </c>
      <c r="N825" s="41" t="s">
        <v>2930</v>
      </c>
      <c r="O825" s="35" t="str">
        <f t="shared" si="2"/>
        <v>https://monitoramento.pm.pr.gov.br/proxy_image_8/Interface/Cameras/GetJPEGStream?Camera=Prefeitura - Recepcao Gabinete&amp;AuthUser=siscop&amp;AuthPass=Siscop1234&amp;Width=1024&amp;Height=768&amp;Quality=70&amp;FPS=10&amp;ResponseFormat=Text</v>
      </c>
      <c r="P825" s="42">
        <v>1.0</v>
      </c>
    </row>
    <row r="826">
      <c r="A826" s="39" t="s">
        <v>2929</v>
      </c>
      <c r="B826" s="39" t="s">
        <v>2930</v>
      </c>
      <c r="C826" s="13" t="s">
        <v>3069</v>
      </c>
      <c r="D826" s="40">
        <v>8601.0</v>
      </c>
      <c r="E826" s="38" t="s">
        <v>3070</v>
      </c>
      <c r="F826" s="38" t="s">
        <v>3071</v>
      </c>
      <c r="G826" s="4" t="s">
        <v>3072</v>
      </c>
      <c r="H826" s="4" t="s">
        <v>3073</v>
      </c>
      <c r="I826" s="41" t="s">
        <v>8</v>
      </c>
      <c r="J826" s="41" t="s">
        <v>2061</v>
      </c>
      <c r="K826" s="41" t="s">
        <v>25</v>
      </c>
      <c r="L826" s="41" t="s">
        <v>26</v>
      </c>
      <c r="M826" s="41" t="s">
        <v>27</v>
      </c>
      <c r="N826" s="41" t="s">
        <v>2930</v>
      </c>
      <c r="O826" s="35" t="str">
        <f t="shared" si="2"/>
        <v>https://monitoramento.pm.pr.gov.br/proxy_image_8/Interface/Cameras/GetJPEGStream?Camera=Restaurante Popular - Cascavel Velho&amp;AuthUser=siscop&amp;AuthPass=Siscop1234&amp;Width=1024&amp;Height=768&amp;Quality=70&amp;FPS=10&amp;ResponseFormat=Text</v>
      </c>
      <c r="P826" s="42">
        <v>1.0</v>
      </c>
    </row>
    <row r="827">
      <c r="A827" s="39" t="s">
        <v>2929</v>
      </c>
      <c r="B827" s="39" t="s">
        <v>2930</v>
      </c>
      <c r="C827" s="13" t="s">
        <v>3074</v>
      </c>
      <c r="D827" s="40">
        <v>8601.0</v>
      </c>
      <c r="E827" s="38" t="s">
        <v>3075</v>
      </c>
      <c r="F827" s="38" t="s">
        <v>3076</v>
      </c>
      <c r="G827" s="4" t="s">
        <v>3077</v>
      </c>
      <c r="H827" s="4" t="s">
        <v>3078</v>
      </c>
      <c r="I827" s="41" t="s">
        <v>8</v>
      </c>
      <c r="J827" s="41" t="s">
        <v>2061</v>
      </c>
      <c r="K827" s="41" t="s">
        <v>25</v>
      </c>
      <c r="L827" s="41" t="s">
        <v>26</v>
      </c>
      <c r="M827" s="41" t="s">
        <v>27</v>
      </c>
      <c r="N827" s="41" t="s">
        <v>2930</v>
      </c>
      <c r="O827" s="35" t="str">
        <f t="shared" si="2"/>
        <v>https://monitoramento.pm.pr.gov.br/proxy_image_8/Interface/Cameras/GetJPEGStream?Camera=Restaurante Popular - Centro&amp;AuthUser=siscop&amp;AuthPass=Siscop1234&amp;Width=1024&amp;Height=768&amp;Quality=70&amp;FPS=10&amp;ResponseFormat=Text</v>
      </c>
      <c r="P827" s="42">
        <v>1.0</v>
      </c>
    </row>
    <row r="828">
      <c r="A828" s="39" t="s">
        <v>2929</v>
      </c>
      <c r="B828" s="39" t="s">
        <v>2930</v>
      </c>
      <c r="C828" s="13" t="s">
        <v>3079</v>
      </c>
      <c r="D828" s="40">
        <v>8601.0</v>
      </c>
      <c r="E828" s="38" t="s">
        <v>3080</v>
      </c>
      <c r="F828" s="38" t="s">
        <v>3081</v>
      </c>
      <c r="G828" s="4" t="s">
        <v>3082</v>
      </c>
      <c r="H828" s="4" t="s">
        <v>3083</v>
      </c>
      <c r="I828" s="41" t="s">
        <v>8</v>
      </c>
      <c r="J828" s="41" t="s">
        <v>2061</v>
      </c>
      <c r="K828" s="41" t="s">
        <v>25</v>
      </c>
      <c r="L828" s="41" t="s">
        <v>26</v>
      </c>
      <c r="M828" s="41" t="s">
        <v>27</v>
      </c>
      <c r="N828" s="41" t="s">
        <v>2930</v>
      </c>
      <c r="O828" s="35" t="str">
        <f t="shared" si="2"/>
        <v>https://monitoramento.pm.pr.gov.br/proxy_image_8/Interface/Cameras/GetJPEGStream?Camera=Restaurante Popular - Santa Cruz&amp;AuthUser=siscop&amp;AuthPass=Siscop1234&amp;Width=1024&amp;Height=768&amp;Quality=70&amp;FPS=10&amp;ResponseFormat=Text</v>
      </c>
      <c r="P828" s="42">
        <v>1.0</v>
      </c>
    </row>
    <row r="829">
      <c r="A829" s="39" t="s">
        <v>2929</v>
      </c>
      <c r="B829" s="39" t="s">
        <v>2930</v>
      </c>
      <c r="C829" s="13" t="s">
        <v>3084</v>
      </c>
      <c r="D829" s="40">
        <v>8601.0</v>
      </c>
      <c r="E829" s="38" t="s">
        <v>3085</v>
      </c>
      <c r="F829" s="38" t="s">
        <v>3086</v>
      </c>
      <c r="G829" s="4" t="s">
        <v>3087</v>
      </c>
      <c r="H829" s="4" t="s">
        <v>3088</v>
      </c>
      <c r="I829" s="41" t="s">
        <v>8</v>
      </c>
      <c r="J829" s="41" t="s">
        <v>2061</v>
      </c>
      <c r="K829" s="41" t="s">
        <v>25</v>
      </c>
      <c r="L829" s="41" t="s">
        <v>26</v>
      </c>
      <c r="M829" s="41" t="s">
        <v>27</v>
      </c>
      <c r="N829" s="41" t="s">
        <v>2930</v>
      </c>
      <c r="O829" s="35" t="str">
        <f t="shared" si="2"/>
        <v>https://monitoramento.pm.pr.gov.br/proxy_image_8/Interface/Cameras/GetJPEGStream?Camera=Rio do Salto&amp;AuthUser=siscop&amp;AuthPass=Siscop1234&amp;Width=1024&amp;Height=768&amp;Quality=70&amp;FPS=10&amp;ResponseFormat=Text</v>
      </c>
      <c r="P829" s="42">
        <v>1.0</v>
      </c>
    </row>
    <row r="830">
      <c r="A830" s="39" t="s">
        <v>2929</v>
      </c>
      <c r="B830" s="39" t="s">
        <v>2930</v>
      </c>
      <c r="C830" s="13" t="s">
        <v>3089</v>
      </c>
      <c r="D830" s="40">
        <v>8601.0</v>
      </c>
      <c r="E830" s="38" t="s">
        <v>3090</v>
      </c>
      <c r="F830" s="38" t="s">
        <v>3091</v>
      </c>
      <c r="G830" s="4" t="s">
        <v>3092</v>
      </c>
      <c r="H830" s="4" t="s">
        <v>3093</v>
      </c>
      <c r="I830" s="41" t="s">
        <v>8</v>
      </c>
      <c r="J830" s="41" t="s">
        <v>2061</v>
      </c>
      <c r="K830" s="41" t="s">
        <v>25</v>
      </c>
      <c r="L830" s="41" t="s">
        <v>26</v>
      </c>
      <c r="M830" s="41" t="s">
        <v>27</v>
      </c>
      <c r="N830" s="41" t="s">
        <v>2930</v>
      </c>
      <c r="O830" s="35" t="str">
        <f t="shared" si="2"/>
        <v>https://monitoramento.pm.pr.gov.br/proxy_image_8/Interface/Cameras/GetJPEGStream?Camera=Rio Grande do Sul x Carlos Gomes&amp;AuthUser=siscop&amp;AuthPass=Siscop1234&amp;Width=1024&amp;Height=768&amp;Quality=70&amp;FPS=10&amp;ResponseFormat=Text</v>
      </c>
      <c r="P830" s="42">
        <v>1.0</v>
      </c>
    </row>
    <row r="831">
      <c r="A831" s="39" t="s">
        <v>2929</v>
      </c>
      <c r="B831" s="39" t="s">
        <v>2930</v>
      </c>
      <c r="C831" s="13" t="s">
        <v>3094</v>
      </c>
      <c r="D831" s="40">
        <v>8601.0</v>
      </c>
      <c r="E831" s="38" t="s">
        <v>3095</v>
      </c>
      <c r="F831" s="38" t="s">
        <v>3096</v>
      </c>
      <c r="G831" s="4" t="s">
        <v>3097</v>
      </c>
      <c r="H831" s="4" t="s">
        <v>3098</v>
      </c>
      <c r="I831" s="41" t="s">
        <v>8</v>
      </c>
      <c r="J831" s="41" t="s">
        <v>2061</v>
      </c>
      <c r="K831" s="41" t="s">
        <v>25</v>
      </c>
      <c r="L831" s="41" t="s">
        <v>26</v>
      </c>
      <c r="M831" s="41" t="s">
        <v>27</v>
      </c>
      <c r="N831" s="41" t="s">
        <v>2930</v>
      </c>
      <c r="O831" s="35" t="str">
        <f t="shared" si="2"/>
        <v>https://monitoramento.pm.pr.gov.br/proxy_image_8/Interface/Cameras/GetJPEGStream?Camera=Rio Grande do Sul x Castro Alves&amp;AuthUser=siscop&amp;AuthPass=Siscop1234&amp;Width=1024&amp;Height=768&amp;Quality=70&amp;FPS=10&amp;ResponseFormat=Text</v>
      </c>
      <c r="P831" s="42">
        <v>1.0</v>
      </c>
    </row>
    <row r="832">
      <c r="A832" s="39" t="s">
        <v>2929</v>
      </c>
      <c r="B832" s="39" t="s">
        <v>2930</v>
      </c>
      <c r="C832" s="13" t="s">
        <v>3099</v>
      </c>
      <c r="D832" s="40">
        <v>8601.0</v>
      </c>
      <c r="E832" s="38" t="s">
        <v>3100</v>
      </c>
      <c r="F832" s="38" t="s">
        <v>3101</v>
      </c>
      <c r="G832" s="4" t="s">
        <v>3102</v>
      </c>
      <c r="H832" s="4" t="s">
        <v>3103</v>
      </c>
      <c r="I832" s="41" t="s">
        <v>8</v>
      </c>
      <c r="J832" s="41" t="s">
        <v>2061</v>
      </c>
      <c r="K832" s="41" t="s">
        <v>25</v>
      </c>
      <c r="L832" s="41" t="s">
        <v>26</v>
      </c>
      <c r="M832" s="41" t="s">
        <v>27</v>
      </c>
      <c r="N832" s="41" t="s">
        <v>2930</v>
      </c>
      <c r="O832" s="35" t="str">
        <f t="shared" si="2"/>
        <v>https://monitoramento.pm.pr.gov.br/proxy_image_8/Interface/Cameras/GetJPEGStream?Camera=Sala de Vacinas&amp;AuthUser=siscop&amp;AuthPass=Siscop1234&amp;Width=1024&amp;Height=768&amp;Quality=70&amp;FPS=10&amp;ResponseFormat=Text</v>
      </c>
      <c r="P832" s="42">
        <v>1.0</v>
      </c>
    </row>
    <row r="833">
      <c r="A833" s="39" t="s">
        <v>2929</v>
      </c>
      <c r="B833" s="39" t="s">
        <v>2930</v>
      </c>
      <c r="C833" s="13" t="s">
        <v>3104</v>
      </c>
      <c r="D833" s="40">
        <v>8601.0</v>
      </c>
      <c r="E833" s="38" t="s">
        <v>3105</v>
      </c>
      <c r="F833" s="38" t="s">
        <v>3106</v>
      </c>
      <c r="G833" s="4" t="s">
        <v>3107</v>
      </c>
      <c r="H833" s="4" t="s">
        <v>3108</v>
      </c>
      <c r="I833" s="41" t="s">
        <v>8</v>
      </c>
      <c r="J833" s="41" t="s">
        <v>2061</v>
      </c>
      <c r="K833" s="41" t="s">
        <v>25</v>
      </c>
      <c r="L833" s="41" t="s">
        <v>26</v>
      </c>
      <c r="M833" s="41" t="s">
        <v>27</v>
      </c>
      <c r="N833" s="41" t="s">
        <v>2930</v>
      </c>
      <c r="O833" s="35" t="str">
        <f t="shared" si="2"/>
        <v>https://monitoramento.pm.pr.gov.br/proxy_image_8/Interface/Cameras/GetJPEGStream?Camera=Santos Dumont - Marginal&amp;AuthUser=siscop&amp;AuthPass=Siscop1234&amp;Width=1024&amp;Height=768&amp;Quality=70&amp;FPS=10&amp;ResponseFormat=Text</v>
      </c>
      <c r="P833" s="42">
        <v>1.0</v>
      </c>
    </row>
    <row r="834">
      <c r="A834" s="39" t="s">
        <v>2929</v>
      </c>
      <c r="B834" s="39" t="s">
        <v>2930</v>
      </c>
      <c r="C834" s="13" t="s">
        <v>3109</v>
      </c>
      <c r="D834" s="40">
        <v>8601.0</v>
      </c>
      <c r="E834" s="38" t="s">
        <v>3110</v>
      </c>
      <c r="F834" s="38" t="s">
        <v>3111</v>
      </c>
      <c r="G834" s="4" t="s">
        <v>3112</v>
      </c>
      <c r="H834" s="4" t="s">
        <v>3113</v>
      </c>
      <c r="I834" s="41" t="s">
        <v>8</v>
      </c>
      <c r="J834" s="41" t="s">
        <v>2061</v>
      </c>
      <c r="K834" s="41" t="s">
        <v>25</v>
      </c>
      <c r="L834" s="41" t="s">
        <v>26</v>
      </c>
      <c r="M834" s="41" t="s">
        <v>27</v>
      </c>
      <c r="N834" s="41" t="s">
        <v>2930</v>
      </c>
      <c r="O834" s="35" t="str">
        <f t="shared" si="2"/>
        <v>https://monitoramento.pm.pr.gov.br/proxy_image_8/Interface/Cameras/GetJPEGStream?Camera=Santos Dumont - Salao Comunitario&amp;AuthUser=siscop&amp;AuthPass=Siscop1234&amp;Width=1024&amp;Height=768&amp;Quality=70&amp;FPS=10&amp;ResponseFormat=Text</v>
      </c>
      <c r="P834" s="42">
        <v>1.0</v>
      </c>
    </row>
    <row r="835">
      <c r="A835" s="39" t="s">
        <v>2929</v>
      </c>
      <c r="B835" s="39" t="s">
        <v>2930</v>
      </c>
      <c r="C835" s="13" t="s">
        <v>3114</v>
      </c>
      <c r="D835" s="40">
        <v>8601.0</v>
      </c>
      <c r="E835" s="38" t="s">
        <v>3115</v>
      </c>
      <c r="F835" s="38" t="s">
        <v>3116</v>
      </c>
      <c r="G835" s="4" t="s">
        <v>3117</v>
      </c>
      <c r="H835" s="4" t="s">
        <v>3118</v>
      </c>
      <c r="I835" s="41" t="s">
        <v>8</v>
      </c>
      <c r="J835" s="41" t="s">
        <v>2061</v>
      </c>
      <c r="K835" s="41" t="s">
        <v>25</v>
      </c>
      <c r="L835" s="41" t="s">
        <v>26</v>
      </c>
      <c r="M835" s="41" t="s">
        <v>27</v>
      </c>
      <c r="N835" s="41" t="s">
        <v>2930</v>
      </c>
      <c r="O835" s="35" t="str">
        <f t="shared" si="2"/>
        <v>https://monitoramento.pm.pr.gov.br/proxy_image_8/Interface/Cameras/GetJPEGStream?Camera=SESAU - Sede 01&amp;AuthUser=siscop&amp;AuthPass=Siscop1234&amp;Width=1024&amp;Height=768&amp;Quality=70&amp;FPS=10&amp;ResponseFormat=Text</v>
      </c>
      <c r="P835" s="42">
        <v>1.0</v>
      </c>
    </row>
    <row r="836">
      <c r="A836" s="39" t="s">
        <v>2929</v>
      </c>
      <c r="B836" s="39" t="s">
        <v>2930</v>
      </c>
      <c r="C836" s="13" t="s">
        <v>3119</v>
      </c>
      <c r="D836" s="40">
        <v>8601.0</v>
      </c>
      <c r="E836" s="38" t="s">
        <v>3120</v>
      </c>
      <c r="F836" s="38" t="s">
        <v>3121</v>
      </c>
      <c r="G836" s="4" t="s">
        <v>3122</v>
      </c>
      <c r="H836" s="4" t="s">
        <v>3123</v>
      </c>
      <c r="I836" s="41" t="s">
        <v>8</v>
      </c>
      <c r="J836" s="41" t="s">
        <v>2061</v>
      </c>
      <c r="K836" s="41" t="s">
        <v>25</v>
      </c>
      <c r="L836" s="41" t="s">
        <v>26</v>
      </c>
      <c r="M836" s="41" t="s">
        <v>27</v>
      </c>
      <c r="N836" s="41" t="s">
        <v>2930</v>
      </c>
      <c r="O836" s="35" t="str">
        <f t="shared" si="2"/>
        <v>https://monitoramento.pm.pr.gov.br/proxy_image_8/Interface/Cameras/GetJPEGStream?Camera=SESAU - Sede 02&amp;AuthUser=siscop&amp;AuthPass=Siscop1234&amp;Width=1024&amp;Height=768&amp;Quality=70&amp;FPS=10&amp;ResponseFormat=Text</v>
      </c>
      <c r="P836" s="42">
        <v>1.0</v>
      </c>
    </row>
    <row r="837">
      <c r="A837" s="39" t="s">
        <v>2929</v>
      </c>
      <c r="B837" s="39" t="s">
        <v>2930</v>
      </c>
      <c r="C837" s="13" t="s">
        <v>3124</v>
      </c>
      <c r="D837" s="40">
        <v>8601.0</v>
      </c>
      <c r="E837" s="38" t="s">
        <v>3125</v>
      </c>
      <c r="F837" s="38" t="s">
        <v>3126</v>
      </c>
      <c r="G837" s="4" t="s">
        <v>3127</v>
      </c>
      <c r="H837" s="4" t="s">
        <v>3128</v>
      </c>
      <c r="I837" s="41" t="s">
        <v>8</v>
      </c>
      <c r="J837" s="41" t="s">
        <v>2061</v>
      </c>
      <c r="K837" s="41" t="s">
        <v>25</v>
      </c>
      <c r="L837" s="41" t="s">
        <v>26</v>
      </c>
      <c r="M837" s="41" t="s">
        <v>27</v>
      </c>
      <c r="N837" s="41" t="s">
        <v>2930</v>
      </c>
      <c r="O837" s="35" t="str">
        <f t="shared" si="2"/>
        <v>https://monitoramento.pm.pr.gov.br/proxy_image_8/Interface/Cameras/GetJPEGStream?Camera=SESOP - Borracharia&amp;AuthUser=siscop&amp;AuthPass=Siscop1234&amp;Width=1024&amp;Height=768&amp;Quality=70&amp;FPS=10&amp;ResponseFormat=Text</v>
      </c>
      <c r="P837" s="42">
        <v>1.0</v>
      </c>
    </row>
    <row r="838">
      <c r="A838" s="39" t="s">
        <v>2929</v>
      </c>
      <c r="B838" s="39" t="s">
        <v>2930</v>
      </c>
      <c r="C838" s="13" t="s">
        <v>3129</v>
      </c>
      <c r="D838" s="40">
        <v>8601.0</v>
      </c>
      <c r="E838" s="38" t="s">
        <v>3130</v>
      </c>
      <c r="F838" s="38" t="s">
        <v>3131</v>
      </c>
      <c r="G838" s="4" t="s">
        <v>3132</v>
      </c>
      <c r="H838" s="4" t="s">
        <v>3133</v>
      </c>
      <c r="I838" s="41" t="s">
        <v>8</v>
      </c>
      <c r="J838" s="41" t="s">
        <v>2061</v>
      </c>
      <c r="K838" s="41" t="s">
        <v>25</v>
      </c>
      <c r="L838" s="41" t="s">
        <v>26</v>
      </c>
      <c r="M838" s="41" t="s">
        <v>27</v>
      </c>
      <c r="N838" s="41" t="s">
        <v>2930</v>
      </c>
      <c r="O838" s="35" t="str">
        <f t="shared" si="2"/>
        <v>#</v>
      </c>
      <c r="P838" s="42">
        <v>0.0</v>
      </c>
    </row>
    <row r="839">
      <c r="A839" s="39" t="s">
        <v>2929</v>
      </c>
      <c r="B839" s="39" t="s">
        <v>2930</v>
      </c>
      <c r="C839" s="13" t="s">
        <v>3134</v>
      </c>
      <c r="D839" s="40">
        <v>8601.0</v>
      </c>
      <c r="E839" s="38" t="s">
        <v>3135</v>
      </c>
      <c r="F839" s="38" t="s">
        <v>3136</v>
      </c>
      <c r="G839" s="4" t="s">
        <v>3137</v>
      </c>
      <c r="H839" s="4" t="s">
        <v>3138</v>
      </c>
      <c r="I839" s="41" t="s">
        <v>8</v>
      </c>
      <c r="J839" s="41" t="s">
        <v>2061</v>
      </c>
      <c r="K839" s="41" t="s">
        <v>25</v>
      </c>
      <c r="L839" s="41" t="s">
        <v>26</v>
      </c>
      <c r="M839" s="41" t="s">
        <v>27</v>
      </c>
      <c r="N839" s="41" t="s">
        <v>2930</v>
      </c>
      <c r="O839" s="35" t="str">
        <f t="shared" si="2"/>
        <v>https://monitoramento.pm.pr.gov.br/proxy_image_8/Interface/Cameras/GetJPEGStream?Camera=SESPPRO - Base Cascavel Velho&amp;AuthUser=siscop&amp;AuthPass=Siscop1234&amp;Width=1024&amp;Height=768&amp;Quality=70&amp;FPS=10&amp;ResponseFormat=Text</v>
      </c>
      <c r="P839" s="42">
        <v>1.0</v>
      </c>
    </row>
    <row r="840">
      <c r="A840" s="39" t="s">
        <v>2929</v>
      </c>
      <c r="B840" s="39" t="s">
        <v>2930</v>
      </c>
      <c r="C840" s="13" t="s">
        <v>3139</v>
      </c>
      <c r="D840" s="40">
        <v>8601.0</v>
      </c>
      <c r="E840" s="38" t="s">
        <v>3140</v>
      </c>
      <c r="F840" s="38" t="s">
        <v>3141</v>
      </c>
      <c r="G840" s="4" t="s">
        <v>3142</v>
      </c>
      <c r="H840" s="4" t="s">
        <v>3143</v>
      </c>
      <c r="I840" s="41" t="s">
        <v>8</v>
      </c>
      <c r="J840" s="41" t="s">
        <v>2061</v>
      </c>
      <c r="K840" s="41" t="s">
        <v>25</v>
      </c>
      <c r="L840" s="41" t="s">
        <v>26</v>
      </c>
      <c r="M840" s="41" t="s">
        <v>27</v>
      </c>
      <c r="N840" s="41" t="s">
        <v>2930</v>
      </c>
      <c r="O840" s="35" t="str">
        <f t="shared" si="2"/>
        <v>https://monitoramento.pm.pr.gov.br/proxy_image_8/Interface/Cameras/GetJPEGStream?Camera=SESPPRO - Base Praca Wilson J0re&amp;AuthUser=siscop&amp;AuthPass=Siscop1234&amp;Width=1024&amp;Height=768&amp;Quality=70&amp;FPS=10&amp;ResponseFormat=Text</v>
      </c>
      <c r="P840" s="42">
        <v>1.0</v>
      </c>
    </row>
    <row r="841">
      <c r="A841" s="39" t="s">
        <v>2929</v>
      </c>
      <c r="B841" s="39" t="s">
        <v>2930</v>
      </c>
      <c r="C841" s="13" t="s">
        <v>3144</v>
      </c>
      <c r="D841" s="40">
        <v>8601.0</v>
      </c>
      <c r="E841" s="38" t="s">
        <v>3145</v>
      </c>
      <c r="F841" s="38" t="s">
        <v>3146</v>
      </c>
      <c r="G841" s="4" t="s">
        <v>3147</v>
      </c>
      <c r="H841" s="4" t="s">
        <v>3148</v>
      </c>
      <c r="I841" s="41" t="s">
        <v>8</v>
      </c>
      <c r="J841" s="41" t="s">
        <v>2061</v>
      </c>
      <c r="K841" s="41" t="s">
        <v>25</v>
      </c>
      <c r="L841" s="41" t="s">
        <v>26</v>
      </c>
      <c r="M841" s="41" t="s">
        <v>27</v>
      </c>
      <c r="N841" s="41" t="s">
        <v>2930</v>
      </c>
      <c r="O841" s="35" t="str">
        <f t="shared" si="2"/>
        <v>https://monitoramento.pm.pr.gov.br/proxy_image_8/Interface/Cameras/GetJPEGStream?Camera=SESPPRO - Central Monitoramento&amp;AuthUser=siscop&amp;AuthPass=Siscop1234&amp;Width=1024&amp;Height=768&amp;Quality=70&amp;FPS=10&amp;ResponseFormat=Text</v>
      </c>
      <c r="P841" s="42">
        <v>1.0</v>
      </c>
    </row>
    <row r="842">
      <c r="A842" s="39" t="s">
        <v>2929</v>
      </c>
      <c r="B842" s="39" t="s">
        <v>2930</v>
      </c>
      <c r="C842" s="13" t="s">
        <v>3149</v>
      </c>
      <c r="D842" s="40">
        <v>8601.0</v>
      </c>
      <c r="E842" s="38" t="s">
        <v>3150</v>
      </c>
      <c r="F842" s="38" t="s">
        <v>3151</v>
      </c>
      <c r="G842" s="4" t="s">
        <v>3152</v>
      </c>
      <c r="H842" s="4" t="s">
        <v>3153</v>
      </c>
      <c r="I842" s="41" t="s">
        <v>8</v>
      </c>
      <c r="J842" s="41" t="s">
        <v>2061</v>
      </c>
      <c r="K842" s="41" t="s">
        <v>25</v>
      </c>
      <c r="L842" s="41" t="s">
        <v>26</v>
      </c>
      <c r="M842" s="41" t="s">
        <v>27</v>
      </c>
      <c r="N842" s="41" t="s">
        <v>2930</v>
      </c>
      <c r="O842" s="35" t="str">
        <f t="shared" si="2"/>
        <v>https://monitoramento.pm.pr.gov.br/proxy_image_8/Interface/Cameras/GetJPEGStream?Camera=SESPPRO - Cofre&amp;AuthUser=siscop&amp;AuthPass=Siscop1234&amp;Width=1024&amp;Height=768&amp;Quality=70&amp;FPS=10&amp;ResponseFormat=Text</v>
      </c>
      <c r="P842" s="42">
        <v>1.0</v>
      </c>
    </row>
    <row r="843">
      <c r="A843" s="39" t="s">
        <v>2929</v>
      </c>
      <c r="B843" s="39" t="s">
        <v>2930</v>
      </c>
      <c r="C843" s="13" t="s">
        <v>3154</v>
      </c>
      <c r="D843" s="40">
        <v>8601.0</v>
      </c>
      <c r="E843" s="38" t="s">
        <v>3155</v>
      </c>
      <c r="F843" s="38" t="s">
        <v>3156</v>
      </c>
      <c r="G843" s="4" t="s">
        <v>3157</v>
      </c>
      <c r="H843" s="4" t="s">
        <v>3158</v>
      </c>
      <c r="I843" s="41" t="s">
        <v>8</v>
      </c>
      <c r="J843" s="41" t="s">
        <v>2061</v>
      </c>
      <c r="K843" s="41" t="s">
        <v>25</v>
      </c>
      <c r="L843" s="41" t="s">
        <v>26</v>
      </c>
      <c r="M843" s="41" t="s">
        <v>27</v>
      </c>
      <c r="N843" s="41" t="s">
        <v>2930</v>
      </c>
      <c r="O843" s="35" t="str">
        <f t="shared" si="2"/>
        <v>https://monitoramento.pm.pr.gov.br/proxy_image_8/Interface/Cameras/GetJPEGStream?Camera=SESPPRO - Corredor&amp;AuthUser=siscop&amp;AuthPass=Siscop1234&amp;Width=1024&amp;Height=768&amp;Quality=70&amp;FPS=10&amp;ResponseFormat=Text</v>
      </c>
      <c r="P843" s="42">
        <v>1.0</v>
      </c>
    </row>
    <row r="844">
      <c r="A844" s="39" t="s">
        <v>2929</v>
      </c>
      <c r="B844" s="39" t="s">
        <v>2930</v>
      </c>
      <c r="C844" s="13" t="s">
        <v>3159</v>
      </c>
      <c r="D844" s="40">
        <v>8601.0</v>
      </c>
      <c r="E844" s="38" t="s">
        <v>3160</v>
      </c>
      <c r="F844" s="38" t="s">
        <v>3161</v>
      </c>
      <c r="G844" s="4" t="s">
        <v>3162</v>
      </c>
      <c r="H844" s="4" t="s">
        <v>3163</v>
      </c>
      <c r="I844" s="41" t="s">
        <v>8</v>
      </c>
      <c r="J844" s="41" t="s">
        <v>2061</v>
      </c>
      <c r="K844" s="41" t="s">
        <v>25</v>
      </c>
      <c r="L844" s="41" t="s">
        <v>26</v>
      </c>
      <c r="M844" s="41" t="s">
        <v>27</v>
      </c>
      <c r="N844" s="41" t="s">
        <v>2930</v>
      </c>
      <c r="O844" s="35" t="str">
        <f t="shared" si="2"/>
        <v>https://monitoramento.pm.pr.gov.br/proxy_image_8/Interface/Cameras/GetJPEGStream?Camera=SESPPRO - PTZ&amp;AuthUser=siscop&amp;AuthPass=Siscop1234&amp;Width=1024&amp;Height=768&amp;Quality=70&amp;FPS=10&amp;ResponseFormat=Text</v>
      </c>
      <c r="P844" s="42">
        <v>1.0</v>
      </c>
    </row>
    <row r="845">
      <c r="A845" s="39" t="s">
        <v>2929</v>
      </c>
      <c r="B845" s="39" t="s">
        <v>2930</v>
      </c>
      <c r="C845" s="13" t="s">
        <v>3164</v>
      </c>
      <c r="D845" s="40">
        <v>8601.0</v>
      </c>
      <c r="E845" s="38" t="s">
        <v>3165</v>
      </c>
      <c r="F845" s="38" t="s">
        <v>3166</v>
      </c>
      <c r="G845" s="4" t="s">
        <v>3167</v>
      </c>
      <c r="H845" s="4" t="s">
        <v>3168</v>
      </c>
      <c r="I845" s="41" t="s">
        <v>8</v>
      </c>
      <c r="J845" s="41" t="s">
        <v>2061</v>
      </c>
      <c r="K845" s="41" t="s">
        <v>25</v>
      </c>
      <c r="L845" s="41" t="s">
        <v>26</v>
      </c>
      <c r="M845" s="41" t="s">
        <v>27</v>
      </c>
      <c r="N845" s="41" t="s">
        <v>2930</v>
      </c>
      <c r="O845" s="35" t="str">
        <f t="shared" si="2"/>
        <v>https://monitoramento.pm.pr.gov.br/proxy_image_8/Interface/Cameras/GetJPEGStream?Camera=SESPPRO - Recepcao&amp;AuthUser=siscop&amp;AuthPass=Siscop1234&amp;Width=1024&amp;Height=768&amp;Quality=70&amp;FPS=10&amp;ResponseFormat=Text</v>
      </c>
      <c r="P845" s="42">
        <v>1.0</v>
      </c>
    </row>
    <row r="846">
      <c r="A846" s="39" t="s">
        <v>2929</v>
      </c>
      <c r="B846" s="39" t="s">
        <v>2930</v>
      </c>
      <c r="C846" s="13" t="s">
        <v>3169</v>
      </c>
      <c r="D846" s="40">
        <v>8601.0</v>
      </c>
      <c r="E846" s="38" t="s">
        <v>3170</v>
      </c>
      <c r="F846" s="38" t="s">
        <v>3171</v>
      </c>
      <c r="G846" s="4" t="s">
        <v>3172</v>
      </c>
      <c r="H846" s="4" t="s">
        <v>3173</v>
      </c>
      <c r="I846" s="41" t="s">
        <v>8</v>
      </c>
      <c r="J846" s="41" t="s">
        <v>2061</v>
      </c>
      <c r="K846" s="41" t="s">
        <v>25</v>
      </c>
      <c r="L846" s="41" t="s">
        <v>26</v>
      </c>
      <c r="M846" s="41" t="s">
        <v>27</v>
      </c>
      <c r="N846" s="41" t="s">
        <v>2930</v>
      </c>
      <c r="O846" s="35" t="str">
        <f t="shared" si="2"/>
        <v>https://monitoramento.pm.pr.gov.br/proxy_image_8/Interface/Cameras/GetJPEGStream?Camera=Terminal - Leste&amp;AuthUser=siscop&amp;AuthPass=Siscop1234&amp;Width=1024&amp;Height=768&amp;Quality=70&amp;FPS=10&amp;ResponseFormat=Text</v>
      </c>
      <c r="P846" s="42">
        <v>1.0</v>
      </c>
    </row>
    <row r="847">
      <c r="A847" s="39" t="s">
        <v>2929</v>
      </c>
      <c r="B847" s="39" t="s">
        <v>2930</v>
      </c>
      <c r="C847" s="13" t="s">
        <v>3174</v>
      </c>
      <c r="D847" s="40">
        <v>8601.0</v>
      </c>
      <c r="E847" s="38" t="s">
        <v>3175</v>
      </c>
      <c r="F847" s="38" t="s">
        <v>3176</v>
      </c>
      <c r="G847" s="4" t="s">
        <v>3177</v>
      </c>
      <c r="H847" s="4" t="s">
        <v>3178</v>
      </c>
      <c r="I847" s="41" t="s">
        <v>8</v>
      </c>
      <c r="J847" s="41" t="s">
        <v>2061</v>
      </c>
      <c r="K847" s="41" t="s">
        <v>25</v>
      </c>
      <c r="L847" s="41" t="s">
        <v>26</v>
      </c>
      <c r="M847" s="41" t="s">
        <v>27</v>
      </c>
      <c r="N847" s="41" t="s">
        <v>2930</v>
      </c>
      <c r="O847" s="35" t="str">
        <f t="shared" si="2"/>
        <v>https://monitoramento.pm.pr.gov.br/proxy_image_8/Interface/Cameras/GetJPEGStream?Camera=Terminal - Nordesde 2&amp;AuthUser=siscop&amp;AuthPass=Siscop1234&amp;Width=1024&amp;Height=768&amp;Quality=70&amp;FPS=10&amp;ResponseFormat=Text</v>
      </c>
      <c r="P847" s="42">
        <v>1.0</v>
      </c>
    </row>
    <row r="848">
      <c r="A848" s="39" t="s">
        <v>2929</v>
      </c>
      <c r="B848" s="39" t="s">
        <v>2930</v>
      </c>
      <c r="C848" s="13" t="s">
        <v>3179</v>
      </c>
      <c r="D848" s="40">
        <v>8601.0</v>
      </c>
      <c r="E848" s="38" t="s">
        <v>3180</v>
      </c>
      <c r="F848" s="38" t="s">
        <v>3176</v>
      </c>
      <c r="G848" s="4" t="s">
        <v>3177</v>
      </c>
      <c r="H848" s="4" t="s">
        <v>3178</v>
      </c>
      <c r="I848" s="41" t="s">
        <v>8</v>
      </c>
      <c r="J848" s="41" t="s">
        <v>2061</v>
      </c>
      <c r="K848" s="41" t="s">
        <v>25</v>
      </c>
      <c r="L848" s="41" t="s">
        <v>26</v>
      </c>
      <c r="M848" s="41" t="s">
        <v>27</v>
      </c>
      <c r="N848" s="41" t="s">
        <v>2930</v>
      </c>
      <c r="O848" s="35" t="str">
        <f t="shared" si="2"/>
        <v>#</v>
      </c>
      <c r="P848" s="42">
        <v>0.0</v>
      </c>
    </row>
    <row r="849">
      <c r="A849" s="39" t="s">
        <v>2929</v>
      </c>
      <c r="B849" s="39" t="s">
        <v>2930</v>
      </c>
      <c r="C849" s="13" t="s">
        <v>3181</v>
      </c>
      <c r="D849" s="40">
        <v>8601.0</v>
      </c>
      <c r="E849" s="38" t="s">
        <v>3182</v>
      </c>
      <c r="F849" s="38" t="s">
        <v>3183</v>
      </c>
      <c r="G849" s="4" t="s">
        <v>3184</v>
      </c>
      <c r="H849" s="4" t="s">
        <v>3185</v>
      </c>
      <c r="I849" s="41" t="s">
        <v>8</v>
      </c>
      <c r="J849" s="41" t="s">
        <v>2061</v>
      </c>
      <c r="K849" s="41" t="s">
        <v>25</v>
      </c>
      <c r="L849" s="41" t="s">
        <v>26</v>
      </c>
      <c r="M849" s="41" t="s">
        <v>27</v>
      </c>
      <c r="N849" s="41" t="s">
        <v>2930</v>
      </c>
      <c r="O849" s="35" t="str">
        <f t="shared" si="2"/>
        <v>https://monitoramento.pm.pr.gov.br/proxy_image_8/Interface/Cameras/GetJPEGStream?Camera=Terminal - Oeste&amp;AuthUser=siscop&amp;AuthPass=Siscop1234&amp;Width=1024&amp;Height=768&amp;Quality=70&amp;FPS=10&amp;ResponseFormat=Text</v>
      </c>
      <c r="P849" s="42">
        <v>1.0</v>
      </c>
    </row>
    <row r="850">
      <c r="A850" s="39" t="s">
        <v>2929</v>
      </c>
      <c r="B850" s="39" t="s">
        <v>2930</v>
      </c>
      <c r="C850" s="13" t="s">
        <v>3186</v>
      </c>
      <c r="D850" s="40">
        <v>8601.0</v>
      </c>
      <c r="E850" s="38" t="s">
        <v>3187</v>
      </c>
      <c r="F850" s="38" t="s">
        <v>3188</v>
      </c>
      <c r="G850" s="4" t="s">
        <v>3189</v>
      </c>
      <c r="H850" s="4" t="s">
        <v>3190</v>
      </c>
      <c r="I850" s="41" t="s">
        <v>8</v>
      </c>
      <c r="J850" s="41" t="s">
        <v>2061</v>
      </c>
      <c r="K850" s="41" t="s">
        <v>25</v>
      </c>
      <c r="L850" s="41" t="s">
        <v>26</v>
      </c>
      <c r="M850" s="41" t="s">
        <v>27</v>
      </c>
      <c r="N850" s="41" t="s">
        <v>2930</v>
      </c>
      <c r="O850" s="35" t="str">
        <f t="shared" si="2"/>
        <v>https://monitoramento.pm.pr.gov.br/proxy_image_8/Interface/Cameras/GetJPEGStream?Camera=Terminal - Sudoeste&amp;AuthUser=siscop&amp;AuthPass=Siscop1234&amp;Width=1024&amp;Height=768&amp;Quality=70&amp;FPS=10&amp;ResponseFormat=Text</v>
      </c>
      <c r="P850" s="42">
        <v>1.0</v>
      </c>
    </row>
    <row r="851">
      <c r="A851" s="39" t="s">
        <v>2929</v>
      </c>
      <c r="B851" s="39" t="s">
        <v>2930</v>
      </c>
      <c r="C851" s="13" t="s">
        <v>3191</v>
      </c>
      <c r="D851" s="40">
        <v>8601.0</v>
      </c>
      <c r="E851" s="38" t="s">
        <v>3192</v>
      </c>
      <c r="F851" s="38" t="s">
        <v>3193</v>
      </c>
      <c r="G851" s="4" t="s">
        <v>3194</v>
      </c>
      <c r="H851" s="4" t="s">
        <v>3195</v>
      </c>
      <c r="I851" s="41" t="s">
        <v>8</v>
      </c>
      <c r="J851" s="41" t="s">
        <v>2061</v>
      </c>
      <c r="K851" s="41" t="s">
        <v>25</v>
      </c>
      <c r="L851" s="41" t="s">
        <v>26</v>
      </c>
      <c r="M851" s="41" t="s">
        <v>27</v>
      </c>
      <c r="N851" s="41" t="s">
        <v>2930</v>
      </c>
      <c r="O851" s="35" t="str">
        <f t="shared" si="2"/>
        <v>https://monitoramento.pm.pr.gov.br/proxy_image_8/Interface/Cameras/GetJPEGStream?Camera=Trevo Cataratas&amp;AuthUser=siscop&amp;AuthPass=Siscop1234&amp;Width=1024&amp;Height=768&amp;Quality=70&amp;FPS=10&amp;ResponseFormat=Text</v>
      </c>
      <c r="P851" s="42">
        <v>1.0</v>
      </c>
    </row>
    <row r="852">
      <c r="A852" s="39" t="s">
        <v>2929</v>
      </c>
      <c r="B852" s="39" t="s">
        <v>2930</v>
      </c>
      <c r="C852" s="13" t="s">
        <v>3196</v>
      </c>
      <c r="D852" s="40">
        <v>8601.0</v>
      </c>
      <c r="E852" s="38" t="s">
        <v>3197</v>
      </c>
      <c r="F852" s="38" t="s">
        <v>3198</v>
      </c>
      <c r="G852" s="4" t="s">
        <v>3199</v>
      </c>
      <c r="H852" s="4" t="s">
        <v>3200</v>
      </c>
      <c r="I852" s="41" t="s">
        <v>8</v>
      </c>
      <c r="J852" s="41" t="s">
        <v>2061</v>
      </c>
      <c r="K852" s="41" t="s">
        <v>25</v>
      </c>
      <c r="L852" s="41" t="s">
        <v>26</v>
      </c>
      <c r="M852" s="41" t="s">
        <v>27</v>
      </c>
      <c r="N852" s="41" t="s">
        <v>2930</v>
      </c>
      <c r="O852" s="35" t="str">
        <f t="shared" si="2"/>
        <v>https://monitoramento.pm.pr.gov.br/proxy_image_8/Interface/Cameras/GetJPEGStream?Camera=Tv. Parana x Cristo Rei&amp;AuthUser=siscop&amp;AuthPass=Siscop1234&amp;Width=1024&amp;Height=768&amp;Quality=70&amp;FPS=10&amp;ResponseFormat=Text</v>
      </c>
      <c r="P852" s="42">
        <v>1.0</v>
      </c>
    </row>
    <row r="853">
      <c r="A853" s="39" t="s">
        <v>2929</v>
      </c>
      <c r="B853" s="39" t="s">
        <v>2930</v>
      </c>
      <c r="C853" s="13" t="s">
        <v>3201</v>
      </c>
      <c r="D853" s="40">
        <v>8601.0</v>
      </c>
      <c r="E853" s="38" t="s">
        <v>3202</v>
      </c>
      <c r="F853" s="38" t="s">
        <v>3203</v>
      </c>
      <c r="G853" s="4" t="s">
        <v>3204</v>
      </c>
      <c r="H853" s="4" t="s">
        <v>3205</v>
      </c>
      <c r="I853" s="41" t="s">
        <v>8</v>
      </c>
      <c r="J853" s="41" t="s">
        <v>2061</v>
      </c>
      <c r="K853" s="41" t="s">
        <v>25</v>
      </c>
      <c r="L853" s="41" t="s">
        <v>26</v>
      </c>
      <c r="M853" s="41" t="s">
        <v>27</v>
      </c>
      <c r="N853" s="41" t="s">
        <v>2930</v>
      </c>
      <c r="O853" s="35" t="str">
        <f t="shared" si="2"/>
        <v>https://monitoramento.pm.pr.gov.br/proxy_image_8/Interface/Cameras/GetJPEGStream?Camera=UBS - Caludete 02&amp;AuthUser=siscop&amp;AuthPass=Siscop1234&amp;Width=1024&amp;Height=768&amp;Quality=70&amp;FPS=10&amp;ResponseFormat=Text</v>
      </c>
      <c r="P853" s="42">
        <v>1.0</v>
      </c>
    </row>
    <row r="854">
      <c r="A854" s="39" t="s">
        <v>2929</v>
      </c>
      <c r="B854" s="39" t="s">
        <v>2930</v>
      </c>
      <c r="C854" s="13" t="s">
        <v>3206</v>
      </c>
      <c r="D854" s="40">
        <v>8601.0</v>
      </c>
      <c r="E854" s="38" t="s">
        <v>3207</v>
      </c>
      <c r="F854" s="38" t="s">
        <v>3208</v>
      </c>
      <c r="G854" s="4" t="s">
        <v>3204</v>
      </c>
      <c r="H854" s="4" t="s">
        <v>3205</v>
      </c>
      <c r="I854" s="41" t="s">
        <v>8</v>
      </c>
      <c r="J854" s="41" t="s">
        <v>2061</v>
      </c>
      <c r="K854" s="41" t="s">
        <v>25</v>
      </c>
      <c r="L854" s="41" t="s">
        <v>26</v>
      </c>
      <c r="M854" s="41" t="s">
        <v>27</v>
      </c>
      <c r="N854" s="41" t="s">
        <v>2930</v>
      </c>
      <c r="O854" s="35" t="str">
        <f t="shared" si="2"/>
        <v>https://monitoramento.pm.pr.gov.br/proxy_image_8/Interface/Cameras/GetJPEGStream?Camera=UBS - Caludete 04&amp;AuthUser=siscop&amp;AuthPass=Siscop1234&amp;Width=1024&amp;Height=768&amp;Quality=70&amp;FPS=10&amp;ResponseFormat=Text</v>
      </c>
      <c r="P854" s="42">
        <v>1.0</v>
      </c>
    </row>
    <row r="855">
      <c r="A855" s="39" t="s">
        <v>2929</v>
      </c>
      <c r="B855" s="39" t="s">
        <v>2930</v>
      </c>
      <c r="C855" s="13" t="s">
        <v>3209</v>
      </c>
      <c r="D855" s="40">
        <v>8601.0</v>
      </c>
      <c r="E855" s="38" t="s">
        <v>3210</v>
      </c>
      <c r="F855" s="38" t="s">
        <v>3211</v>
      </c>
      <c r="G855" s="4" t="s">
        <v>3212</v>
      </c>
      <c r="H855" s="4" t="s">
        <v>3213</v>
      </c>
      <c r="I855" s="41" t="s">
        <v>8</v>
      </c>
      <c r="J855" s="41" t="s">
        <v>2061</v>
      </c>
      <c r="K855" s="41" t="s">
        <v>25</v>
      </c>
      <c r="L855" s="41" t="s">
        <v>26</v>
      </c>
      <c r="M855" s="41" t="s">
        <v>27</v>
      </c>
      <c r="N855" s="41" t="s">
        <v>2930</v>
      </c>
      <c r="O855" s="35" t="str">
        <f t="shared" si="2"/>
        <v>https://monitoramento.pm.pr.gov.br/proxy_image_8/Interface/Cameras/GetJPEGStream?Camera=UBS - Cancelli 03&amp;AuthUser=siscop&amp;AuthPass=Siscop1234&amp;Width=1024&amp;Height=768&amp;Quality=70&amp;FPS=10&amp;ResponseFormat=Text</v>
      </c>
      <c r="P855" s="42">
        <v>1.0</v>
      </c>
    </row>
    <row r="856">
      <c r="A856" s="39" t="s">
        <v>2929</v>
      </c>
      <c r="B856" s="39" t="s">
        <v>2930</v>
      </c>
      <c r="C856" s="13" t="s">
        <v>3214</v>
      </c>
      <c r="D856" s="40">
        <v>8601.0</v>
      </c>
      <c r="E856" s="38" t="s">
        <v>3215</v>
      </c>
      <c r="F856" s="38" t="s">
        <v>3216</v>
      </c>
      <c r="G856" s="4" t="s">
        <v>3212</v>
      </c>
      <c r="H856" s="4" t="s">
        <v>3213</v>
      </c>
      <c r="I856" s="41" t="s">
        <v>8</v>
      </c>
      <c r="J856" s="41" t="s">
        <v>2061</v>
      </c>
      <c r="K856" s="41" t="s">
        <v>25</v>
      </c>
      <c r="L856" s="41" t="s">
        <v>26</v>
      </c>
      <c r="M856" s="41" t="s">
        <v>27</v>
      </c>
      <c r="N856" s="41" t="s">
        <v>2930</v>
      </c>
      <c r="O856" s="35" t="str">
        <f t="shared" si="2"/>
        <v>https://monitoramento.pm.pr.gov.br/proxy_image_8/Interface/Cameras/GetJPEGStream?Camera=UBS - Cancelli 05&amp;AuthUser=siscop&amp;AuthPass=Siscop1234&amp;Width=1024&amp;Height=768&amp;Quality=70&amp;FPS=10&amp;ResponseFormat=Text</v>
      </c>
      <c r="P856" s="42">
        <v>1.0</v>
      </c>
    </row>
    <row r="857">
      <c r="A857" s="39" t="s">
        <v>2929</v>
      </c>
      <c r="B857" s="39" t="s">
        <v>2930</v>
      </c>
      <c r="C857" s="13" t="s">
        <v>3217</v>
      </c>
      <c r="D857" s="40">
        <v>8601.0</v>
      </c>
      <c r="E857" s="38" t="s">
        <v>3218</v>
      </c>
      <c r="F857" s="38" t="s">
        <v>3219</v>
      </c>
      <c r="G857" s="4" t="s">
        <v>3220</v>
      </c>
      <c r="H857" s="4" t="s">
        <v>3221</v>
      </c>
      <c r="I857" s="41" t="s">
        <v>8</v>
      </c>
      <c r="J857" s="41" t="s">
        <v>2061</v>
      </c>
      <c r="K857" s="41" t="s">
        <v>25</v>
      </c>
      <c r="L857" s="41" t="s">
        <v>26</v>
      </c>
      <c r="M857" s="41" t="s">
        <v>27</v>
      </c>
      <c r="N857" s="41" t="s">
        <v>2930</v>
      </c>
      <c r="O857" s="35" t="str">
        <f t="shared" si="2"/>
        <v>https://monitoramento.pm.pr.gov.br/proxy_image_8/Interface/Cameras/GetJPEGStream?Camera=UPA - Brasilia 07&amp;AuthUser=siscop&amp;AuthPass=Siscop1234&amp;Width=1024&amp;Height=768&amp;Quality=70&amp;FPS=10&amp;ResponseFormat=Text</v>
      </c>
      <c r="P857" s="42">
        <v>1.0</v>
      </c>
    </row>
    <row r="858">
      <c r="A858" s="39" t="s">
        <v>2929</v>
      </c>
      <c r="B858" s="39" t="s">
        <v>2930</v>
      </c>
      <c r="C858" s="13" t="s">
        <v>3222</v>
      </c>
      <c r="D858" s="40">
        <v>8601.0</v>
      </c>
      <c r="E858" s="38" t="s">
        <v>3223</v>
      </c>
      <c r="F858" s="38" t="s">
        <v>3224</v>
      </c>
      <c r="G858" s="4" t="s">
        <v>3220</v>
      </c>
      <c r="H858" s="4" t="s">
        <v>3221</v>
      </c>
      <c r="I858" s="41" t="s">
        <v>8</v>
      </c>
      <c r="J858" s="41" t="s">
        <v>2061</v>
      </c>
      <c r="K858" s="41" t="s">
        <v>25</v>
      </c>
      <c r="L858" s="41" t="s">
        <v>26</v>
      </c>
      <c r="M858" s="41" t="s">
        <v>27</v>
      </c>
      <c r="N858" s="41" t="s">
        <v>2930</v>
      </c>
      <c r="O858" s="35" t="str">
        <f t="shared" si="2"/>
        <v>https://monitoramento.pm.pr.gov.br/proxy_image_8/Interface/Cameras/GetJPEGStream?Camera=UPA - Brasilia 14&amp;AuthUser=siscop&amp;AuthPass=Siscop1234&amp;Width=1024&amp;Height=768&amp;Quality=70&amp;FPS=10&amp;ResponseFormat=Text</v>
      </c>
      <c r="P858" s="42">
        <v>1.0</v>
      </c>
    </row>
    <row r="859">
      <c r="A859" s="39" t="s">
        <v>2929</v>
      </c>
      <c r="B859" s="39" t="s">
        <v>2930</v>
      </c>
      <c r="C859" s="13" t="s">
        <v>3225</v>
      </c>
      <c r="D859" s="40">
        <v>8601.0</v>
      </c>
      <c r="E859" s="38" t="s">
        <v>3226</v>
      </c>
      <c r="F859" s="38" t="s">
        <v>3227</v>
      </c>
      <c r="G859" s="4" t="s">
        <v>3220</v>
      </c>
      <c r="H859" s="4" t="s">
        <v>3221</v>
      </c>
      <c r="I859" s="41" t="s">
        <v>8</v>
      </c>
      <c r="J859" s="41" t="s">
        <v>2061</v>
      </c>
      <c r="K859" s="41" t="s">
        <v>25</v>
      </c>
      <c r="L859" s="41" t="s">
        <v>26</v>
      </c>
      <c r="M859" s="41" t="s">
        <v>27</v>
      </c>
      <c r="N859" s="41" t="s">
        <v>2930</v>
      </c>
      <c r="O859" s="35" t="str">
        <f t="shared" si="2"/>
        <v>https://monitoramento.pm.pr.gov.br/proxy_image_8/Interface/Cameras/GetJPEGStream?Camera=UPA - Brasilia 16&amp;AuthUser=siscop&amp;AuthPass=Siscop1234&amp;Width=1024&amp;Height=768&amp;Quality=70&amp;FPS=10&amp;ResponseFormat=Text</v>
      </c>
      <c r="P859" s="42">
        <v>1.0</v>
      </c>
    </row>
    <row r="860">
      <c r="A860" s="39" t="s">
        <v>2929</v>
      </c>
      <c r="B860" s="39" t="s">
        <v>2930</v>
      </c>
      <c r="C860" s="13" t="s">
        <v>3228</v>
      </c>
      <c r="D860" s="40">
        <v>8601.0</v>
      </c>
      <c r="E860" s="38" t="s">
        <v>3229</v>
      </c>
      <c r="F860" s="38" t="s">
        <v>3230</v>
      </c>
      <c r="G860" s="4" t="s">
        <v>3231</v>
      </c>
      <c r="H860" s="4" t="s">
        <v>3232</v>
      </c>
      <c r="I860" s="41" t="s">
        <v>8</v>
      </c>
      <c r="J860" s="41" t="s">
        <v>2061</v>
      </c>
      <c r="K860" s="41" t="s">
        <v>25</v>
      </c>
      <c r="L860" s="41" t="s">
        <v>26</v>
      </c>
      <c r="M860" s="41" t="s">
        <v>27</v>
      </c>
      <c r="N860" s="41" t="s">
        <v>2930</v>
      </c>
      <c r="O860" s="35" t="str">
        <f t="shared" si="2"/>
        <v>https://monitoramento.pm.pr.gov.br/proxy_image_8/Interface/Cameras/GetJPEGStream?Camera=UPA - Pediatria&amp;AuthUser=siscop&amp;AuthPass=Siscop1234&amp;Width=1024&amp;Height=768&amp;Quality=70&amp;FPS=10&amp;ResponseFormat=Text</v>
      </c>
      <c r="P860" s="42">
        <v>1.0</v>
      </c>
    </row>
    <row r="861">
      <c r="A861" s="39" t="s">
        <v>2929</v>
      </c>
      <c r="B861" s="39" t="s">
        <v>2930</v>
      </c>
      <c r="C861" s="13" t="s">
        <v>3233</v>
      </c>
      <c r="D861" s="40">
        <v>8601.0</v>
      </c>
      <c r="E861" s="38" t="s">
        <v>3234</v>
      </c>
      <c r="F861" s="38" t="s">
        <v>3235</v>
      </c>
      <c r="G861" s="4" t="s">
        <v>3236</v>
      </c>
      <c r="H861" s="4" t="s">
        <v>3237</v>
      </c>
      <c r="I861" s="41" t="s">
        <v>8</v>
      </c>
      <c r="J861" s="41" t="s">
        <v>2061</v>
      </c>
      <c r="K861" s="41" t="s">
        <v>25</v>
      </c>
      <c r="L861" s="41" t="s">
        <v>26</v>
      </c>
      <c r="M861" s="41" t="s">
        <v>27</v>
      </c>
      <c r="N861" s="41" t="s">
        <v>2930</v>
      </c>
      <c r="O861" s="35" t="str">
        <f t="shared" si="2"/>
        <v>https://monitoramento.pm.pr.gov.br/proxy_image_8/Interface/Cameras/GetJPEGStream?Camera=UPA - Tancredo 11&amp;AuthUser=siscop&amp;AuthPass=Siscop1234&amp;Width=1024&amp;Height=768&amp;Quality=70&amp;FPS=10&amp;ResponseFormat=Text</v>
      </c>
      <c r="P861" s="42">
        <v>1.0</v>
      </c>
    </row>
    <row r="862">
      <c r="A862" s="39" t="s">
        <v>2929</v>
      </c>
      <c r="B862" s="39" t="s">
        <v>2930</v>
      </c>
      <c r="C862" s="13" t="s">
        <v>3238</v>
      </c>
      <c r="D862" s="40">
        <v>8601.0</v>
      </c>
      <c r="E862" s="38" t="s">
        <v>3239</v>
      </c>
      <c r="F862" s="38" t="s">
        <v>3240</v>
      </c>
      <c r="G862" s="4" t="s">
        <v>3236</v>
      </c>
      <c r="H862" s="4" t="s">
        <v>3237</v>
      </c>
      <c r="I862" s="41" t="s">
        <v>8</v>
      </c>
      <c r="J862" s="41" t="s">
        <v>2061</v>
      </c>
      <c r="K862" s="41" t="s">
        <v>25</v>
      </c>
      <c r="L862" s="41" t="s">
        <v>26</v>
      </c>
      <c r="M862" s="41" t="s">
        <v>27</v>
      </c>
      <c r="N862" s="41" t="s">
        <v>2930</v>
      </c>
      <c r="O862" s="35" t="str">
        <f t="shared" si="2"/>
        <v>https://monitoramento.pm.pr.gov.br/proxy_image_8/Interface/Cameras/GetJPEGStream?Camera=UPA - Tancredo 13&amp;AuthUser=siscop&amp;AuthPass=Siscop1234&amp;Width=1024&amp;Height=768&amp;Quality=70&amp;FPS=10&amp;ResponseFormat=Text</v>
      </c>
      <c r="P862" s="42">
        <v>1.0</v>
      </c>
    </row>
    <row r="863">
      <c r="A863" s="39" t="s">
        <v>2929</v>
      </c>
      <c r="B863" s="39" t="s">
        <v>2930</v>
      </c>
      <c r="C863" s="13" t="s">
        <v>3241</v>
      </c>
      <c r="D863" s="40">
        <v>8601.0</v>
      </c>
      <c r="E863" s="38" t="s">
        <v>3242</v>
      </c>
      <c r="F863" s="38" t="s">
        <v>3243</v>
      </c>
      <c r="G863" s="4" t="s">
        <v>3244</v>
      </c>
      <c r="H863" s="4" t="s">
        <v>3245</v>
      </c>
      <c r="I863" s="41" t="s">
        <v>8</v>
      </c>
      <c r="J863" s="41" t="s">
        <v>2061</v>
      </c>
      <c r="K863" s="41" t="s">
        <v>25</v>
      </c>
      <c r="L863" s="41" t="s">
        <v>26</v>
      </c>
      <c r="M863" s="41" t="s">
        <v>27</v>
      </c>
      <c r="N863" s="41" t="s">
        <v>2930</v>
      </c>
      <c r="O863" s="35" t="str">
        <f t="shared" si="2"/>
        <v>https://monitoramento.pm.pr.gov.br/proxy_image_8/Interface/Cameras/GetJPEGStream?Camera=UPA - Veneza&amp;AuthUser=siscop&amp;AuthPass=Siscop1234&amp;Width=1024&amp;Height=768&amp;Quality=70&amp;FPS=10&amp;ResponseFormat=Text</v>
      </c>
      <c r="P863" s="42">
        <v>1.0</v>
      </c>
    </row>
    <row r="864">
      <c r="A864" s="39" t="s">
        <v>2929</v>
      </c>
      <c r="B864" s="39" t="s">
        <v>2930</v>
      </c>
      <c r="C864" s="13" t="s">
        <v>3246</v>
      </c>
      <c r="D864" s="40">
        <v>8601.0</v>
      </c>
      <c r="E864" s="38" t="s">
        <v>3247</v>
      </c>
      <c r="F864" s="38" t="s">
        <v>3248</v>
      </c>
      <c r="G864" s="4" t="s">
        <v>3249</v>
      </c>
      <c r="H864" s="4" t="s">
        <v>3250</v>
      </c>
      <c r="I864" s="41" t="s">
        <v>8</v>
      </c>
      <c r="J864" s="41" t="s">
        <v>2061</v>
      </c>
      <c r="K864" s="41" t="s">
        <v>25</v>
      </c>
      <c r="L864" s="41" t="s">
        <v>26</v>
      </c>
      <c r="M864" s="41" t="s">
        <v>27</v>
      </c>
      <c r="N864" s="41" t="s">
        <v>2930</v>
      </c>
      <c r="O864" s="35" t="str">
        <f t="shared" si="2"/>
        <v>https://monitoramento.pm.pr.gov.br/proxy_image_8/Interface/Cameras/GetJPEGStream?Camera=USF - Cataratas 01&amp;AuthUser=siscop&amp;AuthPass=Siscop1234&amp;Width=1024&amp;Height=768&amp;Quality=70&amp;FPS=10&amp;ResponseFormat=Text</v>
      </c>
      <c r="P864" s="42">
        <v>1.0</v>
      </c>
    </row>
    <row r="865">
      <c r="A865" s="39" t="s">
        <v>2929</v>
      </c>
      <c r="B865" s="39" t="s">
        <v>2930</v>
      </c>
      <c r="C865" s="13" t="s">
        <v>3251</v>
      </c>
      <c r="D865" s="40">
        <v>8601.0</v>
      </c>
      <c r="E865" s="38" t="s">
        <v>3252</v>
      </c>
      <c r="F865" s="38" t="s">
        <v>3253</v>
      </c>
      <c r="G865" s="4" t="s">
        <v>3254</v>
      </c>
      <c r="H865" s="4" t="s">
        <v>3255</v>
      </c>
      <c r="I865" s="41" t="s">
        <v>8</v>
      </c>
      <c r="J865" s="41" t="s">
        <v>2061</v>
      </c>
      <c r="K865" s="41" t="s">
        <v>25</v>
      </c>
      <c r="L865" s="41" t="s">
        <v>26</v>
      </c>
      <c r="M865" s="41" t="s">
        <v>27</v>
      </c>
      <c r="N865" s="41" t="s">
        <v>2930</v>
      </c>
      <c r="O865" s="35" t="str">
        <f t="shared" si="2"/>
        <v>https://monitoramento.pm.pr.gov.br/proxy_image_8/Interface/Cameras/GetJPEGStream?Camera=USF - Cidade Verde 01&amp;AuthUser=siscop&amp;AuthPass=Siscop1234&amp;Width=1024&amp;Height=768&amp;Quality=70&amp;FPS=10&amp;ResponseFormat=Text</v>
      </c>
      <c r="P865" s="42">
        <v>1.0</v>
      </c>
    </row>
    <row r="866">
      <c r="A866" s="39" t="s">
        <v>2929</v>
      </c>
      <c r="B866" s="39" t="s">
        <v>2930</v>
      </c>
      <c r="C866" s="13" t="s">
        <v>3256</v>
      </c>
      <c r="D866" s="40">
        <v>8601.0</v>
      </c>
      <c r="E866" s="38" t="s">
        <v>3257</v>
      </c>
      <c r="F866" s="38" t="s">
        <v>3258</v>
      </c>
      <c r="G866" s="4" t="s">
        <v>3254</v>
      </c>
      <c r="H866" s="4" t="s">
        <v>3255</v>
      </c>
      <c r="I866" s="41" t="s">
        <v>8</v>
      </c>
      <c r="J866" s="41" t="s">
        <v>2061</v>
      </c>
      <c r="K866" s="41" t="s">
        <v>25</v>
      </c>
      <c r="L866" s="41" t="s">
        <v>26</v>
      </c>
      <c r="M866" s="41" t="s">
        <v>27</v>
      </c>
      <c r="N866" s="41" t="s">
        <v>2930</v>
      </c>
      <c r="O866" s="35" t="str">
        <f t="shared" si="2"/>
        <v>https://monitoramento.pm.pr.gov.br/proxy_image_8/Interface/Cameras/GetJPEGStream?Camera=USF - Cidade Verde 09&amp;AuthUser=siscop&amp;AuthPass=Siscop1234&amp;Width=1024&amp;Height=768&amp;Quality=70&amp;FPS=10&amp;ResponseFormat=Text</v>
      </c>
      <c r="P866" s="42">
        <v>1.0</v>
      </c>
    </row>
    <row r="867">
      <c r="A867" s="39" t="s">
        <v>2929</v>
      </c>
      <c r="B867" s="39" t="s">
        <v>2930</v>
      </c>
      <c r="C867" s="13" t="s">
        <v>3259</v>
      </c>
      <c r="D867" s="40">
        <v>8601.0</v>
      </c>
      <c r="E867" s="38" t="s">
        <v>3260</v>
      </c>
      <c r="F867" s="38" t="s">
        <v>3261</v>
      </c>
      <c r="G867" s="4" t="s">
        <v>3262</v>
      </c>
      <c r="H867" s="4" t="s">
        <v>3263</v>
      </c>
      <c r="I867" s="41" t="s">
        <v>8</v>
      </c>
      <c r="J867" s="41" t="s">
        <v>2061</v>
      </c>
      <c r="K867" s="41" t="s">
        <v>25</v>
      </c>
      <c r="L867" s="41" t="s">
        <v>26</v>
      </c>
      <c r="M867" s="41" t="s">
        <v>27</v>
      </c>
      <c r="N867" s="41" t="s">
        <v>2930</v>
      </c>
      <c r="O867" s="35" t="str">
        <f t="shared" si="2"/>
        <v>https://monitoramento.pm.pr.gov.br/proxy_image_8/Interface/Cameras/GetJPEGStream?Camera=USF - Guaruja 03&amp;AuthUser=siscop&amp;AuthPass=Siscop1234&amp;Width=1024&amp;Height=768&amp;Quality=70&amp;FPS=10&amp;ResponseFormat=Text</v>
      </c>
      <c r="P867" s="42">
        <v>1.0</v>
      </c>
    </row>
    <row r="868">
      <c r="A868" s="39" t="s">
        <v>2929</v>
      </c>
      <c r="B868" s="39" t="s">
        <v>2930</v>
      </c>
      <c r="C868" s="13" t="s">
        <v>3264</v>
      </c>
      <c r="D868" s="40">
        <v>8601.0</v>
      </c>
      <c r="E868" s="38" t="s">
        <v>3265</v>
      </c>
      <c r="F868" s="38" t="s">
        <v>3261</v>
      </c>
      <c r="G868" s="4" t="s">
        <v>3262</v>
      </c>
      <c r="H868" s="4" t="s">
        <v>3263</v>
      </c>
      <c r="I868" s="41" t="s">
        <v>8</v>
      </c>
      <c r="J868" s="41" t="s">
        <v>2061</v>
      </c>
      <c r="K868" s="41" t="s">
        <v>25</v>
      </c>
      <c r="L868" s="41" t="s">
        <v>26</v>
      </c>
      <c r="M868" s="41" t="s">
        <v>27</v>
      </c>
      <c r="N868" s="41" t="s">
        <v>2930</v>
      </c>
      <c r="O868" s="35" t="str">
        <f t="shared" si="2"/>
        <v>https://monitoramento.pm.pr.gov.br/proxy_image_8/Interface/Cameras/GetJPEGStream?Camera=USF - Guaruja 05&amp;AuthUser=siscop&amp;AuthPass=Siscop1234&amp;Width=1024&amp;Height=768&amp;Quality=70&amp;FPS=10&amp;ResponseFormat=Text</v>
      </c>
      <c r="P868" s="42">
        <v>1.0</v>
      </c>
    </row>
    <row r="869">
      <c r="A869" s="39" t="s">
        <v>2929</v>
      </c>
      <c r="B869" s="39" t="s">
        <v>2930</v>
      </c>
      <c r="C869" s="13" t="s">
        <v>3266</v>
      </c>
      <c r="D869" s="40">
        <v>8601.0</v>
      </c>
      <c r="E869" s="38" t="s">
        <v>3267</v>
      </c>
      <c r="F869" s="38" t="s">
        <v>3268</v>
      </c>
      <c r="G869" s="4" t="s">
        <v>3269</v>
      </c>
      <c r="H869" s="4" t="s">
        <v>3270</v>
      </c>
      <c r="I869" s="41" t="s">
        <v>8</v>
      </c>
      <c r="J869" s="41" t="s">
        <v>2061</v>
      </c>
      <c r="K869" s="41" t="s">
        <v>25</v>
      </c>
      <c r="L869" s="41" t="s">
        <v>26</v>
      </c>
      <c r="M869" s="41" t="s">
        <v>27</v>
      </c>
      <c r="N869" s="41" t="s">
        <v>2930</v>
      </c>
      <c r="O869" s="35" t="str">
        <f t="shared" si="2"/>
        <v>https://monitoramento.pm.pr.gov.br/proxy_image_8/Interface/Cameras/GetJPEGStream?Camera=USF - Morumbi 01&amp;AuthUser=siscop&amp;AuthPass=Siscop1234&amp;Width=1024&amp;Height=768&amp;Quality=70&amp;FPS=10&amp;ResponseFormat=Text</v>
      </c>
      <c r="P869" s="42">
        <v>1.0</v>
      </c>
    </row>
    <row r="870">
      <c r="A870" s="39" t="s">
        <v>2929</v>
      </c>
      <c r="B870" s="39" t="s">
        <v>2930</v>
      </c>
      <c r="C870" s="13" t="s">
        <v>3271</v>
      </c>
      <c r="D870" s="40">
        <v>8601.0</v>
      </c>
      <c r="E870" s="38" t="s">
        <v>3272</v>
      </c>
      <c r="F870" s="38" t="s">
        <v>3273</v>
      </c>
      <c r="G870" s="4" t="s">
        <v>3269</v>
      </c>
      <c r="H870" s="4" t="s">
        <v>3270</v>
      </c>
      <c r="I870" s="41" t="s">
        <v>8</v>
      </c>
      <c r="J870" s="41" t="s">
        <v>2061</v>
      </c>
      <c r="K870" s="41" t="s">
        <v>25</v>
      </c>
      <c r="L870" s="41" t="s">
        <v>26</v>
      </c>
      <c r="M870" s="41" t="s">
        <v>27</v>
      </c>
      <c r="N870" s="41" t="s">
        <v>2930</v>
      </c>
      <c r="O870" s="35" t="str">
        <f t="shared" si="2"/>
        <v>https://monitoramento.pm.pr.gov.br/proxy_image_8/Interface/Cameras/GetJPEGStream?Camera=USF - Morumbi 02&amp;AuthUser=siscop&amp;AuthPass=Siscop1234&amp;Width=1024&amp;Height=768&amp;Quality=70&amp;FPS=10&amp;ResponseFormat=Text</v>
      </c>
      <c r="P870" s="42">
        <v>1.0</v>
      </c>
    </row>
    <row r="871">
      <c r="A871" s="39" t="s">
        <v>2929</v>
      </c>
      <c r="B871" s="39" t="s">
        <v>2930</v>
      </c>
      <c r="C871" s="13" t="s">
        <v>3274</v>
      </c>
      <c r="D871" s="40">
        <v>8601.0</v>
      </c>
      <c r="E871" s="38" t="s">
        <v>3275</v>
      </c>
      <c r="F871" s="38" t="s">
        <v>3276</v>
      </c>
      <c r="G871" s="4" t="s">
        <v>3277</v>
      </c>
      <c r="H871" s="4" t="s">
        <v>3278</v>
      </c>
      <c r="I871" s="41" t="s">
        <v>8</v>
      </c>
      <c r="J871" s="41" t="s">
        <v>2061</v>
      </c>
      <c r="K871" s="41" t="s">
        <v>25</v>
      </c>
      <c r="L871" s="41" t="s">
        <v>26</v>
      </c>
      <c r="M871" s="41" t="s">
        <v>27</v>
      </c>
      <c r="N871" s="41" t="s">
        <v>2930</v>
      </c>
      <c r="O871" s="35" t="str">
        <f t="shared" si="2"/>
        <v>https://monitoramento.pm.pr.gov.br/proxy_image_8/Interface/Cameras/GetJPEGStream?Camera=USF - Rio do Salto 08&amp;AuthUser=siscop&amp;AuthPass=Siscop1234&amp;Width=1024&amp;Height=768&amp;Quality=70&amp;FPS=10&amp;ResponseFormat=Text</v>
      </c>
      <c r="P871" s="42">
        <v>1.0</v>
      </c>
    </row>
    <row r="872">
      <c r="A872" s="39" t="s">
        <v>2929</v>
      </c>
      <c r="B872" s="39" t="s">
        <v>2930</v>
      </c>
      <c r="C872" s="13" t="s">
        <v>3279</v>
      </c>
      <c r="D872" s="40">
        <v>8601.0</v>
      </c>
      <c r="E872" s="38" t="s">
        <v>3280</v>
      </c>
      <c r="F872" s="38" t="s">
        <v>3281</v>
      </c>
      <c r="G872" s="4" t="s">
        <v>3277</v>
      </c>
      <c r="H872" s="4" t="s">
        <v>3278</v>
      </c>
      <c r="I872" s="41" t="s">
        <v>8</v>
      </c>
      <c r="J872" s="41" t="s">
        <v>2061</v>
      </c>
      <c r="K872" s="41" t="s">
        <v>25</v>
      </c>
      <c r="L872" s="41" t="s">
        <v>26</v>
      </c>
      <c r="M872" s="41" t="s">
        <v>27</v>
      </c>
      <c r="N872" s="41" t="s">
        <v>2930</v>
      </c>
      <c r="O872" s="35" t="str">
        <f t="shared" si="2"/>
        <v>https://monitoramento.pm.pr.gov.br/proxy_image_8/Interface/Cameras/GetJPEGStream?Camera=USF - Rio do Salto 09&amp;AuthUser=siscop&amp;AuthPass=Siscop1234&amp;Width=1024&amp;Height=768&amp;Quality=70&amp;FPS=10&amp;ResponseFormat=Text</v>
      </c>
      <c r="P872" s="42">
        <v>1.0</v>
      </c>
    </row>
    <row r="873">
      <c r="A873" s="39" t="s">
        <v>2929</v>
      </c>
      <c r="B873" s="39" t="s">
        <v>2930</v>
      </c>
      <c r="C873" s="13" t="s">
        <v>3282</v>
      </c>
      <c r="D873" s="40">
        <v>8601.0</v>
      </c>
      <c r="E873" s="38" t="s">
        <v>3283</v>
      </c>
      <c r="F873" s="38" t="s">
        <v>3284</v>
      </c>
      <c r="G873" s="4" t="s">
        <v>3285</v>
      </c>
      <c r="H873" s="4" t="s">
        <v>3286</v>
      </c>
      <c r="I873" s="41" t="s">
        <v>8</v>
      </c>
      <c r="J873" s="41" t="s">
        <v>2061</v>
      </c>
      <c r="K873" s="41" t="s">
        <v>25</v>
      </c>
      <c r="L873" s="41" t="s">
        <v>26</v>
      </c>
      <c r="M873" s="41" t="s">
        <v>27</v>
      </c>
      <c r="N873" s="41" t="s">
        <v>2930</v>
      </c>
      <c r="O873" s="35" t="str">
        <f t="shared" si="2"/>
        <v>https://monitoramento.pm.pr.gov.br/proxy_image_8/Interface/Cameras/GetJPEGStream?Camera=USF - Sanga Funda 01&amp;AuthUser=siscop&amp;AuthPass=Siscop1234&amp;Width=1024&amp;Height=768&amp;Quality=70&amp;FPS=10&amp;ResponseFormat=Text</v>
      </c>
      <c r="P873" s="42">
        <v>1.0</v>
      </c>
    </row>
    <row r="874">
      <c r="A874" s="39" t="s">
        <v>2929</v>
      </c>
      <c r="B874" s="39" t="s">
        <v>2930</v>
      </c>
      <c r="C874" s="13" t="s">
        <v>3287</v>
      </c>
      <c r="D874" s="40">
        <v>8601.0</v>
      </c>
      <c r="E874" s="38" t="s">
        <v>3288</v>
      </c>
      <c r="F874" s="38" t="s">
        <v>3289</v>
      </c>
      <c r="G874" s="4" t="s">
        <v>3285</v>
      </c>
      <c r="H874" s="4" t="s">
        <v>3286</v>
      </c>
      <c r="I874" s="41" t="s">
        <v>8</v>
      </c>
      <c r="J874" s="41" t="s">
        <v>2061</v>
      </c>
      <c r="K874" s="41" t="s">
        <v>25</v>
      </c>
      <c r="L874" s="41" t="s">
        <v>26</v>
      </c>
      <c r="M874" s="41" t="s">
        <v>27</v>
      </c>
      <c r="N874" s="41" t="s">
        <v>2930</v>
      </c>
      <c r="O874" s="35" t="str">
        <f t="shared" si="2"/>
        <v>https://monitoramento.pm.pr.gov.br/proxy_image_8/Interface/Cameras/GetJPEGStream?Camera=USF - Sanga Funda 09&amp;AuthUser=siscop&amp;AuthPass=Siscop1234&amp;Width=1024&amp;Height=768&amp;Quality=70&amp;FPS=10&amp;ResponseFormat=Text</v>
      </c>
      <c r="P874" s="42">
        <v>1.0</v>
      </c>
    </row>
    <row r="875">
      <c r="A875" s="39" t="s">
        <v>2929</v>
      </c>
      <c r="B875" s="39" t="s">
        <v>2930</v>
      </c>
      <c r="C875" s="13" t="s">
        <v>3290</v>
      </c>
      <c r="D875" s="40">
        <v>8601.0</v>
      </c>
      <c r="E875" s="38" t="s">
        <v>3291</v>
      </c>
      <c r="F875" s="38" t="s">
        <v>3289</v>
      </c>
      <c r="G875" s="4" t="s">
        <v>3285</v>
      </c>
      <c r="H875" s="4" t="s">
        <v>3286</v>
      </c>
      <c r="I875" s="41" t="s">
        <v>8</v>
      </c>
      <c r="J875" s="41" t="s">
        <v>2061</v>
      </c>
      <c r="K875" s="41" t="s">
        <v>25</v>
      </c>
      <c r="L875" s="41" t="s">
        <v>26</v>
      </c>
      <c r="M875" s="41" t="s">
        <v>27</v>
      </c>
      <c r="N875" s="41" t="s">
        <v>2930</v>
      </c>
      <c r="O875" s="35" t="str">
        <f t="shared" si="2"/>
        <v>https://monitoramento.pm.pr.gov.br/proxy_image_8/Interface/Cameras/GetJPEGStream?Camera=USF - Sanga Funda 10&amp;AuthUser=siscop&amp;AuthPass=Siscop1234&amp;Width=1024&amp;Height=768&amp;Quality=70&amp;FPS=10&amp;ResponseFormat=Text</v>
      </c>
      <c r="P875" s="42">
        <v>1.0</v>
      </c>
    </row>
    <row r="876">
      <c r="A876" s="39" t="s">
        <v>2929</v>
      </c>
      <c r="B876" s="39" t="s">
        <v>2930</v>
      </c>
      <c r="C876" s="13" t="s">
        <v>3292</v>
      </c>
      <c r="D876" s="40">
        <v>8601.0</v>
      </c>
      <c r="E876" s="38" t="s">
        <v>3293</v>
      </c>
      <c r="F876" s="38" t="s">
        <v>3294</v>
      </c>
      <c r="G876" s="4" t="s">
        <v>3295</v>
      </c>
      <c r="H876" s="4" t="s">
        <v>3296</v>
      </c>
      <c r="I876" s="41" t="s">
        <v>8</v>
      </c>
      <c r="J876" s="41" t="s">
        <v>2061</v>
      </c>
      <c r="K876" s="41" t="s">
        <v>25</v>
      </c>
      <c r="L876" s="41" t="s">
        <v>26</v>
      </c>
      <c r="M876" s="41" t="s">
        <v>27</v>
      </c>
      <c r="N876" s="41" t="s">
        <v>2930</v>
      </c>
      <c r="O876" s="35" t="str">
        <f t="shared" si="2"/>
        <v>https://monitoramento.pm.pr.gov.br/proxy_image_8/Interface/Cameras/GetJPEGStream?Camera=USF - Santo Inacio 07&amp;AuthUser=siscop&amp;AuthPass=Siscop1234&amp;Width=1024&amp;Height=768&amp;Quality=70&amp;FPS=10&amp;ResponseFormat=Text</v>
      </c>
      <c r="P876" s="42">
        <v>1.0</v>
      </c>
    </row>
    <row r="877">
      <c r="A877" s="39" t="s">
        <v>2929</v>
      </c>
      <c r="B877" s="39" t="s">
        <v>2930</v>
      </c>
      <c r="C877" s="13" t="s">
        <v>3297</v>
      </c>
      <c r="D877" s="40">
        <v>8601.0</v>
      </c>
      <c r="E877" s="38" t="s">
        <v>3298</v>
      </c>
      <c r="F877" s="38" t="s">
        <v>3299</v>
      </c>
      <c r="G877" s="4" t="s">
        <v>3295</v>
      </c>
      <c r="H877" s="4" t="s">
        <v>3296</v>
      </c>
      <c r="I877" s="41" t="s">
        <v>8</v>
      </c>
      <c r="J877" s="41" t="s">
        <v>2061</v>
      </c>
      <c r="K877" s="41" t="s">
        <v>25</v>
      </c>
      <c r="L877" s="41" t="s">
        <v>26</v>
      </c>
      <c r="M877" s="41" t="s">
        <v>27</v>
      </c>
      <c r="N877" s="41" t="s">
        <v>2930</v>
      </c>
      <c r="O877" s="35" t="str">
        <f t="shared" si="2"/>
        <v>https://monitoramento.pm.pr.gov.br/proxy_image_8/Interface/Cameras/GetJPEGStream?Camera=USF - Santo Inacio 08&amp;AuthUser=siscop&amp;AuthPass=Siscop1234&amp;Width=1024&amp;Height=768&amp;Quality=70&amp;FPS=10&amp;ResponseFormat=Text</v>
      </c>
      <c r="P877" s="42">
        <v>1.0</v>
      </c>
    </row>
    <row r="878">
      <c r="A878" s="39" t="s">
        <v>2929</v>
      </c>
      <c r="B878" s="39" t="s">
        <v>2930</v>
      </c>
      <c r="C878" s="13" t="s">
        <v>3300</v>
      </c>
      <c r="D878" s="40">
        <v>8601.0</v>
      </c>
      <c r="E878" s="38" t="s">
        <v>3301</v>
      </c>
      <c r="F878" s="38" t="s">
        <v>3302</v>
      </c>
      <c r="G878" s="4" t="s">
        <v>3303</v>
      </c>
      <c r="H878" s="4" t="s">
        <v>3304</v>
      </c>
      <c r="I878" s="41" t="s">
        <v>8</v>
      </c>
      <c r="J878" s="41" t="s">
        <v>2061</v>
      </c>
      <c r="K878" s="41" t="s">
        <v>25</v>
      </c>
      <c r="L878" s="41" t="s">
        <v>26</v>
      </c>
      <c r="M878" s="41" t="s">
        <v>27</v>
      </c>
      <c r="N878" s="41" t="s">
        <v>2930</v>
      </c>
      <c r="O878" s="35" t="str">
        <f t="shared" si="2"/>
        <v>https://monitoramento.pm.pr.gov.br/proxy_image_8/Interface/Cameras/GetJPEGStream?Camera=USF - Universitario 03&amp;AuthUser=siscop&amp;AuthPass=Siscop1234&amp;Width=1024&amp;Height=768&amp;Quality=70&amp;FPS=10&amp;ResponseFormat=Text</v>
      </c>
      <c r="P878" s="42">
        <v>1.0</v>
      </c>
    </row>
    <row r="879">
      <c r="A879" s="39" t="s">
        <v>2929</v>
      </c>
      <c r="B879" s="39" t="s">
        <v>2930</v>
      </c>
      <c r="C879" s="13" t="s">
        <v>3305</v>
      </c>
      <c r="D879" s="40">
        <v>8601.0</v>
      </c>
      <c r="E879" s="38" t="s">
        <v>3306</v>
      </c>
      <c r="F879" s="38" t="s">
        <v>3307</v>
      </c>
      <c r="G879" s="4" t="s">
        <v>3303</v>
      </c>
      <c r="H879" s="4" t="s">
        <v>3304</v>
      </c>
      <c r="I879" s="41" t="s">
        <v>8</v>
      </c>
      <c r="J879" s="41" t="s">
        <v>2061</v>
      </c>
      <c r="K879" s="41" t="s">
        <v>25</v>
      </c>
      <c r="L879" s="41" t="s">
        <v>26</v>
      </c>
      <c r="M879" s="41" t="s">
        <v>27</v>
      </c>
      <c r="N879" s="41" t="s">
        <v>2930</v>
      </c>
      <c r="O879" s="35" t="str">
        <f t="shared" si="2"/>
        <v>https://monitoramento.pm.pr.gov.br/proxy_image_8/Interface/Cameras/GetJPEGStream?Camera=USF - Universitario 04&amp;AuthUser=siscop&amp;AuthPass=Siscop1234&amp;Width=1024&amp;Height=768&amp;Quality=70&amp;FPS=10&amp;ResponseFormat=Text</v>
      </c>
      <c r="P879" s="42">
        <v>1.0</v>
      </c>
    </row>
    <row r="880">
      <c r="A880" s="43" t="s">
        <v>3308</v>
      </c>
      <c r="B880" s="44" t="s">
        <v>17</v>
      </c>
      <c r="C880" s="45" t="s">
        <v>3309</v>
      </c>
      <c r="D880" s="46">
        <v>8601.0</v>
      </c>
      <c r="E880" s="47" t="s">
        <v>3310</v>
      </c>
      <c r="F880" s="48" t="s">
        <v>3311</v>
      </c>
      <c r="G880" s="49" t="s">
        <v>3312</v>
      </c>
      <c r="H880" s="49" t="s">
        <v>3313</v>
      </c>
      <c r="I880" s="50" t="s">
        <v>8</v>
      </c>
      <c r="J880" s="50" t="s">
        <v>2061</v>
      </c>
      <c r="K880" s="50" t="s">
        <v>25</v>
      </c>
      <c r="L880" s="50" t="s">
        <v>26</v>
      </c>
      <c r="M880" s="50" t="s">
        <v>27</v>
      </c>
      <c r="N880" s="50" t="s">
        <v>17</v>
      </c>
      <c r="O880" s="51" t="str">
        <f t="shared" si="2"/>
        <v>https://monitoramento.pm.pr.gov.br/proxy_image_16/Interface/Cameras/GetJPEGStream?Camera=GCM01&amp;AuthUser=siscop&amp;AuthPass=Siscop1234&amp;Width=1024&amp;Height=768&amp;Quality=70&amp;FPS=10&amp;ResponseFormat=Text</v>
      </c>
      <c r="P880" s="28">
        <v>1.0</v>
      </c>
    </row>
    <row r="881">
      <c r="A881" s="43" t="s">
        <v>3308</v>
      </c>
      <c r="B881" s="44" t="s">
        <v>17</v>
      </c>
      <c r="C881" s="45" t="s">
        <v>3309</v>
      </c>
      <c r="D881" s="46">
        <v>8601.0</v>
      </c>
      <c r="E881" s="47" t="s">
        <v>3314</v>
      </c>
      <c r="F881" s="48" t="s">
        <v>3315</v>
      </c>
      <c r="G881" s="49" t="s">
        <v>3316</v>
      </c>
      <c r="H881" s="49" t="s">
        <v>3317</v>
      </c>
      <c r="I881" s="50" t="s">
        <v>8</v>
      </c>
      <c r="J881" s="50" t="s">
        <v>2061</v>
      </c>
      <c r="K881" s="50" t="s">
        <v>25</v>
      </c>
      <c r="L881" s="50" t="s">
        <v>26</v>
      </c>
      <c r="M881" s="50" t="s">
        <v>27</v>
      </c>
      <c r="N881" s="50" t="s">
        <v>17</v>
      </c>
      <c r="O881" s="51" t="str">
        <f t="shared" si="2"/>
        <v>https://monitoramento.pm.pr.gov.br/proxy_image_16/Interface/Cameras/GetJPEGStream?Camera=GCM02&amp;AuthUser=siscop&amp;AuthPass=Siscop1234&amp;Width=1024&amp;Height=768&amp;Quality=70&amp;FPS=10&amp;ResponseFormat=Text</v>
      </c>
      <c r="P881" s="28">
        <v>1.0</v>
      </c>
    </row>
    <row r="882">
      <c r="A882" s="43" t="s">
        <v>3308</v>
      </c>
      <c r="B882" s="44" t="s">
        <v>17</v>
      </c>
      <c r="C882" s="45" t="s">
        <v>3309</v>
      </c>
      <c r="D882" s="46">
        <v>8601.0</v>
      </c>
      <c r="E882" s="47" t="s">
        <v>3318</v>
      </c>
      <c r="F882" s="48" t="s">
        <v>3319</v>
      </c>
      <c r="G882" s="49" t="s">
        <v>3320</v>
      </c>
      <c r="H882" s="49" t="s">
        <v>3321</v>
      </c>
      <c r="I882" s="50" t="s">
        <v>8</v>
      </c>
      <c r="J882" s="50" t="s">
        <v>2061</v>
      </c>
      <c r="K882" s="50" t="s">
        <v>25</v>
      </c>
      <c r="L882" s="50" t="s">
        <v>26</v>
      </c>
      <c r="M882" s="50" t="s">
        <v>27</v>
      </c>
      <c r="N882" s="50" t="s">
        <v>17</v>
      </c>
      <c r="O882" s="51" t="str">
        <f t="shared" si="2"/>
        <v>https://monitoramento.pm.pr.gov.br/proxy_image_16/Interface/Cameras/GetJPEGStream?Camera=GCM03&amp;AuthUser=siscop&amp;AuthPass=Siscop1234&amp;Width=1024&amp;Height=768&amp;Quality=70&amp;FPS=10&amp;ResponseFormat=Text</v>
      </c>
      <c r="P882" s="28">
        <v>1.0</v>
      </c>
    </row>
    <row r="883">
      <c r="A883" s="43" t="s">
        <v>3308</v>
      </c>
      <c r="B883" s="44" t="s">
        <v>17</v>
      </c>
      <c r="C883" s="45" t="s">
        <v>3309</v>
      </c>
      <c r="D883" s="46">
        <v>8601.0</v>
      </c>
      <c r="E883" s="47" t="s">
        <v>3322</v>
      </c>
      <c r="F883" s="48" t="s">
        <v>3323</v>
      </c>
      <c r="G883" s="49" t="s">
        <v>3324</v>
      </c>
      <c r="H883" s="49" t="s">
        <v>3325</v>
      </c>
      <c r="I883" s="50" t="s">
        <v>8</v>
      </c>
      <c r="J883" s="50" t="s">
        <v>2061</v>
      </c>
      <c r="K883" s="50" t="s">
        <v>25</v>
      </c>
      <c r="L883" s="50" t="s">
        <v>26</v>
      </c>
      <c r="M883" s="50" t="s">
        <v>27</v>
      </c>
      <c r="N883" s="50" t="s">
        <v>17</v>
      </c>
      <c r="O883" s="51" t="str">
        <f t="shared" si="2"/>
        <v>https://monitoramento.pm.pr.gov.br/proxy_image_16/Interface/Cameras/GetJPEGStream?Camera=GCM04&amp;AuthUser=siscop&amp;AuthPass=Siscop1234&amp;Width=1024&amp;Height=768&amp;Quality=70&amp;FPS=10&amp;ResponseFormat=Text</v>
      </c>
      <c r="P883" s="28">
        <v>1.0</v>
      </c>
    </row>
    <row r="884">
      <c r="A884" s="43" t="s">
        <v>3308</v>
      </c>
      <c r="B884" s="44" t="s">
        <v>17</v>
      </c>
      <c r="C884" s="45" t="s">
        <v>3309</v>
      </c>
      <c r="D884" s="46">
        <v>8601.0</v>
      </c>
      <c r="E884" s="47" t="s">
        <v>3326</v>
      </c>
      <c r="F884" s="48" t="s">
        <v>3327</v>
      </c>
      <c r="G884" s="49" t="s">
        <v>3328</v>
      </c>
      <c r="H884" s="49" t="s">
        <v>3329</v>
      </c>
      <c r="I884" s="50" t="s">
        <v>8</v>
      </c>
      <c r="J884" s="50" t="s">
        <v>2061</v>
      </c>
      <c r="K884" s="50" t="s">
        <v>25</v>
      </c>
      <c r="L884" s="50" t="s">
        <v>26</v>
      </c>
      <c r="M884" s="50" t="s">
        <v>27</v>
      </c>
      <c r="N884" s="50" t="s">
        <v>17</v>
      </c>
      <c r="O884" s="51" t="str">
        <f t="shared" si="2"/>
        <v>https://monitoramento.pm.pr.gov.br/proxy_image_16/Interface/Cameras/GetJPEGStream?Camera=GCM05&amp;AuthUser=siscop&amp;AuthPass=Siscop1234&amp;Width=1024&amp;Height=768&amp;Quality=70&amp;FPS=10&amp;ResponseFormat=Text</v>
      </c>
      <c r="P884" s="28">
        <v>1.0</v>
      </c>
    </row>
    <row r="885">
      <c r="A885" s="43" t="s">
        <v>3308</v>
      </c>
      <c r="B885" s="44" t="s">
        <v>17</v>
      </c>
      <c r="C885" s="45" t="s">
        <v>3309</v>
      </c>
      <c r="D885" s="46">
        <v>8601.0</v>
      </c>
      <c r="E885" s="47" t="s">
        <v>3330</v>
      </c>
      <c r="F885" s="48" t="s">
        <v>3331</v>
      </c>
      <c r="G885" s="49" t="s">
        <v>3332</v>
      </c>
      <c r="H885" s="49" t="s">
        <v>3333</v>
      </c>
      <c r="I885" s="50" t="s">
        <v>8</v>
      </c>
      <c r="J885" s="50" t="s">
        <v>2061</v>
      </c>
      <c r="K885" s="50" t="s">
        <v>25</v>
      </c>
      <c r="L885" s="50" t="s">
        <v>26</v>
      </c>
      <c r="M885" s="50" t="s">
        <v>27</v>
      </c>
      <c r="N885" s="50" t="s">
        <v>17</v>
      </c>
      <c r="O885" s="51" t="str">
        <f t="shared" si="2"/>
        <v>https://monitoramento.pm.pr.gov.br/proxy_image_16/Interface/Cameras/GetJPEGStream?Camera=GCM06&amp;AuthUser=siscop&amp;AuthPass=Siscop1234&amp;Width=1024&amp;Height=768&amp;Quality=70&amp;FPS=10&amp;ResponseFormat=Text</v>
      </c>
      <c r="P885" s="28">
        <v>1.0</v>
      </c>
    </row>
    <row r="886">
      <c r="A886" s="43" t="s">
        <v>3308</v>
      </c>
      <c r="B886" s="44" t="s">
        <v>17</v>
      </c>
      <c r="C886" s="45" t="s">
        <v>3309</v>
      </c>
      <c r="D886" s="46">
        <v>8601.0</v>
      </c>
      <c r="E886" s="47" t="s">
        <v>3334</v>
      </c>
      <c r="F886" s="48" t="s">
        <v>3335</v>
      </c>
      <c r="G886" s="49" t="s">
        <v>3336</v>
      </c>
      <c r="H886" s="49" t="s">
        <v>3337</v>
      </c>
      <c r="I886" s="50" t="s">
        <v>8</v>
      </c>
      <c r="J886" s="50" t="s">
        <v>2061</v>
      </c>
      <c r="K886" s="50" t="s">
        <v>25</v>
      </c>
      <c r="L886" s="50" t="s">
        <v>26</v>
      </c>
      <c r="M886" s="50" t="s">
        <v>27</v>
      </c>
      <c r="N886" s="50" t="s">
        <v>17</v>
      </c>
      <c r="O886" s="51" t="str">
        <f t="shared" si="2"/>
        <v>https://monitoramento.pm.pr.gov.br/proxy_image_16/Interface/Cameras/GetJPEGStream?Camera=GCM07&amp;AuthUser=siscop&amp;AuthPass=Siscop1234&amp;Width=1024&amp;Height=768&amp;Quality=70&amp;FPS=10&amp;ResponseFormat=Text</v>
      </c>
      <c r="P886" s="28">
        <v>1.0</v>
      </c>
    </row>
    <row r="887">
      <c r="A887" s="43" t="s">
        <v>3308</v>
      </c>
      <c r="B887" s="44" t="s">
        <v>17</v>
      </c>
      <c r="C887" s="45" t="s">
        <v>3309</v>
      </c>
      <c r="D887" s="46">
        <v>8601.0</v>
      </c>
      <c r="E887" s="47" t="s">
        <v>3338</v>
      </c>
      <c r="F887" s="48" t="s">
        <v>3339</v>
      </c>
      <c r="G887" s="49" t="s">
        <v>3340</v>
      </c>
      <c r="H887" s="49" t="s">
        <v>3341</v>
      </c>
      <c r="I887" s="50" t="s">
        <v>8</v>
      </c>
      <c r="J887" s="50" t="s">
        <v>2061</v>
      </c>
      <c r="K887" s="50" t="s">
        <v>25</v>
      </c>
      <c r="L887" s="50" t="s">
        <v>26</v>
      </c>
      <c r="M887" s="50" t="s">
        <v>27</v>
      </c>
      <c r="N887" s="50" t="s">
        <v>17</v>
      </c>
      <c r="O887" s="51" t="str">
        <f t="shared" si="2"/>
        <v>https://monitoramento.pm.pr.gov.br/proxy_image_16/Interface/Cameras/GetJPEGStream?Camera=GCM08&amp;AuthUser=siscop&amp;AuthPass=Siscop1234&amp;Width=1024&amp;Height=768&amp;Quality=70&amp;FPS=10&amp;ResponseFormat=Text</v>
      </c>
      <c r="P887" s="28">
        <v>1.0</v>
      </c>
    </row>
    <row r="888">
      <c r="A888" s="43" t="s">
        <v>3308</v>
      </c>
      <c r="B888" s="44" t="s">
        <v>17</v>
      </c>
      <c r="C888" s="45" t="s">
        <v>3309</v>
      </c>
      <c r="D888" s="46">
        <v>8601.0</v>
      </c>
      <c r="E888" s="47" t="s">
        <v>3342</v>
      </c>
      <c r="F888" s="48" t="s">
        <v>3343</v>
      </c>
      <c r="G888" s="49" t="s">
        <v>3344</v>
      </c>
      <c r="H888" s="49" t="s">
        <v>3345</v>
      </c>
      <c r="I888" s="50" t="s">
        <v>8</v>
      </c>
      <c r="J888" s="50" t="s">
        <v>2061</v>
      </c>
      <c r="K888" s="50" t="s">
        <v>25</v>
      </c>
      <c r="L888" s="50" t="s">
        <v>26</v>
      </c>
      <c r="M888" s="50" t="s">
        <v>27</v>
      </c>
      <c r="N888" s="50" t="s">
        <v>17</v>
      </c>
      <c r="O888" s="51" t="str">
        <f t="shared" si="2"/>
        <v>https://monitoramento.pm.pr.gov.br/proxy_image_16/Interface/Cameras/GetJPEGStream?Camera=GCM09&amp;AuthUser=siscop&amp;AuthPass=Siscop1234&amp;Width=1024&amp;Height=768&amp;Quality=70&amp;FPS=10&amp;ResponseFormat=Text</v>
      </c>
      <c r="P888" s="28">
        <v>1.0</v>
      </c>
    </row>
    <row r="889">
      <c r="A889" s="43" t="s">
        <v>3308</v>
      </c>
      <c r="B889" s="44" t="s">
        <v>17</v>
      </c>
      <c r="C889" s="45" t="s">
        <v>3309</v>
      </c>
      <c r="D889" s="46">
        <v>8601.0</v>
      </c>
      <c r="E889" s="47" t="s">
        <v>3346</v>
      </c>
      <c r="F889" s="48" t="s">
        <v>3347</v>
      </c>
      <c r="G889" s="49" t="s">
        <v>3348</v>
      </c>
      <c r="H889" s="49" t="s">
        <v>3349</v>
      </c>
      <c r="I889" s="50" t="s">
        <v>8</v>
      </c>
      <c r="J889" s="50" t="s">
        <v>2061</v>
      </c>
      <c r="K889" s="50" t="s">
        <v>25</v>
      </c>
      <c r="L889" s="50" t="s">
        <v>26</v>
      </c>
      <c r="M889" s="50" t="s">
        <v>27</v>
      </c>
      <c r="N889" s="50" t="s">
        <v>17</v>
      </c>
      <c r="O889" s="51" t="str">
        <f t="shared" si="2"/>
        <v>https://monitoramento.pm.pr.gov.br/proxy_image_16/Interface/Cameras/GetJPEGStream?Camera=GCM10&amp;AuthUser=siscop&amp;AuthPass=Siscop1234&amp;Width=1024&amp;Height=768&amp;Quality=70&amp;FPS=10&amp;ResponseFormat=Text</v>
      </c>
      <c r="P889" s="28">
        <v>1.0</v>
      </c>
    </row>
    <row r="890">
      <c r="A890" s="43" t="s">
        <v>3308</v>
      </c>
      <c r="B890" s="44" t="s">
        <v>17</v>
      </c>
      <c r="C890" s="45" t="s">
        <v>3309</v>
      </c>
      <c r="D890" s="46">
        <v>8601.0</v>
      </c>
      <c r="E890" s="47" t="s">
        <v>3350</v>
      </c>
      <c r="F890" s="48" t="s">
        <v>3351</v>
      </c>
      <c r="G890" s="49" t="s">
        <v>3352</v>
      </c>
      <c r="H890" s="49" t="s">
        <v>3353</v>
      </c>
      <c r="I890" s="50" t="s">
        <v>8</v>
      </c>
      <c r="J890" s="50" t="s">
        <v>2061</v>
      </c>
      <c r="K890" s="50" t="s">
        <v>25</v>
      </c>
      <c r="L890" s="50" t="s">
        <v>26</v>
      </c>
      <c r="M890" s="50" t="s">
        <v>27</v>
      </c>
      <c r="N890" s="50" t="s">
        <v>17</v>
      </c>
      <c r="O890" s="51" t="str">
        <f t="shared" si="2"/>
        <v>https://monitoramento.pm.pr.gov.br/proxy_image_16/Interface/Cameras/GetJPEGStream?Camera=GCM11&amp;AuthUser=siscop&amp;AuthPass=Siscop1234&amp;Width=1024&amp;Height=768&amp;Quality=70&amp;FPS=10&amp;ResponseFormat=Text</v>
      </c>
      <c r="P890" s="28">
        <v>1.0</v>
      </c>
    </row>
    <row r="891">
      <c r="A891" s="43" t="s">
        <v>3308</v>
      </c>
      <c r="B891" s="44" t="s">
        <v>17</v>
      </c>
      <c r="C891" s="45" t="s">
        <v>3309</v>
      </c>
      <c r="D891" s="46">
        <v>8601.0</v>
      </c>
      <c r="E891" s="47" t="s">
        <v>3354</v>
      </c>
      <c r="F891" s="48" t="s">
        <v>3355</v>
      </c>
      <c r="G891" s="49" t="s">
        <v>3356</v>
      </c>
      <c r="H891" s="49" t="s">
        <v>3357</v>
      </c>
      <c r="I891" s="50" t="s">
        <v>8</v>
      </c>
      <c r="J891" s="50" t="s">
        <v>2061</v>
      </c>
      <c r="K891" s="50" t="s">
        <v>25</v>
      </c>
      <c r="L891" s="50" t="s">
        <v>26</v>
      </c>
      <c r="M891" s="50" t="s">
        <v>27</v>
      </c>
      <c r="N891" s="50" t="s">
        <v>17</v>
      </c>
      <c r="O891" s="51" t="str">
        <f t="shared" si="2"/>
        <v>https://monitoramento.pm.pr.gov.br/proxy_image_16/Interface/Cameras/GetJPEGStream?Camera=GCM12&amp;AuthUser=siscop&amp;AuthPass=Siscop1234&amp;Width=1024&amp;Height=768&amp;Quality=70&amp;FPS=10&amp;ResponseFormat=Text</v>
      </c>
      <c r="P891" s="28">
        <v>1.0</v>
      </c>
    </row>
    <row r="892">
      <c r="A892" s="43" t="s">
        <v>3308</v>
      </c>
      <c r="B892" s="44" t="s">
        <v>17</v>
      </c>
      <c r="C892" s="45" t="s">
        <v>3309</v>
      </c>
      <c r="D892" s="46">
        <v>8601.0</v>
      </c>
      <c r="E892" s="47" t="s">
        <v>3358</v>
      </c>
      <c r="F892" s="48" t="s">
        <v>3359</v>
      </c>
      <c r="G892" s="49" t="s">
        <v>3360</v>
      </c>
      <c r="H892" s="49" t="s">
        <v>3361</v>
      </c>
      <c r="I892" s="50" t="s">
        <v>8</v>
      </c>
      <c r="J892" s="50" t="s">
        <v>2061</v>
      </c>
      <c r="K892" s="50" t="s">
        <v>25</v>
      </c>
      <c r="L892" s="50" t="s">
        <v>26</v>
      </c>
      <c r="M892" s="50" t="s">
        <v>27</v>
      </c>
      <c r="N892" s="50" t="s">
        <v>17</v>
      </c>
      <c r="O892" s="51" t="str">
        <f t="shared" si="2"/>
        <v>https://monitoramento.pm.pr.gov.br/proxy_image_16/Interface/Cameras/GetJPEGStream?Camera=GCM13&amp;AuthUser=siscop&amp;AuthPass=Siscop1234&amp;Width=1024&amp;Height=768&amp;Quality=70&amp;FPS=10&amp;ResponseFormat=Text</v>
      </c>
      <c r="P892" s="28">
        <v>1.0</v>
      </c>
    </row>
    <row r="893">
      <c r="A893" s="43" t="s">
        <v>3308</v>
      </c>
      <c r="B893" s="44" t="s">
        <v>17</v>
      </c>
      <c r="C893" s="45" t="s">
        <v>3309</v>
      </c>
      <c r="D893" s="46">
        <v>8601.0</v>
      </c>
      <c r="E893" s="47" t="s">
        <v>3362</v>
      </c>
      <c r="F893" s="48" t="s">
        <v>3363</v>
      </c>
      <c r="G893" s="49" t="s">
        <v>3364</v>
      </c>
      <c r="H893" s="49" t="s">
        <v>3365</v>
      </c>
      <c r="I893" s="50" t="s">
        <v>8</v>
      </c>
      <c r="J893" s="50" t="s">
        <v>2061</v>
      </c>
      <c r="K893" s="50" t="s">
        <v>25</v>
      </c>
      <c r="L893" s="50" t="s">
        <v>26</v>
      </c>
      <c r="M893" s="50" t="s">
        <v>27</v>
      </c>
      <c r="N893" s="50" t="s">
        <v>17</v>
      </c>
      <c r="O893" s="51" t="str">
        <f t="shared" si="2"/>
        <v>https://monitoramento.pm.pr.gov.br/proxy_image_16/Interface/Cameras/GetJPEGStream?Camera=GCM14&amp;AuthUser=siscop&amp;AuthPass=Siscop1234&amp;Width=1024&amp;Height=768&amp;Quality=70&amp;FPS=10&amp;ResponseFormat=Text</v>
      </c>
      <c r="P893" s="28">
        <v>1.0</v>
      </c>
    </row>
    <row r="894">
      <c r="A894" s="43" t="s">
        <v>3308</v>
      </c>
      <c r="B894" s="44" t="s">
        <v>17</v>
      </c>
      <c r="C894" s="45" t="s">
        <v>3309</v>
      </c>
      <c r="D894" s="46">
        <v>8601.0</v>
      </c>
      <c r="E894" s="47" t="s">
        <v>3366</v>
      </c>
      <c r="F894" s="48" t="s">
        <v>3367</v>
      </c>
      <c r="G894" s="49" t="s">
        <v>3368</v>
      </c>
      <c r="H894" s="49" t="s">
        <v>3369</v>
      </c>
      <c r="I894" s="50" t="s">
        <v>8</v>
      </c>
      <c r="J894" s="50" t="s">
        <v>2061</v>
      </c>
      <c r="K894" s="50" t="s">
        <v>25</v>
      </c>
      <c r="L894" s="50" t="s">
        <v>26</v>
      </c>
      <c r="M894" s="50" t="s">
        <v>27</v>
      </c>
      <c r="N894" s="50" t="s">
        <v>17</v>
      </c>
      <c r="O894" s="51" t="str">
        <f t="shared" si="2"/>
        <v>https://monitoramento.pm.pr.gov.br/proxy_image_16/Interface/Cameras/GetJPEGStream?Camera=GCM15&amp;AuthUser=siscop&amp;AuthPass=Siscop1234&amp;Width=1024&amp;Height=768&amp;Quality=70&amp;FPS=10&amp;ResponseFormat=Text</v>
      </c>
      <c r="P894" s="28">
        <v>1.0</v>
      </c>
    </row>
    <row r="895">
      <c r="A895" s="43" t="s">
        <v>3308</v>
      </c>
      <c r="B895" s="44" t="s">
        <v>17</v>
      </c>
      <c r="C895" s="45" t="s">
        <v>3309</v>
      </c>
      <c r="D895" s="46">
        <v>8601.0</v>
      </c>
      <c r="E895" s="47" t="s">
        <v>3370</v>
      </c>
      <c r="F895" s="48" t="s">
        <v>3371</v>
      </c>
      <c r="G895" s="52" t="s">
        <v>3372</v>
      </c>
      <c r="H895" s="52" t="s">
        <v>3373</v>
      </c>
      <c r="I895" s="50" t="s">
        <v>8</v>
      </c>
      <c r="J895" s="50" t="s">
        <v>2061</v>
      </c>
      <c r="K895" s="50" t="s">
        <v>25</v>
      </c>
      <c r="L895" s="50" t="s">
        <v>26</v>
      </c>
      <c r="M895" s="50" t="s">
        <v>27</v>
      </c>
      <c r="N895" s="50" t="s">
        <v>17</v>
      </c>
      <c r="O895" s="51" t="str">
        <f t="shared" si="2"/>
        <v>https://monitoramento.pm.pr.gov.br/proxy_image_16/Interface/Cameras/GetJPEGStream?Camera=GCM16&amp;AuthUser=siscop&amp;AuthPass=Siscop1234&amp;Width=1024&amp;Height=768&amp;Quality=70&amp;FPS=10&amp;ResponseFormat=Text</v>
      </c>
      <c r="P895" s="28">
        <v>1.0</v>
      </c>
    </row>
    <row r="896">
      <c r="A896" s="43" t="s">
        <v>3308</v>
      </c>
      <c r="B896" s="44" t="s">
        <v>17</v>
      </c>
      <c r="C896" s="45" t="s">
        <v>3309</v>
      </c>
      <c r="D896" s="46">
        <v>8601.0</v>
      </c>
      <c r="E896" s="47" t="s">
        <v>3374</v>
      </c>
      <c r="F896" s="48" t="s">
        <v>3375</v>
      </c>
      <c r="G896" s="52" t="s">
        <v>3372</v>
      </c>
      <c r="H896" s="52" t="s">
        <v>3373</v>
      </c>
      <c r="I896" s="50" t="s">
        <v>8</v>
      </c>
      <c r="J896" s="50" t="s">
        <v>2061</v>
      </c>
      <c r="K896" s="50" t="s">
        <v>25</v>
      </c>
      <c r="L896" s="50" t="s">
        <v>26</v>
      </c>
      <c r="M896" s="50" t="s">
        <v>27</v>
      </c>
      <c r="N896" s="50" t="s">
        <v>17</v>
      </c>
      <c r="O896" s="51" t="str">
        <f t="shared" si="2"/>
        <v>https://monitoramento.pm.pr.gov.br/proxy_image_16/Interface/Cameras/GetJPEGStream?Camera=GCM17&amp;AuthUser=siscop&amp;AuthPass=Siscop1234&amp;Width=1024&amp;Height=768&amp;Quality=70&amp;FPS=10&amp;ResponseFormat=Text</v>
      </c>
      <c r="P896" s="28">
        <v>1.0</v>
      </c>
    </row>
    <row r="897">
      <c r="A897" s="43" t="s">
        <v>3308</v>
      </c>
      <c r="B897" s="44" t="s">
        <v>17</v>
      </c>
      <c r="C897" s="45" t="s">
        <v>3309</v>
      </c>
      <c r="D897" s="46">
        <v>8601.0</v>
      </c>
      <c r="E897" s="47" t="s">
        <v>3376</v>
      </c>
      <c r="F897" s="48" t="s">
        <v>3377</v>
      </c>
      <c r="G897" s="49" t="s">
        <v>3378</v>
      </c>
      <c r="H897" s="49" t="s">
        <v>3379</v>
      </c>
      <c r="I897" s="50" t="s">
        <v>8</v>
      </c>
      <c r="J897" s="50" t="s">
        <v>2061</v>
      </c>
      <c r="K897" s="50" t="s">
        <v>25</v>
      </c>
      <c r="L897" s="50" t="s">
        <v>26</v>
      </c>
      <c r="M897" s="50" t="s">
        <v>27</v>
      </c>
      <c r="N897" s="50" t="s">
        <v>17</v>
      </c>
      <c r="O897" s="51" t="str">
        <f t="shared" si="2"/>
        <v>https://monitoramento.pm.pr.gov.br/proxy_image_16/Interface/Cameras/GetJPEGStream?Camera=GCM18&amp;AuthUser=siscop&amp;AuthPass=Siscop1234&amp;Width=1024&amp;Height=768&amp;Quality=70&amp;FPS=10&amp;ResponseFormat=Text</v>
      </c>
      <c r="P897" s="28">
        <v>1.0</v>
      </c>
    </row>
    <row r="898">
      <c r="A898" s="43" t="s">
        <v>3308</v>
      </c>
      <c r="B898" s="44" t="s">
        <v>17</v>
      </c>
      <c r="C898" s="45" t="s">
        <v>3309</v>
      </c>
      <c r="D898" s="46">
        <v>8601.0</v>
      </c>
      <c r="E898" s="47" t="s">
        <v>3380</v>
      </c>
      <c r="F898" s="48" t="s">
        <v>3381</v>
      </c>
      <c r="G898" s="49" t="s">
        <v>3382</v>
      </c>
      <c r="H898" s="49" t="s">
        <v>3383</v>
      </c>
      <c r="I898" s="50" t="s">
        <v>8</v>
      </c>
      <c r="J898" s="50" t="s">
        <v>2061</v>
      </c>
      <c r="K898" s="50" t="s">
        <v>25</v>
      </c>
      <c r="L898" s="50" t="s">
        <v>26</v>
      </c>
      <c r="M898" s="50" t="s">
        <v>27</v>
      </c>
      <c r="N898" s="50" t="s">
        <v>17</v>
      </c>
      <c r="O898" s="51" t="str">
        <f t="shared" si="2"/>
        <v>https://monitoramento.pm.pr.gov.br/proxy_image_16/Interface/Cameras/GetJPEGStream?Camera=GCM19&amp;AuthUser=siscop&amp;AuthPass=Siscop1234&amp;Width=1024&amp;Height=768&amp;Quality=70&amp;FPS=10&amp;ResponseFormat=Text</v>
      </c>
      <c r="P898" s="28">
        <v>1.0</v>
      </c>
    </row>
    <row r="899">
      <c r="A899" s="43" t="s">
        <v>3308</v>
      </c>
      <c r="B899" s="44" t="s">
        <v>17</v>
      </c>
      <c r="C899" s="45" t="s">
        <v>3309</v>
      </c>
      <c r="D899" s="46">
        <v>8601.0</v>
      </c>
      <c r="E899" s="47" t="s">
        <v>3384</v>
      </c>
      <c r="F899" s="48" t="s">
        <v>3385</v>
      </c>
      <c r="G899" s="49" t="s">
        <v>3386</v>
      </c>
      <c r="H899" s="49" t="s">
        <v>3387</v>
      </c>
      <c r="I899" s="50" t="s">
        <v>8</v>
      </c>
      <c r="J899" s="50" t="s">
        <v>2061</v>
      </c>
      <c r="K899" s="50" t="s">
        <v>25</v>
      </c>
      <c r="L899" s="50" t="s">
        <v>26</v>
      </c>
      <c r="M899" s="50" t="s">
        <v>27</v>
      </c>
      <c r="N899" s="50" t="s">
        <v>17</v>
      </c>
      <c r="O899" s="51" t="str">
        <f t="shared" si="2"/>
        <v>https://monitoramento.pm.pr.gov.br/proxy_image_16/Interface/Cameras/GetJPEGStream?Camera=GCM20&amp;AuthUser=siscop&amp;AuthPass=Siscop1234&amp;Width=1024&amp;Height=768&amp;Quality=70&amp;FPS=10&amp;ResponseFormat=Text</v>
      </c>
      <c r="P899" s="28">
        <v>1.0</v>
      </c>
    </row>
    <row r="900">
      <c r="A900" s="43" t="s">
        <v>3308</v>
      </c>
      <c r="B900" s="44" t="s">
        <v>17</v>
      </c>
      <c r="C900" s="45" t="s">
        <v>3309</v>
      </c>
      <c r="D900" s="46">
        <v>8601.0</v>
      </c>
      <c r="E900" s="47" t="s">
        <v>3388</v>
      </c>
      <c r="F900" s="48" t="s">
        <v>3389</v>
      </c>
      <c r="G900" s="49" t="s">
        <v>3390</v>
      </c>
      <c r="H900" s="49" t="s">
        <v>3391</v>
      </c>
      <c r="I900" s="50" t="s">
        <v>8</v>
      </c>
      <c r="J900" s="50" t="s">
        <v>2061</v>
      </c>
      <c r="K900" s="50" t="s">
        <v>25</v>
      </c>
      <c r="L900" s="50" t="s">
        <v>26</v>
      </c>
      <c r="M900" s="50" t="s">
        <v>27</v>
      </c>
      <c r="N900" s="50" t="s">
        <v>17</v>
      </c>
      <c r="O900" s="51" t="str">
        <f t="shared" si="2"/>
        <v>https://monitoramento.pm.pr.gov.br/proxy_image_16/Interface/Cameras/GetJPEGStream?Camera=GCM21&amp;AuthUser=siscop&amp;AuthPass=Siscop1234&amp;Width=1024&amp;Height=768&amp;Quality=70&amp;FPS=10&amp;ResponseFormat=Text</v>
      </c>
      <c r="P900" s="28">
        <v>1.0</v>
      </c>
    </row>
    <row r="901">
      <c r="A901" s="43" t="s">
        <v>3308</v>
      </c>
      <c r="B901" s="44" t="s">
        <v>17</v>
      </c>
      <c r="C901" s="45" t="s">
        <v>3309</v>
      </c>
      <c r="D901" s="46">
        <v>8601.0</v>
      </c>
      <c r="E901" s="47" t="s">
        <v>3392</v>
      </c>
      <c r="F901" s="48" t="s">
        <v>3393</v>
      </c>
      <c r="G901" s="49" t="s">
        <v>3394</v>
      </c>
      <c r="H901" s="49" t="s">
        <v>3395</v>
      </c>
      <c r="I901" s="50" t="s">
        <v>8</v>
      </c>
      <c r="J901" s="50" t="s">
        <v>2061</v>
      </c>
      <c r="K901" s="50" t="s">
        <v>25</v>
      </c>
      <c r="L901" s="50" t="s">
        <v>26</v>
      </c>
      <c r="M901" s="50" t="s">
        <v>27</v>
      </c>
      <c r="N901" s="50" t="s">
        <v>17</v>
      </c>
      <c r="O901" s="51" t="str">
        <f t="shared" si="2"/>
        <v>https://monitoramento.pm.pr.gov.br/proxy_image_16/Interface/Cameras/GetJPEGStream?Camera=GCM22&amp;AuthUser=siscop&amp;AuthPass=Siscop1234&amp;Width=1024&amp;Height=768&amp;Quality=70&amp;FPS=10&amp;ResponseFormat=Text</v>
      </c>
      <c r="P901" s="28">
        <v>1.0</v>
      </c>
    </row>
    <row r="902">
      <c r="A902" s="43" t="s">
        <v>3308</v>
      </c>
      <c r="B902" s="44" t="s">
        <v>17</v>
      </c>
      <c r="C902" s="45" t="s">
        <v>3309</v>
      </c>
      <c r="D902" s="46">
        <v>8601.0</v>
      </c>
      <c r="E902" s="47" t="s">
        <v>3396</v>
      </c>
      <c r="F902" s="48" t="s">
        <v>3397</v>
      </c>
      <c r="G902" s="49" t="s">
        <v>3398</v>
      </c>
      <c r="H902" s="49" t="s">
        <v>3399</v>
      </c>
      <c r="I902" s="50" t="s">
        <v>8</v>
      </c>
      <c r="J902" s="50" t="s">
        <v>2061</v>
      </c>
      <c r="K902" s="50" t="s">
        <v>25</v>
      </c>
      <c r="L902" s="50" t="s">
        <v>26</v>
      </c>
      <c r="M902" s="50" t="s">
        <v>27</v>
      </c>
      <c r="N902" s="50" t="s">
        <v>17</v>
      </c>
      <c r="O902" s="51" t="str">
        <f t="shared" si="2"/>
        <v>https://monitoramento.pm.pr.gov.br/proxy_image_16/Interface/Cameras/GetJPEGStream?Camera=GCM23&amp;AuthUser=siscop&amp;AuthPass=Siscop1234&amp;Width=1024&amp;Height=768&amp;Quality=70&amp;FPS=10&amp;ResponseFormat=Text</v>
      </c>
      <c r="P902" s="28">
        <v>1.0</v>
      </c>
    </row>
    <row r="903">
      <c r="A903" s="43" t="s">
        <v>3308</v>
      </c>
      <c r="B903" s="44" t="s">
        <v>17</v>
      </c>
      <c r="C903" s="45" t="s">
        <v>3309</v>
      </c>
      <c r="D903" s="46">
        <v>8601.0</v>
      </c>
      <c r="E903" s="47" t="s">
        <v>3400</v>
      </c>
      <c r="F903" s="48" t="s">
        <v>3401</v>
      </c>
      <c r="G903" s="49" t="s">
        <v>3402</v>
      </c>
      <c r="H903" s="49" t="s">
        <v>3403</v>
      </c>
      <c r="I903" s="50" t="s">
        <v>8</v>
      </c>
      <c r="J903" s="50" t="s">
        <v>2061</v>
      </c>
      <c r="K903" s="50" t="s">
        <v>25</v>
      </c>
      <c r="L903" s="50" t="s">
        <v>26</v>
      </c>
      <c r="M903" s="50" t="s">
        <v>27</v>
      </c>
      <c r="N903" s="50" t="s">
        <v>17</v>
      </c>
      <c r="O903" s="51" t="str">
        <f t="shared" si="2"/>
        <v>https://monitoramento.pm.pr.gov.br/proxy_image_16/Interface/Cameras/GetJPEGStream?Camera=GCM24&amp;AuthUser=siscop&amp;AuthPass=Siscop1234&amp;Width=1024&amp;Height=768&amp;Quality=70&amp;FPS=10&amp;ResponseFormat=Text</v>
      </c>
      <c r="P903" s="28">
        <v>1.0</v>
      </c>
    </row>
    <row r="904">
      <c r="A904" s="43" t="s">
        <v>3308</v>
      </c>
      <c r="B904" s="44" t="s">
        <v>17</v>
      </c>
      <c r="C904" s="45" t="s">
        <v>3309</v>
      </c>
      <c r="D904" s="46">
        <v>8601.0</v>
      </c>
      <c r="E904" s="47" t="s">
        <v>3404</v>
      </c>
      <c r="F904" s="48" t="s">
        <v>3405</v>
      </c>
      <c r="G904" s="53" t="s">
        <v>3406</v>
      </c>
      <c r="H904" s="53" t="s">
        <v>3407</v>
      </c>
      <c r="I904" s="50" t="s">
        <v>8</v>
      </c>
      <c r="J904" s="50" t="s">
        <v>2061</v>
      </c>
      <c r="K904" s="50" t="s">
        <v>25</v>
      </c>
      <c r="L904" s="50" t="s">
        <v>26</v>
      </c>
      <c r="M904" s="50" t="s">
        <v>27</v>
      </c>
      <c r="N904" s="50" t="s">
        <v>17</v>
      </c>
      <c r="O904" s="51" t="str">
        <f t="shared" si="2"/>
        <v>https://monitoramento.pm.pr.gov.br/proxy_image_16/Interface/Cameras/GetJPEGStream?Camera=GCM25&amp;AuthUser=siscop&amp;AuthPass=Siscop1234&amp;Width=1024&amp;Height=768&amp;Quality=70&amp;FPS=10&amp;ResponseFormat=Text</v>
      </c>
      <c r="P904" s="28">
        <v>1.0</v>
      </c>
    </row>
    <row r="905">
      <c r="A905" s="43" t="s">
        <v>3308</v>
      </c>
      <c r="B905" s="44" t="s">
        <v>17</v>
      </c>
      <c r="C905" s="45" t="s">
        <v>3309</v>
      </c>
      <c r="D905" s="46">
        <v>8601.0</v>
      </c>
      <c r="E905" s="47" t="s">
        <v>3408</v>
      </c>
      <c r="F905" s="47" t="s">
        <v>3409</v>
      </c>
      <c r="G905" s="53" t="s">
        <v>3410</v>
      </c>
      <c r="H905" s="53" t="s">
        <v>3411</v>
      </c>
      <c r="I905" s="50" t="s">
        <v>8</v>
      </c>
      <c r="J905" s="50" t="s">
        <v>2061</v>
      </c>
      <c r="K905" s="50" t="s">
        <v>25</v>
      </c>
      <c r="L905" s="50" t="s">
        <v>26</v>
      </c>
      <c r="M905" s="50" t="s">
        <v>27</v>
      </c>
      <c r="N905" s="50" t="s">
        <v>17</v>
      </c>
      <c r="O905" s="51" t="str">
        <f t="shared" si="2"/>
        <v>https://monitoramento.pm.pr.gov.br/proxy_image_16/Interface/Cameras/GetJPEGStream?Camera=GCM26&amp;AuthUser=siscop&amp;AuthPass=Siscop1234&amp;Width=1024&amp;Height=768&amp;Quality=70&amp;FPS=10&amp;ResponseFormat=Text</v>
      </c>
      <c r="P905" s="28">
        <v>1.0</v>
      </c>
    </row>
    <row r="906">
      <c r="A906" s="43" t="s">
        <v>3308</v>
      </c>
      <c r="B906" s="44" t="s">
        <v>17</v>
      </c>
      <c r="C906" s="45" t="s">
        <v>3309</v>
      </c>
      <c r="D906" s="46">
        <v>8601.0</v>
      </c>
      <c r="E906" s="47" t="s">
        <v>3412</v>
      </c>
      <c r="F906" s="47" t="s">
        <v>3413</v>
      </c>
      <c r="G906" s="53" t="s">
        <v>3414</v>
      </c>
      <c r="H906" s="53" t="s">
        <v>3415</v>
      </c>
      <c r="I906" s="50" t="s">
        <v>8</v>
      </c>
      <c r="J906" s="50" t="s">
        <v>2061</v>
      </c>
      <c r="K906" s="50" t="s">
        <v>25</v>
      </c>
      <c r="L906" s="50" t="s">
        <v>26</v>
      </c>
      <c r="M906" s="50" t="s">
        <v>27</v>
      </c>
      <c r="N906" s="50" t="s">
        <v>17</v>
      </c>
      <c r="O906" s="51" t="str">
        <f t="shared" si="2"/>
        <v>https://monitoramento.pm.pr.gov.br/proxy_image_16/Interface/Cameras/GetJPEGStream?Camera=GCM27&amp;AuthUser=siscop&amp;AuthPass=Siscop1234&amp;Width=1024&amp;Height=768&amp;Quality=70&amp;FPS=10&amp;ResponseFormat=Text</v>
      </c>
      <c r="P906" s="28">
        <v>1.0</v>
      </c>
    </row>
    <row r="907">
      <c r="A907" s="43" t="s">
        <v>3308</v>
      </c>
      <c r="B907" s="44" t="s">
        <v>17</v>
      </c>
      <c r="C907" s="45" t="s">
        <v>3309</v>
      </c>
      <c r="D907" s="46">
        <v>8601.0</v>
      </c>
      <c r="E907" s="47" t="s">
        <v>3416</v>
      </c>
      <c r="F907" s="47" t="s">
        <v>3417</v>
      </c>
      <c r="G907" s="52" t="s">
        <v>3418</v>
      </c>
      <c r="H907" s="52" t="s">
        <v>3419</v>
      </c>
      <c r="I907" s="50" t="s">
        <v>8</v>
      </c>
      <c r="J907" s="50" t="s">
        <v>2061</v>
      </c>
      <c r="K907" s="50" t="s">
        <v>25</v>
      </c>
      <c r="L907" s="50" t="s">
        <v>26</v>
      </c>
      <c r="M907" s="50" t="s">
        <v>27</v>
      </c>
      <c r="N907" s="50" t="s">
        <v>17</v>
      </c>
      <c r="O907" s="51" t="str">
        <f t="shared" si="2"/>
        <v>https://monitoramento.pm.pr.gov.br/proxy_image_16/Interface/Cameras/GetJPEGStream?Camera=GCM28&amp;AuthUser=siscop&amp;AuthPass=Siscop1234&amp;Width=1024&amp;Height=768&amp;Quality=70&amp;FPS=10&amp;ResponseFormat=Text</v>
      </c>
      <c r="P907" s="28">
        <v>1.0</v>
      </c>
    </row>
    <row r="908">
      <c r="A908" s="43" t="s">
        <v>3308</v>
      </c>
      <c r="B908" s="44" t="s">
        <v>17</v>
      </c>
      <c r="C908" s="45" t="s">
        <v>3309</v>
      </c>
      <c r="D908" s="46">
        <v>8601.0</v>
      </c>
      <c r="E908" s="47" t="s">
        <v>3420</v>
      </c>
      <c r="F908" s="47" t="s">
        <v>3421</v>
      </c>
      <c r="G908" s="53" t="s">
        <v>3422</v>
      </c>
      <c r="H908" s="53" t="s">
        <v>3422</v>
      </c>
      <c r="I908" s="50" t="s">
        <v>8</v>
      </c>
      <c r="J908" s="50" t="s">
        <v>2061</v>
      </c>
      <c r="K908" s="50" t="s">
        <v>25</v>
      </c>
      <c r="L908" s="50" t="s">
        <v>26</v>
      </c>
      <c r="M908" s="50" t="s">
        <v>27</v>
      </c>
      <c r="N908" s="50" t="s">
        <v>17</v>
      </c>
      <c r="O908" s="54" t="str">
        <f t="shared" si="2"/>
        <v>#</v>
      </c>
      <c r="P908" s="28">
        <v>0.0</v>
      </c>
    </row>
    <row r="909">
      <c r="A909" s="43" t="s">
        <v>3308</v>
      </c>
      <c r="B909" s="44" t="s">
        <v>17</v>
      </c>
      <c r="C909" s="45" t="s">
        <v>3309</v>
      </c>
      <c r="D909" s="46">
        <v>8601.0</v>
      </c>
      <c r="E909" s="47" t="s">
        <v>3423</v>
      </c>
      <c r="F909" s="47" t="s">
        <v>3421</v>
      </c>
      <c r="G909" s="53" t="s">
        <v>3422</v>
      </c>
      <c r="H909" s="53" t="s">
        <v>3422</v>
      </c>
      <c r="I909" s="50" t="s">
        <v>8</v>
      </c>
      <c r="J909" s="50" t="s">
        <v>2061</v>
      </c>
      <c r="K909" s="50" t="s">
        <v>25</v>
      </c>
      <c r="L909" s="50" t="s">
        <v>26</v>
      </c>
      <c r="M909" s="50" t="s">
        <v>27</v>
      </c>
      <c r="N909" s="50" t="s">
        <v>17</v>
      </c>
      <c r="O909" s="54" t="str">
        <f t="shared" si="2"/>
        <v>#</v>
      </c>
      <c r="P909" s="28">
        <v>0.0</v>
      </c>
    </row>
    <row r="910">
      <c r="A910" s="43" t="s">
        <v>3308</v>
      </c>
      <c r="B910" s="44" t="s">
        <v>17</v>
      </c>
      <c r="C910" s="45" t="s">
        <v>3309</v>
      </c>
      <c r="D910" s="46">
        <v>8601.0</v>
      </c>
      <c r="E910" s="47" t="s">
        <v>3424</v>
      </c>
      <c r="F910" s="47" t="s">
        <v>3425</v>
      </c>
      <c r="G910" s="53" t="s">
        <v>3426</v>
      </c>
      <c r="H910" s="53" t="s">
        <v>3427</v>
      </c>
      <c r="I910" s="50" t="s">
        <v>8</v>
      </c>
      <c r="J910" s="50" t="s">
        <v>2061</v>
      </c>
      <c r="K910" s="50" t="s">
        <v>25</v>
      </c>
      <c r="L910" s="50" t="s">
        <v>26</v>
      </c>
      <c r="M910" s="50" t="s">
        <v>27</v>
      </c>
      <c r="N910" s="50" t="s">
        <v>17</v>
      </c>
      <c r="O910" s="51" t="str">
        <f t="shared" si="2"/>
        <v>https://monitoramento.pm.pr.gov.br/proxy_image_16/Interface/Cameras/GetJPEGStream?Camera=GCM31&amp;AuthUser=siscop&amp;AuthPass=Siscop1234&amp;Width=1024&amp;Height=768&amp;Quality=70&amp;FPS=10&amp;ResponseFormat=Text</v>
      </c>
      <c r="P910" s="28">
        <v>1.0</v>
      </c>
    </row>
    <row r="911">
      <c r="A911" s="43" t="s">
        <v>3308</v>
      </c>
      <c r="B911" s="44" t="s">
        <v>17</v>
      </c>
      <c r="C911" s="45" t="s">
        <v>3309</v>
      </c>
      <c r="D911" s="46">
        <v>8601.0</v>
      </c>
      <c r="E911" s="47" t="s">
        <v>3428</v>
      </c>
      <c r="F911" s="47" t="s">
        <v>3429</v>
      </c>
      <c r="G911" s="53" t="s">
        <v>3430</v>
      </c>
      <c r="H911" s="53" t="s">
        <v>3431</v>
      </c>
      <c r="I911" s="50" t="s">
        <v>8</v>
      </c>
      <c r="J911" s="50" t="s">
        <v>2061</v>
      </c>
      <c r="K911" s="50" t="s">
        <v>25</v>
      </c>
      <c r="L911" s="50" t="s">
        <v>26</v>
      </c>
      <c r="M911" s="50" t="s">
        <v>27</v>
      </c>
      <c r="N911" s="50" t="s">
        <v>17</v>
      </c>
      <c r="O911" s="51" t="str">
        <f t="shared" si="2"/>
        <v>https://monitoramento.pm.pr.gov.br/proxy_image_16/Interface/Cameras/GetJPEGStream?Camera=GCM32&amp;AuthUser=siscop&amp;AuthPass=Siscop1234&amp;Width=1024&amp;Height=768&amp;Quality=70&amp;FPS=10&amp;ResponseFormat=Text</v>
      </c>
      <c r="P911" s="28">
        <v>1.0</v>
      </c>
    </row>
    <row r="912">
      <c r="A912" s="43" t="s">
        <v>3308</v>
      </c>
      <c r="B912" s="44" t="s">
        <v>17</v>
      </c>
      <c r="C912" s="45" t="s">
        <v>3309</v>
      </c>
      <c r="D912" s="46">
        <v>8601.0</v>
      </c>
      <c r="E912" s="47" t="s">
        <v>3432</v>
      </c>
      <c r="F912" s="55" t="s">
        <v>3433</v>
      </c>
      <c r="G912" s="53" t="s">
        <v>3434</v>
      </c>
      <c r="H912" s="53" t="s">
        <v>3435</v>
      </c>
      <c r="I912" s="50" t="s">
        <v>8</v>
      </c>
      <c r="J912" s="50" t="s">
        <v>2061</v>
      </c>
      <c r="K912" s="50" t="s">
        <v>25</v>
      </c>
      <c r="L912" s="50" t="s">
        <v>26</v>
      </c>
      <c r="M912" s="50" t="s">
        <v>27</v>
      </c>
      <c r="N912" s="50" t="s">
        <v>17</v>
      </c>
      <c r="O912" s="51" t="str">
        <f t="shared" si="2"/>
        <v>https://monitoramento.pm.pr.gov.br/proxy_image_16/Interface/Cameras/GetJPEGStream?Camera=GCM33&amp;AuthUser=siscop&amp;AuthPass=Siscop1234&amp;Width=1024&amp;Height=768&amp;Quality=70&amp;FPS=10&amp;ResponseFormat=Text</v>
      </c>
      <c r="P912" s="28">
        <v>1.0</v>
      </c>
    </row>
    <row r="913">
      <c r="A913" s="43" t="s">
        <v>3308</v>
      </c>
      <c r="B913" s="44" t="s">
        <v>17</v>
      </c>
      <c r="C913" s="45" t="s">
        <v>3309</v>
      </c>
      <c r="D913" s="46">
        <v>8601.0</v>
      </c>
      <c r="E913" s="47" t="s">
        <v>3436</v>
      </c>
      <c r="F913" s="47" t="s">
        <v>3437</v>
      </c>
      <c r="G913" s="52" t="s">
        <v>3438</v>
      </c>
      <c r="H913" s="52" t="s">
        <v>3439</v>
      </c>
      <c r="I913" s="50" t="s">
        <v>8</v>
      </c>
      <c r="J913" s="50" t="s">
        <v>2061</v>
      </c>
      <c r="K913" s="50" t="s">
        <v>25</v>
      </c>
      <c r="L913" s="50" t="s">
        <v>26</v>
      </c>
      <c r="M913" s="50" t="s">
        <v>27</v>
      </c>
      <c r="N913" s="50" t="s">
        <v>17</v>
      </c>
      <c r="O913" s="51" t="str">
        <f t="shared" si="2"/>
        <v>https://monitoramento.pm.pr.gov.br/proxy_image_16/Interface/Cameras/GetJPEGStream?Camera=GCM34&amp;AuthUser=siscop&amp;AuthPass=Siscop1234&amp;Width=1024&amp;Height=768&amp;Quality=70&amp;FPS=10&amp;ResponseFormat=Text</v>
      </c>
      <c r="P913" s="28">
        <v>1.0</v>
      </c>
    </row>
    <row r="914">
      <c r="A914" s="43" t="s">
        <v>3308</v>
      </c>
      <c r="B914" s="44" t="s">
        <v>17</v>
      </c>
      <c r="C914" s="45" t="s">
        <v>3309</v>
      </c>
      <c r="D914" s="46">
        <v>8601.0</v>
      </c>
      <c r="E914" s="47" t="s">
        <v>3440</v>
      </c>
      <c r="F914" s="48" t="s">
        <v>3441</v>
      </c>
      <c r="G914" s="53" t="s">
        <v>3442</v>
      </c>
      <c r="H914" s="53" t="s">
        <v>3443</v>
      </c>
      <c r="I914" s="50" t="s">
        <v>8</v>
      </c>
      <c r="J914" s="50" t="s">
        <v>2061</v>
      </c>
      <c r="K914" s="50" t="s">
        <v>25</v>
      </c>
      <c r="L914" s="50" t="s">
        <v>26</v>
      </c>
      <c r="M914" s="50" t="s">
        <v>27</v>
      </c>
      <c r="N914" s="50" t="s">
        <v>17</v>
      </c>
      <c r="O914" s="51" t="str">
        <f t="shared" si="2"/>
        <v>https://monitoramento.pm.pr.gov.br/proxy_image_16/Interface/Cameras/GetJPEGStream?Camera=GCM35&amp;AuthUser=siscop&amp;AuthPass=Siscop1234&amp;Width=1024&amp;Height=768&amp;Quality=70&amp;FPS=10&amp;ResponseFormat=Text</v>
      </c>
      <c r="P914" s="28">
        <v>1.0</v>
      </c>
    </row>
    <row r="915">
      <c r="A915" s="43" t="s">
        <v>3308</v>
      </c>
      <c r="B915" s="44" t="s">
        <v>17</v>
      </c>
      <c r="C915" s="45" t="s">
        <v>3309</v>
      </c>
      <c r="D915" s="46">
        <v>8601.0</v>
      </c>
      <c r="E915" s="47" t="s">
        <v>3444</v>
      </c>
      <c r="F915" s="48" t="s">
        <v>3445</v>
      </c>
      <c r="G915" s="52" t="s">
        <v>3446</v>
      </c>
      <c r="H915" s="53" t="s">
        <v>3447</v>
      </c>
      <c r="I915" s="50" t="s">
        <v>8</v>
      </c>
      <c r="J915" s="50" t="s">
        <v>2061</v>
      </c>
      <c r="K915" s="50" t="s">
        <v>25</v>
      </c>
      <c r="L915" s="50" t="s">
        <v>26</v>
      </c>
      <c r="M915" s="50" t="s">
        <v>27</v>
      </c>
      <c r="N915" s="50" t="s">
        <v>17</v>
      </c>
      <c r="O915" s="51" t="str">
        <f t="shared" si="2"/>
        <v>https://monitoramento.pm.pr.gov.br/proxy_image_16/Interface/Cameras/GetJPEGStream?Camera=GCM36&amp;AuthUser=siscop&amp;AuthPass=Siscop1234&amp;Width=1024&amp;Height=768&amp;Quality=70&amp;FPS=10&amp;ResponseFormat=Text</v>
      </c>
      <c r="P915" s="28">
        <v>1.0</v>
      </c>
    </row>
    <row r="916">
      <c r="A916" s="43" t="s">
        <v>3308</v>
      </c>
      <c r="B916" s="44" t="s">
        <v>17</v>
      </c>
      <c r="C916" s="45" t="s">
        <v>3309</v>
      </c>
      <c r="D916" s="46">
        <v>8601.0</v>
      </c>
      <c r="E916" s="47" t="s">
        <v>3448</v>
      </c>
      <c r="F916" s="48" t="s">
        <v>3449</v>
      </c>
      <c r="G916" s="49" t="s">
        <v>3450</v>
      </c>
      <c r="H916" s="49" t="s">
        <v>3451</v>
      </c>
      <c r="I916" s="50" t="s">
        <v>8</v>
      </c>
      <c r="J916" s="50" t="s">
        <v>2061</v>
      </c>
      <c r="K916" s="50" t="s">
        <v>25</v>
      </c>
      <c r="L916" s="50" t="s">
        <v>26</v>
      </c>
      <c r="M916" s="50" t="s">
        <v>27</v>
      </c>
      <c r="N916" s="50" t="s">
        <v>17</v>
      </c>
      <c r="O916" s="51" t="str">
        <f t="shared" si="2"/>
        <v>https://monitoramento.pm.pr.gov.br/proxy_image_16/Interface/Cameras/GetJPEGStream?Camera=GCM37&amp;AuthUser=siscop&amp;AuthPass=Siscop1234&amp;Width=1024&amp;Height=768&amp;Quality=70&amp;FPS=10&amp;ResponseFormat=Text</v>
      </c>
      <c r="P916" s="28">
        <v>1.0</v>
      </c>
    </row>
    <row r="917">
      <c r="A917" s="43" t="s">
        <v>3308</v>
      </c>
      <c r="B917" s="44" t="s">
        <v>17</v>
      </c>
      <c r="C917" s="45" t="s">
        <v>3309</v>
      </c>
      <c r="D917" s="46">
        <v>8601.0</v>
      </c>
      <c r="E917" s="47" t="s">
        <v>3452</v>
      </c>
      <c r="F917" s="48" t="s">
        <v>3421</v>
      </c>
      <c r="G917" s="53" t="s">
        <v>3422</v>
      </c>
      <c r="H917" s="53" t="s">
        <v>3422</v>
      </c>
      <c r="I917" s="50" t="s">
        <v>8</v>
      </c>
      <c r="J917" s="50" t="s">
        <v>2061</v>
      </c>
      <c r="K917" s="50" t="s">
        <v>25</v>
      </c>
      <c r="L917" s="50" t="s">
        <v>26</v>
      </c>
      <c r="M917" s="50" t="s">
        <v>27</v>
      </c>
      <c r="N917" s="50" t="s">
        <v>17</v>
      </c>
      <c r="O917" s="54" t="str">
        <f t="shared" si="2"/>
        <v>#</v>
      </c>
      <c r="P917" s="28">
        <v>0.0</v>
      </c>
    </row>
    <row r="918">
      <c r="A918" s="43" t="s">
        <v>3308</v>
      </c>
      <c r="B918" s="44" t="s">
        <v>17</v>
      </c>
      <c r="C918" s="45" t="s">
        <v>3309</v>
      </c>
      <c r="D918" s="46">
        <v>8601.0</v>
      </c>
      <c r="E918" s="47" t="s">
        <v>3453</v>
      </c>
      <c r="F918" s="48" t="s">
        <v>3421</v>
      </c>
      <c r="G918" s="53" t="s">
        <v>3422</v>
      </c>
      <c r="H918" s="53" t="s">
        <v>3422</v>
      </c>
      <c r="I918" s="50" t="s">
        <v>8</v>
      </c>
      <c r="J918" s="50" t="s">
        <v>2061</v>
      </c>
      <c r="K918" s="50" t="s">
        <v>25</v>
      </c>
      <c r="L918" s="50" t="s">
        <v>26</v>
      </c>
      <c r="M918" s="50" t="s">
        <v>27</v>
      </c>
      <c r="N918" s="50" t="s">
        <v>17</v>
      </c>
      <c r="O918" s="54" t="str">
        <f t="shared" si="2"/>
        <v>#</v>
      </c>
      <c r="P918" s="28">
        <v>0.0</v>
      </c>
    </row>
    <row r="919">
      <c r="A919" s="43" t="s">
        <v>3308</v>
      </c>
      <c r="B919" s="44" t="s">
        <v>17</v>
      </c>
      <c r="C919" s="45" t="s">
        <v>3309</v>
      </c>
      <c r="D919" s="46">
        <v>8601.0</v>
      </c>
      <c r="E919" s="47" t="s">
        <v>3454</v>
      </c>
      <c r="F919" s="48" t="s">
        <v>3421</v>
      </c>
      <c r="G919" s="53" t="s">
        <v>3422</v>
      </c>
      <c r="H919" s="53" t="s">
        <v>3422</v>
      </c>
      <c r="I919" s="50" t="s">
        <v>8</v>
      </c>
      <c r="J919" s="50" t="s">
        <v>2061</v>
      </c>
      <c r="K919" s="50" t="s">
        <v>25</v>
      </c>
      <c r="L919" s="50" t="s">
        <v>26</v>
      </c>
      <c r="M919" s="50" t="s">
        <v>27</v>
      </c>
      <c r="N919" s="50" t="s">
        <v>17</v>
      </c>
      <c r="O919" s="54" t="str">
        <f t="shared" si="2"/>
        <v>#</v>
      </c>
      <c r="P919" s="28">
        <v>0.0</v>
      </c>
    </row>
    <row r="920">
      <c r="A920" s="43" t="s">
        <v>3308</v>
      </c>
      <c r="B920" s="44" t="s">
        <v>17</v>
      </c>
      <c r="C920" s="45" t="s">
        <v>3309</v>
      </c>
      <c r="D920" s="46">
        <v>8601.0</v>
      </c>
      <c r="E920" s="47" t="s">
        <v>3455</v>
      </c>
      <c r="F920" s="48" t="s">
        <v>3421</v>
      </c>
      <c r="G920" s="53" t="s">
        <v>3422</v>
      </c>
      <c r="H920" s="53" t="s">
        <v>3422</v>
      </c>
      <c r="I920" s="50" t="s">
        <v>8</v>
      </c>
      <c r="J920" s="50" t="s">
        <v>2061</v>
      </c>
      <c r="K920" s="50" t="s">
        <v>25</v>
      </c>
      <c r="L920" s="50" t="s">
        <v>26</v>
      </c>
      <c r="M920" s="50" t="s">
        <v>27</v>
      </c>
      <c r="N920" s="50" t="s">
        <v>17</v>
      </c>
      <c r="O920" s="54" t="str">
        <f t="shared" si="2"/>
        <v>#</v>
      </c>
      <c r="P920" s="28">
        <v>0.0</v>
      </c>
    </row>
    <row r="921">
      <c r="A921" s="43" t="s">
        <v>3308</v>
      </c>
      <c r="B921" s="44" t="s">
        <v>17</v>
      </c>
      <c r="C921" s="45" t="s">
        <v>3309</v>
      </c>
      <c r="D921" s="46">
        <v>8601.0</v>
      </c>
      <c r="E921" s="47" t="s">
        <v>3456</v>
      </c>
      <c r="F921" s="48" t="s">
        <v>3457</v>
      </c>
      <c r="G921" s="53" t="s">
        <v>3458</v>
      </c>
      <c r="H921" s="53" t="s">
        <v>3459</v>
      </c>
      <c r="I921" s="50" t="s">
        <v>8</v>
      </c>
      <c r="J921" s="50" t="s">
        <v>2061</v>
      </c>
      <c r="K921" s="50" t="s">
        <v>25</v>
      </c>
      <c r="L921" s="50" t="s">
        <v>26</v>
      </c>
      <c r="M921" s="50" t="s">
        <v>27</v>
      </c>
      <c r="N921" s="50" t="s">
        <v>17</v>
      </c>
      <c r="O921" s="51" t="str">
        <f t="shared" si="2"/>
        <v>https://monitoramento.pm.pr.gov.br/proxy_image_16/Interface/Cameras/GetJPEGStream?Camera=GCM42&amp;AuthUser=siscop&amp;AuthPass=Siscop1234&amp;Width=1024&amp;Height=768&amp;Quality=70&amp;FPS=10&amp;ResponseFormat=Text</v>
      </c>
      <c r="P921" s="28">
        <v>1.0</v>
      </c>
    </row>
    <row r="922">
      <c r="A922" s="43" t="s">
        <v>3308</v>
      </c>
      <c r="B922" s="44" t="s">
        <v>17</v>
      </c>
      <c r="C922" s="45" t="s">
        <v>3309</v>
      </c>
      <c r="D922" s="46">
        <v>8601.0</v>
      </c>
      <c r="E922" s="47" t="s">
        <v>3460</v>
      </c>
      <c r="F922" s="48" t="s">
        <v>3461</v>
      </c>
      <c r="G922" s="53" t="s">
        <v>3462</v>
      </c>
      <c r="H922" s="53" t="s">
        <v>3463</v>
      </c>
      <c r="I922" s="50" t="s">
        <v>8</v>
      </c>
      <c r="J922" s="50" t="s">
        <v>2061</v>
      </c>
      <c r="K922" s="50" t="s">
        <v>25</v>
      </c>
      <c r="L922" s="50" t="s">
        <v>26</v>
      </c>
      <c r="M922" s="50" t="s">
        <v>27</v>
      </c>
      <c r="N922" s="50" t="s">
        <v>17</v>
      </c>
      <c r="O922" s="51" t="str">
        <f t="shared" si="2"/>
        <v>https://monitoramento.pm.pr.gov.br/proxy_image_16/Interface/Cameras/GetJPEGStream?Camera=GCM43&amp;AuthUser=siscop&amp;AuthPass=Siscop1234&amp;Width=1024&amp;Height=768&amp;Quality=70&amp;FPS=10&amp;ResponseFormat=Text</v>
      </c>
      <c r="P922" s="28">
        <v>1.0</v>
      </c>
    </row>
    <row r="923">
      <c r="A923" s="43" t="s">
        <v>3308</v>
      </c>
      <c r="B923" s="44" t="s">
        <v>17</v>
      </c>
      <c r="C923" s="45" t="s">
        <v>3309</v>
      </c>
      <c r="D923" s="46">
        <v>8601.0</v>
      </c>
      <c r="E923" s="47" t="s">
        <v>3464</v>
      </c>
      <c r="F923" s="48" t="s">
        <v>3465</v>
      </c>
      <c r="G923" s="53" t="s">
        <v>3466</v>
      </c>
      <c r="H923" s="53" t="s">
        <v>3467</v>
      </c>
      <c r="I923" s="50" t="s">
        <v>8</v>
      </c>
      <c r="J923" s="50" t="s">
        <v>2061</v>
      </c>
      <c r="K923" s="50" t="s">
        <v>25</v>
      </c>
      <c r="L923" s="50" t="s">
        <v>26</v>
      </c>
      <c r="M923" s="50" t="s">
        <v>27</v>
      </c>
      <c r="N923" s="50" t="s">
        <v>17</v>
      </c>
      <c r="O923" s="51" t="str">
        <f t="shared" si="2"/>
        <v>https://monitoramento.pm.pr.gov.br/proxy_image_16/Interface/Cameras/GetJPEGStream?Camera=GCM44&amp;AuthUser=siscop&amp;AuthPass=Siscop1234&amp;Width=1024&amp;Height=768&amp;Quality=70&amp;FPS=10&amp;ResponseFormat=Text</v>
      </c>
      <c r="P923" s="28">
        <v>1.0</v>
      </c>
    </row>
    <row r="924">
      <c r="A924" s="43" t="s">
        <v>3308</v>
      </c>
      <c r="B924" s="44" t="s">
        <v>17</v>
      </c>
      <c r="C924" s="45" t="s">
        <v>3309</v>
      </c>
      <c r="D924" s="46">
        <v>8601.0</v>
      </c>
      <c r="E924" s="47" t="s">
        <v>3468</v>
      </c>
      <c r="F924" s="48" t="s">
        <v>3469</v>
      </c>
      <c r="G924" s="53" t="s">
        <v>3470</v>
      </c>
      <c r="H924" s="53" t="s">
        <v>3471</v>
      </c>
      <c r="I924" s="50" t="s">
        <v>8</v>
      </c>
      <c r="J924" s="50" t="s">
        <v>2061</v>
      </c>
      <c r="K924" s="50" t="s">
        <v>25</v>
      </c>
      <c r="L924" s="50" t="s">
        <v>26</v>
      </c>
      <c r="M924" s="50" t="s">
        <v>27</v>
      </c>
      <c r="N924" s="50" t="s">
        <v>17</v>
      </c>
      <c r="O924" s="51" t="str">
        <f t="shared" si="2"/>
        <v>https://monitoramento.pm.pr.gov.br/proxy_image_16/Interface/Cameras/GetJPEGStream?Camera=GCM45&amp;AuthUser=siscop&amp;AuthPass=Siscop1234&amp;Width=1024&amp;Height=768&amp;Quality=70&amp;FPS=10&amp;ResponseFormat=Text</v>
      </c>
      <c r="P924" s="28">
        <v>1.0</v>
      </c>
    </row>
    <row r="925">
      <c r="A925" s="43" t="s">
        <v>3308</v>
      </c>
      <c r="B925" s="44" t="s">
        <v>17</v>
      </c>
      <c r="C925" s="45" t="s">
        <v>3309</v>
      </c>
      <c r="D925" s="46">
        <v>8601.0</v>
      </c>
      <c r="E925" s="47" t="s">
        <v>3472</v>
      </c>
      <c r="F925" s="48" t="s">
        <v>3473</v>
      </c>
      <c r="G925" s="53" t="s">
        <v>3474</v>
      </c>
      <c r="H925" s="53" t="s">
        <v>3475</v>
      </c>
      <c r="I925" s="50" t="s">
        <v>8</v>
      </c>
      <c r="J925" s="50" t="s">
        <v>2061</v>
      </c>
      <c r="K925" s="50" t="s">
        <v>25</v>
      </c>
      <c r="L925" s="50" t="s">
        <v>26</v>
      </c>
      <c r="M925" s="50" t="s">
        <v>27</v>
      </c>
      <c r="N925" s="50" t="s">
        <v>17</v>
      </c>
      <c r="O925" s="51" t="str">
        <f t="shared" si="2"/>
        <v>https://monitoramento.pm.pr.gov.br/proxy_image_16/Interface/Cameras/GetJPEGStream?Camera=GCM46&amp;AuthUser=siscop&amp;AuthPass=Siscop1234&amp;Width=1024&amp;Height=768&amp;Quality=70&amp;FPS=10&amp;ResponseFormat=Text</v>
      </c>
      <c r="P925" s="28">
        <v>1.0</v>
      </c>
    </row>
    <row r="926">
      <c r="A926" s="43" t="s">
        <v>3308</v>
      </c>
      <c r="B926" s="44" t="s">
        <v>17</v>
      </c>
      <c r="C926" s="45" t="s">
        <v>3309</v>
      </c>
      <c r="D926" s="46">
        <v>8601.0</v>
      </c>
      <c r="E926" s="47" t="s">
        <v>3476</v>
      </c>
      <c r="F926" s="48" t="s">
        <v>3421</v>
      </c>
      <c r="G926" s="53" t="s">
        <v>3422</v>
      </c>
      <c r="H926" s="53" t="s">
        <v>3422</v>
      </c>
      <c r="I926" s="50" t="s">
        <v>8</v>
      </c>
      <c r="J926" s="50" t="s">
        <v>2061</v>
      </c>
      <c r="K926" s="50" t="s">
        <v>25</v>
      </c>
      <c r="L926" s="50" t="s">
        <v>26</v>
      </c>
      <c r="M926" s="50" t="s">
        <v>27</v>
      </c>
      <c r="N926" s="50" t="s">
        <v>17</v>
      </c>
      <c r="O926" s="54" t="str">
        <f t="shared" si="2"/>
        <v>#</v>
      </c>
      <c r="P926" s="28">
        <v>0.0</v>
      </c>
    </row>
    <row r="927">
      <c r="A927" s="43" t="s">
        <v>3308</v>
      </c>
      <c r="B927" s="44" t="s">
        <v>17</v>
      </c>
      <c r="C927" s="45" t="s">
        <v>3309</v>
      </c>
      <c r="D927" s="46">
        <v>8601.0</v>
      </c>
      <c r="E927" s="47" t="s">
        <v>3477</v>
      </c>
      <c r="F927" s="48" t="s">
        <v>3478</v>
      </c>
      <c r="G927" s="53" t="s">
        <v>3479</v>
      </c>
      <c r="H927" s="53" t="s">
        <v>3480</v>
      </c>
      <c r="I927" s="50" t="s">
        <v>8</v>
      </c>
      <c r="J927" s="50" t="s">
        <v>2061</v>
      </c>
      <c r="K927" s="50" t="s">
        <v>25</v>
      </c>
      <c r="L927" s="50" t="s">
        <v>26</v>
      </c>
      <c r="M927" s="50" t="s">
        <v>27</v>
      </c>
      <c r="N927" s="50" t="s">
        <v>17</v>
      </c>
      <c r="O927" s="51" t="str">
        <f t="shared" si="2"/>
        <v>https://monitoramento.pm.pr.gov.br/proxy_image_16/Interface/Cameras/GetJPEGStream?Camera=GCM48&amp;AuthUser=siscop&amp;AuthPass=Siscop1234&amp;Width=1024&amp;Height=768&amp;Quality=70&amp;FPS=10&amp;ResponseFormat=Text</v>
      </c>
      <c r="P927" s="28">
        <v>1.0</v>
      </c>
    </row>
    <row r="928">
      <c r="A928" s="43" t="s">
        <v>3308</v>
      </c>
      <c r="B928" s="44" t="s">
        <v>17</v>
      </c>
      <c r="C928" s="45" t="s">
        <v>3309</v>
      </c>
      <c r="D928" s="46">
        <v>8601.0</v>
      </c>
      <c r="E928" s="47" t="s">
        <v>3481</v>
      </c>
      <c r="F928" s="48" t="s">
        <v>3482</v>
      </c>
      <c r="G928" s="53" t="s">
        <v>3483</v>
      </c>
      <c r="H928" s="53" t="s">
        <v>3484</v>
      </c>
      <c r="I928" s="50" t="s">
        <v>8</v>
      </c>
      <c r="J928" s="50" t="s">
        <v>2061</v>
      </c>
      <c r="K928" s="50" t="s">
        <v>25</v>
      </c>
      <c r="L928" s="50" t="s">
        <v>26</v>
      </c>
      <c r="M928" s="50" t="s">
        <v>27</v>
      </c>
      <c r="N928" s="50" t="s">
        <v>17</v>
      </c>
      <c r="O928" s="51" t="str">
        <f t="shared" si="2"/>
        <v>https://monitoramento.pm.pr.gov.br/proxy_image_16/Interface/Cameras/GetJPEGStream?Camera=GCM49&amp;AuthUser=siscop&amp;AuthPass=Siscop1234&amp;Width=1024&amp;Height=768&amp;Quality=70&amp;FPS=10&amp;ResponseFormat=Text</v>
      </c>
      <c r="P928" s="28">
        <v>1.0</v>
      </c>
    </row>
    <row r="929">
      <c r="A929" s="43" t="s">
        <v>3308</v>
      </c>
      <c r="B929" s="44" t="s">
        <v>17</v>
      </c>
      <c r="C929" s="45" t="s">
        <v>3309</v>
      </c>
      <c r="D929" s="46">
        <v>8601.0</v>
      </c>
      <c r="E929" s="47" t="s">
        <v>3485</v>
      </c>
      <c r="F929" s="48" t="s">
        <v>3486</v>
      </c>
      <c r="G929" s="53" t="s">
        <v>3487</v>
      </c>
      <c r="H929" s="53" t="s">
        <v>3488</v>
      </c>
      <c r="I929" s="50" t="s">
        <v>8</v>
      </c>
      <c r="J929" s="50" t="s">
        <v>2061</v>
      </c>
      <c r="K929" s="50" t="s">
        <v>25</v>
      </c>
      <c r="L929" s="50" t="s">
        <v>26</v>
      </c>
      <c r="M929" s="50" t="s">
        <v>27</v>
      </c>
      <c r="N929" s="50" t="s">
        <v>17</v>
      </c>
      <c r="O929" s="51" t="str">
        <f t="shared" si="2"/>
        <v>https://monitoramento.pm.pr.gov.br/proxy_image_16/Interface/Cameras/GetJPEGStream?Camera=GCM50&amp;AuthUser=siscop&amp;AuthPass=Siscop1234&amp;Width=1024&amp;Height=768&amp;Quality=70&amp;FPS=10&amp;ResponseFormat=Text</v>
      </c>
      <c r="P929" s="28">
        <v>1.0</v>
      </c>
    </row>
    <row r="930">
      <c r="A930" s="43" t="s">
        <v>3308</v>
      </c>
      <c r="B930" s="44" t="s">
        <v>17</v>
      </c>
      <c r="C930" s="45" t="s">
        <v>3309</v>
      </c>
      <c r="D930" s="46">
        <v>8601.0</v>
      </c>
      <c r="E930" s="47" t="s">
        <v>3489</v>
      </c>
      <c r="F930" s="56" t="s">
        <v>3490</v>
      </c>
      <c r="G930" s="53" t="s">
        <v>3491</v>
      </c>
      <c r="H930" s="53" t="s">
        <v>3492</v>
      </c>
      <c r="I930" s="50" t="s">
        <v>8</v>
      </c>
      <c r="J930" s="50" t="s">
        <v>2061</v>
      </c>
      <c r="K930" s="50" t="s">
        <v>25</v>
      </c>
      <c r="L930" s="50" t="s">
        <v>26</v>
      </c>
      <c r="M930" s="50" t="s">
        <v>27</v>
      </c>
      <c r="N930" s="50" t="s">
        <v>17</v>
      </c>
      <c r="O930" s="51" t="str">
        <f t="shared" si="2"/>
        <v>https://monitoramento.pm.pr.gov.br/proxy_image_16/Interface/Cameras/GetJPEGStream?Camera=GCM51&amp;AuthUser=siscop&amp;AuthPass=Siscop1234&amp;Width=1024&amp;Height=768&amp;Quality=70&amp;FPS=10&amp;ResponseFormat=Text</v>
      </c>
      <c r="P930" s="28">
        <v>1.0</v>
      </c>
    </row>
    <row r="931">
      <c r="A931" s="43" t="s">
        <v>3308</v>
      </c>
      <c r="B931" s="44" t="s">
        <v>17</v>
      </c>
      <c r="C931" s="45" t="s">
        <v>3309</v>
      </c>
      <c r="D931" s="46">
        <v>8601.0</v>
      </c>
      <c r="E931" s="47" t="s">
        <v>3493</v>
      </c>
      <c r="F931" s="48" t="s">
        <v>3494</v>
      </c>
      <c r="G931" s="53" t="s">
        <v>3495</v>
      </c>
      <c r="H931" s="53" t="s">
        <v>3496</v>
      </c>
      <c r="I931" s="50" t="s">
        <v>8</v>
      </c>
      <c r="J931" s="50" t="s">
        <v>2061</v>
      </c>
      <c r="K931" s="50" t="s">
        <v>25</v>
      </c>
      <c r="L931" s="50" t="s">
        <v>26</v>
      </c>
      <c r="M931" s="50" t="s">
        <v>27</v>
      </c>
      <c r="N931" s="50" t="s">
        <v>17</v>
      </c>
      <c r="O931" s="51" t="str">
        <f t="shared" si="2"/>
        <v>https://monitoramento.pm.pr.gov.br/proxy_image_16/Interface/Cameras/GetJPEGStream?Camera=GCM52&amp;AuthUser=siscop&amp;AuthPass=Siscop1234&amp;Width=1024&amp;Height=768&amp;Quality=70&amp;FPS=10&amp;ResponseFormat=Text</v>
      </c>
      <c r="P931" s="28">
        <v>1.0</v>
      </c>
    </row>
    <row r="932">
      <c r="A932" s="43" t="s">
        <v>3308</v>
      </c>
      <c r="B932" s="44" t="s">
        <v>17</v>
      </c>
      <c r="C932" s="45" t="s">
        <v>3309</v>
      </c>
      <c r="D932" s="46">
        <v>8601.0</v>
      </c>
      <c r="E932" s="47" t="s">
        <v>3497</v>
      </c>
      <c r="F932" s="48" t="s">
        <v>3421</v>
      </c>
      <c r="G932" s="53" t="s">
        <v>3422</v>
      </c>
      <c r="H932" s="53" t="s">
        <v>3422</v>
      </c>
      <c r="I932" s="50" t="s">
        <v>8</v>
      </c>
      <c r="J932" s="50" t="s">
        <v>2061</v>
      </c>
      <c r="K932" s="50" t="s">
        <v>25</v>
      </c>
      <c r="L932" s="50" t="s">
        <v>26</v>
      </c>
      <c r="M932" s="50" t="s">
        <v>27</v>
      </c>
      <c r="N932" s="50" t="s">
        <v>17</v>
      </c>
      <c r="O932" s="54" t="str">
        <f t="shared" si="2"/>
        <v>#</v>
      </c>
      <c r="P932" s="28">
        <v>0.0</v>
      </c>
    </row>
    <row r="933">
      <c r="A933" s="43" t="s">
        <v>3308</v>
      </c>
      <c r="B933" s="44" t="s">
        <v>17</v>
      </c>
      <c r="C933" s="45" t="s">
        <v>3309</v>
      </c>
      <c r="D933" s="46">
        <v>8601.0</v>
      </c>
      <c r="E933" s="47" t="s">
        <v>3498</v>
      </c>
      <c r="F933" s="48" t="s">
        <v>3499</v>
      </c>
      <c r="G933" s="53" t="s">
        <v>3500</v>
      </c>
      <c r="H933" s="53" t="s">
        <v>3501</v>
      </c>
      <c r="I933" s="50" t="s">
        <v>8</v>
      </c>
      <c r="J933" s="50" t="s">
        <v>2061</v>
      </c>
      <c r="K933" s="50" t="s">
        <v>25</v>
      </c>
      <c r="L933" s="50" t="s">
        <v>26</v>
      </c>
      <c r="M933" s="50" t="s">
        <v>27</v>
      </c>
      <c r="N933" s="50" t="s">
        <v>17</v>
      </c>
      <c r="O933" s="51" t="str">
        <f t="shared" si="2"/>
        <v>https://monitoramento.pm.pr.gov.br/proxy_image_16/Interface/Cameras/GetJPEGStream?Camera=GCM54&amp;AuthUser=siscop&amp;AuthPass=Siscop1234&amp;Width=1024&amp;Height=768&amp;Quality=70&amp;FPS=10&amp;ResponseFormat=Text</v>
      </c>
      <c r="P933" s="28">
        <v>1.0</v>
      </c>
    </row>
    <row r="934">
      <c r="A934" s="43" t="s">
        <v>3308</v>
      </c>
      <c r="B934" s="44" t="s">
        <v>17</v>
      </c>
      <c r="C934" s="45" t="s">
        <v>3309</v>
      </c>
      <c r="D934" s="46">
        <v>8601.0</v>
      </c>
      <c r="E934" s="47" t="s">
        <v>3502</v>
      </c>
      <c r="F934" s="48" t="s">
        <v>3503</v>
      </c>
      <c r="G934" s="53" t="s">
        <v>3504</v>
      </c>
      <c r="H934" s="53" t="s">
        <v>3505</v>
      </c>
      <c r="I934" s="50" t="s">
        <v>8</v>
      </c>
      <c r="J934" s="50" t="s">
        <v>2061</v>
      </c>
      <c r="K934" s="50" t="s">
        <v>25</v>
      </c>
      <c r="L934" s="50" t="s">
        <v>26</v>
      </c>
      <c r="M934" s="50" t="s">
        <v>27</v>
      </c>
      <c r="N934" s="50" t="s">
        <v>17</v>
      </c>
      <c r="O934" s="51" t="str">
        <f t="shared" si="2"/>
        <v>https://monitoramento.pm.pr.gov.br/proxy_image_16/Interface/Cameras/GetJPEGStream?Camera=GCM55&amp;AuthUser=siscop&amp;AuthPass=Siscop1234&amp;Width=1024&amp;Height=768&amp;Quality=70&amp;FPS=10&amp;ResponseFormat=Text</v>
      </c>
      <c r="P934" s="28">
        <v>1.0</v>
      </c>
    </row>
    <row r="935">
      <c r="A935" s="43" t="s">
        <v>3308</v>
      </c>
      <c r="B935" s="44" t="s">
        <v>17</v>
      </c>
      <c r="C935" s="45" t="s">
        <v>3309</v>
      </c>
      <c r="D935" s="46">
        <v>8601.0</v>
      </c>
      <c r="E935" s="47" t="s">
        <v>3506</v>
      </c>
      <c r="F935" s="48" t="s">
        <v>3507</v>
      </c>
      <c r="G935" s="53" t="s">
        <v>3508</v>
      </c>
      <c r="H935" s="53" t="s">
        <v>3509</v>
      </c>
      <c r="I935" s="50" t="s">
        <v>8</v>
      </c>
      <c r="J935" s="50" t="s">
        <v>2061</v>
      </c>
      <c r="K935" s="50" t="s">
        <v>25</v>
      </c>
      <c r="L935" s="50" t="s">
        <v>26</v>
      </c>
      <c r="M935" s="50" t="s">
        <v>27</v>
      </c>
      <c r="N935" s="50" t="s">
        <v>17</v>
      </c>
      <c r="O935" s="51" t="str">
        <f t="shared" si="2"/>
        <v>https://monitoramento.pm.pr.gov.br/proxy_image_16/Interface/Cameras/GetJPEGStream?Camera=GCM56&amp;AuthUser=siscop&amp;AuthPass=Siscop1234&amp;Width=1024&amp;Height=768&amp;Quality=70&amp;FPS=10&amp;ResponseFormat=Text</v>
      </c>
      <c r="P935" s="28">
        <v>1.0</v>
      </c>
    </row>
    <row r="936">
      <c r="A936" s="43" t="s">
        <v>3308</v>
      </c>
      <c r="B936" s="44" t="s">
        <v>17</v>
      </c>
      <c r="C936" s="45" t="s">
        <v>3309</v>
      </c>
      <c r="D936" s="46">
        <v>8601.0</v>
      </c>
      <c r="E936" s="47" t="s">
        <v>3510</v>
      </c>
      <c r="F936" s="48" t="s">
        <v>3421</v>
      </c>
      <c r="G936" s="53" t="s">
        <v>3422</v>
      </c>
      <c r="H936" s="53" t="s">
        <v>3422</v>
      </c>
      <c r="I936" s="50" t="s">
        <v>8</v>
      </c>
      <c r="J936" s="50" t="s">
        <v>2061</v>
      </c>
      <c r="K936" s="50" t="s">
        <v>25</v>
      </c>
      <c r="L936" s="50" t="s">
        <v>26</v>
      </c>
      <c r="M936" s="50" t="s">
        <v>27</v>
      </c>
      <c r="N936" s="50" t="s">
        <v>17</v>
      </c>
      <c r="O936" s="54" t="str">
        <f t="shared" si="2"/>
        <v>#</v>
      </c>
      <c r="P936" s="28">
        <v>0.0</v>
      </c>
    </row>
    <row r="937">
      <c r="A937" s="43" t="s">
        <v>3308</v>
      </c>
      <c r="B937" s="44" t="s">
        <v>17</v>
      </c>
      <c r="C937" s="45" t="s">
        <v>3309</v>
      </c>
      <c r="D937" s="46">
        <v>8601.0</v>
      </c>
      <c r="E937" s="47" t="s">
        <v>3511</v>
      </c>
      <c r="F937" s="48" t="s">
        <v>3421</v>
      </c>
      <c r="G937" s="53" t="s">
        <v>3422</v>
      </c>
      <c r="H937" s="53" t="s">
        <v>3422</v>
      </c>
      <c r="I937" s="50" t="s">
        <v>8</v>
      </c>
      <c r="J937" s="50" t="s">
        <v>2061</v>
      </c>
      <c r="K937" s="50" t="s">
        <v>25</v>
      </c>
      <c r="L937" s="50" t="s">
        <v>26</v>
      </c>
      <c r="M937" s="50" t="s">
        <v>27</v>
      </c>
      <c r="N937" s="50" t="s">
        <v>17</v>
      </c>
      <c r="O937" s="54" t="str">
        <f t="shared" si="2"/>
        <v>#</v>
      </c>
      <c r="P937" s="28">
        <v>0.0</v>
      </c>
    </row>
    <row r="938">
      <c r="A938" s="43" t="s">
        <v>3308</v>
      </c>
      <c r="B938" s="44" t="s">
        <v>17</v>
      </c>
      <c r="C938" s="45" t="s">
        <v>3309</v>
      </c>
      <c r="D938" s="46">
        <v>8601.0</v>
      </c>
      <c r="E938" s="47" t="s">
        <v>3512</v>
      </c>
      <c r="F938" s="48" t="s">
        <v>3421</v>
      </c>
      <c r="G938" s="53" t="s">
        <v>3422</v>
      </c>
      <c r="H938" s="53" t="s">
        <v>3422</v>
      </c>
      <c r="I938" s="50" t="s">
        <v>8</v>
      </c>
      <c r="J938" s="50" t="s">
        <v>2061</v>
      </c>
      <c r="K938" s="50" t="s">
        <v>25</v>
      </c>
      <c r="L938" s="50" t="s">
        <v>26</v>
      </c>
      <c r="M938" s="50" t="s">
        <v>27</v>
      </c>
      <c r="N938" s="50" t="s">
        <v>17</v>
      </c>
      <c r="O938" s="54" t="str">
        <f t="shared" si="2"/>
        <v>#</v>
      </c>
      <c r="P938" s="28">
        <v>0.0</v>
      </c>
    </row>
    <row r="939">
      <c r="A939" s="43" t="s">
        <v>3308</v>
      </c>
      <c r="B939" s="44" t="s">
        <v>17</v>
      </c>
      <c r="C939" s="45" t="s">
        <v>3309</v>
      </c>
      <c r="D939" s="46">
        <v>8601.0</v>
      </c>
      <c r="E939" s="47" t="s">
        <v>3513</v>
      </c>
      <c r="F939" s="48" t="s">
        <v>3421</v>
      </c>
      <c r="G939" s="53" t="s">
        <v>3422</v>
      </c>
      <c r="H939" s="53" t="s">
        <v>3422</v>
      </c>
      <c r="I939" s="50" t="s">
        <v>8</v>
      </c>
      <c r="J939" s="50" t="s">
        <v>2061</v>
      </c>
      <c r="K939" s="50" t="s">
        <v>25</v>
      </c>
      <c r="L939" s="50" t="s">
        <v>26</v>
      </c>
      <c r="M939" s="50" t="s">
        <v>27</v>
      </c>
      <c r="N939" s="50" t="s">
        <v>17</v>
      </c>
      <c r="O939" s="54" t="str">
        <f t="shared" si="2"/>
        <v>#</v>
      </c>
      <c r="P939" s="28">
        <v>0.0</v>
      </c>
    </row>
    <row r="940">
      <c r="A940" s="43" t="s">
        <v>3308</v>
      </c>
      <c r="B940" s="44" t="s">
        <v>17</v>
      </c>
      <c r="C940" s="45" t="s">
        <v>3309</v>
      </c>
      <c r="D940" s="46">
        <v>8601.0</v>
      </c>
      <c r="E940" s="47" t="s">
        <v>3514</v>
      </c>
      <c r="F940" s="48" t="s">
        <v>3515</v>
      </c>
      <c r="G940" s="53" t="s">
        <v>3516</v>
      </c>
      <c r="H940" s="53" t="s">
        <v>3517</v>
      </c>
      <c r="I940" s="50" t="s">
        <v>8</v>
      </c>
      <c r="J940" s="50" t="s">
        <v>2061</v>
      </c>
      <c r="K940" s="50" t="s">
        <v>25</v>
      </c>
      <c r="L940" s="50" t="s">
        <v>26</v>
      </c>
      <c r="M940" s="50" t="s">
        <v>27</v>
      </c>
      <c r="N940" s="50" t="s">
        <v>17</v>
      </c>
      <c r="O940" s="51" t="str">
        <f t="shared" si="2"/>
        <v>https://monitoramento.pm.pr.gov.br/proxy_image_16/Interface/Cameras/GetJPEGStream?Camera=GCM61&amp;AuthUser=siscop&amp;AuthPass=Siscop1234&amp;Width=1024&amp;Height=768&amp;Quality=70&amp;FPS=10&amp;ResponseFormat=Text</v>
      </c>
      <c r="P940" s="28">
        <v>1.0</v>
      </c>
    </row>
    <row r="941">
      <c r="A941" s="43" t="s">
        <v>3308</v>
      </c>
      <c r="B941" s="44" t="s">
        <v>17</v>
      </c>
      <c r="C941" s="45" t="s">
        <v>3309</v>
      </c>
      <c r="D941" s="46">
        <v>8601.0</v>
      </c>
      <c r="E941" s="47" t="s">
        <v>3518</v>
      </c>
      <c r="F941" s="48" t="s">
        <v>3519</v>
      </c>
      <c r="G941" s="53" t="s">
        <v>3520</v>
      </c>
      <c r="H941" s="53" t="s">
        <v>3521</v>
      </c>
      <c r="I941" s="50" t="s">
        <v>8</v>
      </c>
      <c r="J941" s="50" t="s">
        <v>2061</v>
      </c>
      <c r="K941" s="50" t="s">
        <v>25</v>
      </c>
      <c r="L941" s="50" t="s">
        <v>26</v>
      </c>
      <c r="M941" s="50" t="s">
        <v>27</v>
      </c>
      <c r="N941" s="50" t="s">
        <v>17</v>
      </c>
      <c r="O941" s="51" t="str">
        <f t="shared" si="2"/>
        <v>https://monitoramento.pm.pr.gov.br/proxy_image_16/Interface/Cameras/GetJPEGStream?Camera=GCM62&amp;AuthUser=siscop&amp;AuthPass=Siscop1234&amp;Width=1024&amp;Height=768&amp;Quality=70&amp;FPS=10&amp;ResponseFormat=Text</v>
      </c>
      <c r="P941" s="28">
        <v>1.0</v>
      </c>
    </row>
    <row r="942">
      <c r="A942" s="43" t="s">
        <v>3308</v>
      </c>
      <c r="B942" s="44" t="s">
        <v>17</v>
      </c>
      <c r="C942" s="45" t="s">
        <v>3309</v>
      </c>
      <c r="D942" s="46">
        <v>8601.0</v>
      </c>
      <c r="E942" s="47" t="s">
        <v>3522</v>
      </c>
      <c r="F942" s="48" t="s">
        <v>3421</v>
      </c>
      <c r="G942" s="53" t="s">
        <v>3422</v>
      </c>
      <c r="H942" s="53" t="s">
        <v>3422</v>
      </c>
      <c r="I942" s="50" t="s">
        <v>8</v>
      </c>
      <c r="J942" s="50" t="s">
        <v>2061</v>
      </c>
      <c r="K942" s="50" t="s">
        <v>25</v>
      </c>
      <c r="L942" s="50" t="s">
        <v>26</v>
      </c>
      <c r="M942" s="50" t="s">
        <v>27</v>
      </c>
      <c r="N942" s="50" t="s">
        <v>17</v>
      </c>
      <c r="O942" s="54" t="str">
        <f t="shared" si="2"/>
        <v>#</v>
      </c>
      <c r="P942" s="28">
        <v>0.0</v>
      </c>
    </row>
    <row r="943">
      <c r="A943" s="43" t="s">
        <v>3308</v>
      </c>
      <c r="B943" s="44" t="s">
        <v>17</v>
      </c>
      <c r="C943" s="45" t="s">
        <v>3309</v>
      </c>
      <c r="D943" s="46">
        <v>8601.0</v>
      </c>
      <c r="E943" s="47" t="s">
        <v>3523</v>
      </c>
      <c r="F943" s="48" t="s">
        <v>3524</v>
      </c>
      <c r="G943" s="53" t="s">
        <v>3525</v>
      </c>
      <c r="H943" s="53" t="s">
        <v>3526</v>
      </c>
      <c r="I943" s="50" t="s">
        <v>8</v>
      </c>
      <c r="J943" s="50" t="s">
        <v>2061</v>
      </c>
      <c r="K943" s="50" t="s">
        <v>25</v>
      </c>
      <c r="L943" s="50" t="s">
        <v>26</v>
      </c>
      <c r="M943" s="50" t="s">
        <v>27</v>
      </c>
      <c r="N943" s="50" t="s">
        <v>17</v>
      </c>
      <c r="O943" s="51" t="str">
        <f t="shared" si="2"/>
        <v>https://monitoramento.pm.pr.gov.br/proxy_image_16/Interface/Cameras/GetJPEGStream?Camera=GCM64&amp;AuthUser=siscop&amp;AuthPass=Siscop1234&amp;Width=1024&amp;Height=768&amp;Quality=70&amp;FPS=10&amp;ResponseFormat=Text</v>
      </c>
      <c r="P943" s="28">
        <v>1.0</v>
      </c>
    </row>
    <row r="944">
      <c r="A944" s="43" t="s">
        <v>3308</v>
      </c>
      <c r="B944" s="44" t="s">
        <v>17</v>
      </c>
      <c r="C944" s="45" t="s">
        <v>3309</v>
      </c>
      <c r="D944" s="46">
        <v>8601.0</v>
      </c>
      <c r="E944" s="47" t="s">
        <v>3527</v>
      </c>
      <c r="F944" s="48" t="s">
        <v>3528</v>
      </c>
      <c r="G944" s="53" t="s">
        <v>3529</v>
      </c>
      <c r="H944" s="53" t="s">
        <v>3530</v>
      </c>
      <c r="I944" s="50" t="s">
        <v>8</v>
      </c>
      <c r="J944" s="50" t="s">
        <v>2061</v>
      </c>
      <c r="K944" s="50" t="s">
        <v>25</v>
      </c>
      <c r="L944" s="50" t="s">
        <v>26</v>
      </c>
      <c r="M944" s="50" t="s">
        <v>27</v>
      </c>
      <c r="N944" s="50" t="s">
        <v>17</v>
      </c>
      <c r="O944" s="51" t="str">
        <f t="shared" si="2"/>
        <v>https://monitoramento.pm.pr.gov.br/proxy_image_16/Interface/Cameras/GetJPEGStream?Camera=GCM65&amp;AuthUser=siscop&amp;AuthPass=Siscop1234&amp;Width=1024&amp;Height=768&amp;Quality=70&amp;FPS=10&amp;ResponseFormat=Text</v>
      </c>
      <c r="P944" s="28">
        <v>1.0</v>
      </c>
    </row>
    <row r="945">
      <c r="A945" s="43" t="s">
        <v>3308</v>
      </c>
      <c r="B945" s="44" t="s">
        <v>17</v>
      </c>
      <c r="C945" s="45" t="s">
        <v>3309</v>
      </c>
      <c r="D945" s="46">
        <v>8601.0</v>
      </c>
      <c r="E945" s="47" t="s">
        <v>3531</v>
      </c>
      <c r="F945" s="48" t="s">
        <v>3532</v>
      </c>
      <c r="G945" s="53" t="s">
        <v>3533</v>
      </c>
      <c r="H945" s="53" t="s">
        <v>3534</v>
      </c>
      <c r="I945" s="50" t="s">
        <v>8</v>
      </c>
      <c r="J945" s="50" t="s">
        <v>2061</v>
      </c>
      <c r="K945" s="50" t="s">
        <v>25</v>
      </c>
      <c r="L945" s="50" t="s">
        <v>26</v>
      </c>
      <c r="M945" s="50" t="s">
        <v>27</v>
      </c>
      <c r="N945" s="50" t="s">
        <v>17</v>
      </c>
      <c r="O945" s="51" t="str">
        <f t="shared" si="2"/>
        <v>https://monitoramento.pm.pr.gov.br/proxy_image_16/Interface/Cameras/GetJPEGStream?Camera=GCM66&amp;AuthUser=siscop&amp;AuthPass=Siscop1234&amp;Width=1024&amp;Height=768&amp;Quality=70&amp;FPS=10&amp;ResponseFormat=Text</v>
      </c>
      <c r="P945" s="28">
        <v>1.0</v>
      </c>
    </row>
    <row r="946">
      <c r="A946" s="43" t="s">
        <v>3308</v>
      </c>
      <c r="B946" s="44" t="s">
        <v>17</v>
      </c>
      <c r="C946" s="45" t="s">
        <v>3309</v>
      </c>
      <c r="D946" s="46">
        <v>8601.0</v>
      </c>
      <c r="E946" s="47" t="s">
        <v>3535</v>
      </c>
      <c r="F946" s="48" t="s">
        <v>3536</v>
      </c>
      <c r="G946" s="53" t="s">
        <v>715</v>
      </c>
      <c r="H946" s="53" t="s">
        <v>3537</v>
      </c>
      <c r="I946" s="50" t="s">
        <v>8</v>
      </c>
      <c r="J946" s="50" t="s">
        <v>2061</v>
      </c>
      <c r="K946" s="50" t="s">
        <v>25</v>
      </c>
      <c r="L946" s="50" t="s">
        <v>26</v>
      </c>
      <c r="M946" s="50" t="s">
        <v>27</v>
      </c>
      <c r="N946" s="50" t="s">
        <v>17</v>
      </c>
      <c r="O946" s="51" t="str">
        <f t="shared" si="2"/>
        <v>https://monitoramento.pm.pr.gov.br/proxy_image_16/Interface/Cameras/GetJPEGStream?Camera=GCM67&amp;AuthUser=siscop&amp;AuthPass=Siscop1234&amp;Width=1024&amp;Height=768&amp;Quality=70&amp;FPS=10&amp;ResponseFormat=Text</v>
      </c>
      <c r="P946" s="28">
        <v>1.0</v>
      </c>
    </row>
    <row r="947">
      <c r="A947" s="43" t="s">
        <v>3308</v>
      </c>
      <c r="B947" s="44" t="s">
        <v>17</v>
      </c>
      <c r="C947" s="45" t="s">
        <v>3309</v>
      </c>
      <c r="D947" s="46">
        <v>8601.0</v>
      </c>
      <c r="E947" s="47" t="s">
        <v>3538</v>
      </c>
      <c r="F947" s="48" t="s">
        <v>3421</v>
      </c>
      <c r="G947" s="53" t="s">
        <v>3422</v>
      </c>
      <c r="H947" s="53" t="s">
        <v>3422</v>
      </c>
      <c r="I947" s="50" t="s">
        <v>8</v>
      </c>
      <c r="J947" s="50" t="s">
        <v>2061</v>
      </c>
      <c r="K947" s="50" t="s">
        <v>25</v>
      </c>
      <c r="L947" s="50" t="s">
        <v>26</v>
      </c>
      <c r="M947" s="50" t="s">
        <v>27</v>
      </c>
      <c r="N947" s="50" t="s">
        <v>17</v>
      </c>
      <c r="O947" s="54" t="str">
        <f t="shared" si="2"/>
        <v>#</v>
      </c>
      <c r="P947" s="28">
        <v>0.0</v>
      </c>
    </row>
    <row r="948">
      <c r="A948" s="43" t="s">
        <v>3308</v>
      </c>
      <c r="B948" s="44" t="s">
        <v>17</v>
      </c>
      <c r="C948" s="45" t="s">
        <v>3309</v>
      </c>
      <c r="D948" s="46">
        <v>8601.0</v>
      </c>
      <c r="E948" s="47" t="s">
        <v>3539</v>
      </c>
      <c r="F948" s="48" t="s">
        <v>3421</v>
      </c>
      <c r="G948" s="53" t="s">
        <v>3422</v>
      </c>
      <c r="H948" s="53" t="s">
        <v>3422</v>
      </c>
      <c r="I948" s="50" t="s">
        <v>8</v>
      </c>
      <c r="J948" s="50" t="s">
        <v>2061</v>
      </c>
      <c r="K948" s="50" t="s">
        <v>25</v>
      </c>
      <c r="L948" s="50" t="s">
        <v>26</v>
      </c>
      <c r="M948" s="50" t="s">
        <v>27</v>
      </c>
      <c r="N948" s="50" t="s">
        <v>17</v>
      </c>
      <c r="O948" s="54" t="str">
        <f t="shared" si="2"/>
        <v>#</v>
      </c>
      <c r="P948" s="28">
        <v>0.0</v>
      </c>
    </row>
    <row r="949">
      <c r="A949" s="43" t="s">
        <v>3308</v>
      </c>
      <c r="B949" s="44" t="s">
        <v>17</v>
      </c>
      <c r="C949" s="45" t="s">
        <v>3309</v>
      </c>
      <c r="D949" s="46">
        <v>8601.0</v>
      </c>
      <c r="E949" s="47" t="s">
        <v>3540</v>
      </c>
      <c r="F949" s="48" t="s">
        <v>3421</v>
      </c>
      <c r="G949" s="53" t="s">
        <v>3422</v>
      </c>
      <c r="H949" s="53" t="s">
        <v>3422</v>
      </c>
      <c r="I949" s="50" t="s">
        <v>8</v>
      </c>
      <c r="J949" s="50" t="s">
        <v>2061</v>
      </c>
      <c r="K949" s="50" t="s">
        <v>25</v>
      </c>
      <c r="L949" s="50" t="s">
        <v>26</v>
      </c>
      <c r="M949" s="50" t="s">
        <v>27</v>
      </c>
      <c r="N949" s="50" t="s">
        <v>17</v>
      </c>
      <c r="O949" s="54" t="str">
        <f t="shared" si="2"/>
        <v>#</v>
      </c>
      <c r="P949" s="28">
        <v>0.0</v>
      </c>
    </row>
    <row r="950">
      <c r="A950" s="43" t="s">
        <v>3308</v>
      </c>
      <c r="B950" s="44" t="s">
        <v>17</v>
      </c>
      <c r="C950" s="45" t="s">
        <v>3309</v>
      </c>
      <c r="D950" s="46">
        <v>8601.0</v>
      </c>
      <c r="E950" s="47" t="s">
        <v>3541</v>
      </c>
      <c r="F950" s="48" t="s">
        <v>3421</v>
      </c>
      <c r="G950" s="53" t="s">
        <v>3422</v>
      </c>
      <c r="H950" s="53" t="s">
        <v>3422</v>
      </c>
      <c r="I950" s="50" t="s">
        <v>8</v>
      </c>
      <c r="J950" s="50" t="s">
        <v>2061</v>
      </c>
      <c r="K950" s="50" t="s">
        <v>25</v>
      </c>
      <c r="L950" s="50" t="s">
        <v>26</v>
      </c>
      <c r="M950" s="50" t="s">
        <v>27</v>
      </c>
      <c r="N950" s="50" t="s">
        <v>17</v>
      </c>
      <c r="O950" s="54" t="str">
        <f t="shared" si="2"/>
        <v>#</v>
      </c>
      <c r="P950" s="28">
        <v>0.0</v>
      </c>
    </row>
    <row r="951">
      <c r="A951" s="43" t="s">
        <v>3308</v>
      </c>
      <c r="B951" s="44" t="s">
        <v>17</v>
      </c>
      <c r="C951" s="45" t="s">
        <v>3309</v>
      </c>
      <c r="D951" s="46">
        <v>8601.0</v>
      </c>
      <c r="E951" s="47" t="s">
        <v>3542</v>
      </c>
      <c r="F951" s="48" t="s">
        <v>3543</v>
      </c>
      <c r="G951" s="53" t="s">
        <v>3544</v>
      </c>
      <c r="H951" s="53" t="s">
        <v>3545</v>
      </c>
      <c r="I951" s="50" t="s">
        <v>8</v>
      </c>
      <c r="J951" s="50" t="s">
        <v>2061</v>
      </c>
      <c r="K951" s="50" t="s">
        <v>25</v>
      </c>
      <c r="L951" s="50" t="s">
        <v>26</v>
      </c>
      <c r="M951" s="50" t="s">
        <v>27</v>
      </c>
      <c r="N951" s="50" t="s">
        <v>17</v>
      </c>
      <c r="O951" s="51" t="str">
        <f t="shared" si="2"/>
        <v>https://monitoramento.pm.pr.gov.br/proxy_image_16/Interface/Cameras/GetJPEGStream?Camera=GCM72&amp;AuthUser=siscop&amp;AuthPass=Siscop1234&amp;Width=1024&amp;Height=768&amp;Quality=70&amp;FPS=10&amp;ResponseFormat=Text</v>
      </c>
      <c r="P951" s="28">
        <v>1.0</v>
      </c>
    </row>
    <row r="952">
      <c r="A952" s="43" t="s">
        <v>3308</v>
      </c>
      <c r="B952" s="44" t="s">
        <v>17</v>
      </c>
      <c r="C952" s="45" t="s">
        <v>3309</v>
      </c>
      <c r="D952" s="46">
        <v>8601.0</v>
      </c>
      <c r="E952" s="47" t="s">
        <v>3546</v>
      </c>
      <c r="F952" s="48" t="s">
        <v>3547</v>
      </c>
      <c r="G952" s="53" t="s">
        <v>3548</v>
      </c>
      <c r="H952" s="53" t="s">
        <v>3549</v>
      </c>
      <c r="I952" s="50" t="s">
        <v>8</v>
      </c>
      <c r="J952" s="50" t="s">
        <v>2061</v>
      </c>
      <c r="K952" s="50" t="s">
        <v>25</v>
      </c>
      <c r="L952" s="50" t="s">
        <v>26</v>
      </c>
      <c r="M952" s="50" t="s">
        <v>27</v>
      </c>
      <c r="N952" s="50" t="s">
        <v>17</v>
      </c>
      <c r="O952" s="51" t="str">
        <f t="shared" si="2"/>
        <v>https://monitoramento.pm.pr.gov.br/proxy_image_16/Interface/Cameras/GetJPEGStream?Camera=GCM73&amp;AuthUser=siscop&amp;AuthPass=Siscop1234&amp;Width=1024&amp;Height=768&amp;Quality=70&amp;FPS=10&amp;ResponseFormat=Text</v>
      </c>
      <c r="P952" s="28">
        <v>1.0</v>
      </c>
    </row>
    <row r="953">
      <c r="A953" s="43" t="s">
        <v>3308</v>
      </c>
      <c r="B953" s="44" t="s">
        <v>17</v>
      </c>
      <c r="C953" s="45" t="s">
        <v>3309</v>
      </c>
      <c r="D953" s="46">
        <v>8601.0</v>
      </c>
      <c r="E953" s="47" t="s">
        <v>3550</v>
      </c>
      <c r="F953" s="48" t="s">
        <v>3551</v>
      </c>
      <c r="G953" s="53" t="s">
        <v>3552</v>
      </c>
      <c r="H953" s="53" t="s">
        <v>3553</v>
      </c>
      <c r="I953" s="50" t="s">
        <v>8</v>
      </c>
      <c r="J953" s="50" t="s">
        <v>2061</v>
      </c>
      <c r="K953" s="50" t="s">
        <v>25</v>
      </c>
      <c r="L953" s="50" t="s">
        <v>26</v>
      </c>
      <c r="M953" s="50" t="s">
        <v>27</v>
      </c>
      <c r="N953" s="50" t="s">
        <v>17</v>
      </c>
      <c r="O953" s="51" t="str">
        <f t="shared" si="2"/>
        <v>https://monitoramento.pm.pr.gov.br/proxy_image_16/Interface/Cameras/GetJPEGStream?Camera=GCM74&amp;AuthUser=siscop&amp;AuthPass=Siscop1234&amp;Width=1024&amp;Height=768&amp;Quality=70&amp;FPS=10&amp;ResponseFormat=Text</v>
      </c>
      <c r="P953" s="28">
        <v>1.0</v>
      </c>
    </row>
    <row r="954">
      <c r="A954" s="43" t="s">
        <v>3308</v>
      </c>
      <c r="B954" s="44" t="s">
        <v>17</v>
      </c>
      <c r="C954" s="45" t="s">
        <v>3309</v>
      </c>
      <c r="D954" s="46">
        <v>8601.0</v>
      </c>
      <c r="E954" s="47" t="s">
        <v>3554</v>
      </c>
      <c r="F954" s="48" t="s">
        <v>3421</v>
      </c>
      <c r="G954" s="53" t="s">
        <v>3422</v>
      </c>
      <c r="H954" s="53" t="s">
        <v>3422</v>
      </c>
      <c r="I954" s="50" t="s">
        <v>8</v>
      </c>
      <c r="J954" s="50" t="s">
        <v>2061</v>
      </c>
      <c r="K954" s="50" t="s">
        <v>25</v>
      </c>
      <c r="L954" s="50" t="s">
        <v>26</v>
      </c>
      <c r="M954" s="50" t="s">
        <v>27</v>
      </c>
      <c r="N954" s="50" t="s">
        <v>17</v>
      </c>
      <c r="O954" s="54" t="str">
        <f t="shared" si="2"/>
        <v>#</v>
      </c>
      <c r="P954" s="28">
        <v>0.0</v>
      </c>
    </row>
    <row r="955">
      <c r="A955" s="43" t="s">
        <v>3308</v>
      </c>
      <c r="B955" s="44" t="s">
        <v>17</v>
      </c>
      <c r="C955" s="45" t="s">
        <v>3309</v>
      </c>
      <c r="D955" s="46">
        <v>8601.0</v>
      </c>
      <c r="E955" s="47" t="s">
        <v>3555</v>
      </c>
      <c r="F955" s="48" t="s">
        <v>3421</v>
      </c>
      <c r="G955" s="53" t="s">
        <v>3422</v>
      </c>
      <c r="H955" s="53" t="s">
        <v>3422</v>
      </c>
      <c r="I955" s="50" t="s">
        <v>8</v>
      </c>
      <c r="J955" s="50" t="s">
        <v>2061</v>
      </c>
      <c r="K955" s="50" t="s">
        <v>25</v>
      </c>
      <c r="L955" s="50" t="s">
        <v>26</v>
      </c>
      <c r="M955" s="50" t="s">
        <v>27</v>
      </c>
      <c r="N955" s="50" t="s">
        <v>17</v>
      </c>
      <c r="O955" s="54" t="str">
        <f t="shared" si="2"/>
        <v>#</v>
      </c>
      <c r="P955" s="28">
        <v>0.0</v>
      </c>
    </row>
    <row r="956">
      <c r="A956" s="43" t="s">
        <v>3308</v>
      </c>
      <c r="B956" s="44" t="s">
        <v>17</v>
      </c>
      <c r="C956" s="45" t="s">
        <v>3309</v>
      </c>
      <c r="D956" s="46">
        <v>8601.0</v>
      </c>
      <c r="E956" s="47" t="s">
        <v>3556</v>
      </c>
      <c r="F956" s="48" t="s">
        <v>3421</v>
      </c>
      <c r="G956" s="53" t="s">
        <v>3422</v>
      </c>
      <c r="H956" s="53" t="s">
        <v>3422</v>
      </c>
      <c r="I956" s="50" t="s">
        <v>8</v>
      </c>
      <c r="J956" s="50" t="s">
        <v>2061</v>
      </c>
      <c r="K956" s="50" t="s">
        <v>25</v>
      </c>
      <c r="L956" s="50" t="s">
        <v>26</v>
      </c>
      <c r="M956" s="50" t="s">
        <v>27</v>
      </c>
      <c r="N956" s="50" t="s">
        <v>17</v>
      </c>
      <c r="O956" s="54" t="str">
        <f t="shared" si="2"/>
        <v>#</v>
      </c>
      <c r="P956" s="28">
        <v>0.0</v>
      </c>
    </row>
    <row r="957">
      <c r="A957" s="43" t="s">
        <v>3308</v>
      </c>
      <c r="B957" s="44" t="s">
        <v>17</v>
      </c>
      <c r="C957" s="45" t="s">
        <v>3309</v>
      </c>
      <c r="D957" s="46">
        <v>8601.0</v>
      </c>
      <c r="E957" s="47" t="s">
        <v>3557</v>
      </c>
      <c r="F957" s="48" t="s">
        <v>3421</v>
      </c>
      <c r="G957" s="53" t="s">
        <v>3422</v>
      </c>
      <c r="H957" s="53" t="s">
        <v>3422</v>
      </c>
      <c r="I957" s="50" t="s">
        <v>8</v>
      </c>
      <c r="J957" s="50" t="s">
        <v>2061</v>
      </c>
      <c r="K957" s="50" t="s">
        <v>25</v>
      </c>
      <c r="L957" s="50" t="s">
        <v>26</v>
      </c>
      <c r="M957" s="50" t="s">
        <v>27</v>
      </c>
      <c r="N957" s="50" t="s">
        <v>17</v>
      </c>
      <c r="O957" s="54" t="str">
        <f t="shared" si="2"/>
        <v>#</v>
      </c>
      <c r="P957" s="28">
        <v>0.0</v>
      </c>
    </row>
    <row r="958">
      <c r="A958" s="43" t="s">
        <v>3308</v>
      </c>
      <c r="B958" s="44" t="s">
        <v>17</v>
      </c>
      <c r="C958" s="45" t="s">
        <v>3309</v>
      </c>
      <c r="D958" s="46">
        <v>8601.0</v>
      </c>
      <c r="E958" s="47" t="s">
        <v>3558</v>
      </c>
      <c r="F958" s="48" t="s">
        <v>3559</v>
      </c>
      <c r="G958" s="53" t="s">
        <v>3560</v>
      </c>
      <c r="H958" s="53" t="s">
        <v>3561</v>
      </c>
      <c r="I958" s="50" t="s">
        <v>8</v>
      </c>
      <c r="J958" s="50" t="s">
        <v>2061</v>
      </c>
      <c r="K958" s="50" t="s">
        <v>25</v>
      </c>
      <c r="L958" s="50" t="s">
        <v>26</v>
      </c>
      <c r="M958" s="50" t="s">
        <v>27</v>
      </c>
      <c r="N958" s="50" t="s">
        <v>17</v>
      </c>
      <c r="O958" s="51" t="str">
        <f t="shared" si="2"/>
        <v>https://monitoramento.pm.pr.gov.br/proxy_image_16/Interface/Cameras/GetJPEGStream?Camera=GCM79&amp;AuthUser=siscop&amp;AuthPass=Siscop1234&amp;Width=1024&amp;Height=768&amp;Quality=70&amp;FPS=10&amp;ResponseFormat=Text</v>
      </c>
      <c r="P958" s="28">
        <v>1.0</v>
      </c>
    </row>
    <row r="959">
      <c r="A959" s="43" t="s">
        <v>3308</v>
      </c>
      <c r="B959" s="44" t="s">
        <v>17</v>
      </c>
      <c r="C959" s="45" t="s">
        <v>3309</v>
      </c>
      <c r="D959" s="46">
        <v>8601.0</v>
      </c>
      <c r="E959" s="47" t="s">
        <v>3562</v>
      </c>
      <c r="F959" s="48" t="s">
        <v>3563</v>
      </c>
      <c r="G959" s="53" t="s">
        <v>3564</v>
      </c>
      <c r="H959" s="53" t="s">
        <v>3565</v>
      </c>
      <c r="I959" s="50" t="s">
        <v>8</v>
      </c>
      <c r="J959" s="50" t="s">
        <v>2061</v>
      </c>
      <c r="K959" s="50" t="s">
        <v>25</v>
      </c>
      <c r="L959" s="50" t="s">
        <v>26</v>
      </c>
      <c r="M959" s="50" t="s">
        <v>27</v>
      </c>
      <c r="N959" s="50" t="s">
        <v>17</v>
      </c>
      <c r="O959" s="51" t="str">
        <f t="shared" si="2"/>
        <v>https://monitoramento.pm.pr.gov.br/proxy_image_16/Interface/Cameras/GetJPEGStream?Camera=GCM80&amp;AuthUser=siscop&amp;AuthPass=Siscop1234&amp;Width=1024&amp;Height=768&amp;Quality=70&amp;FPS=10&amp;ResponseFormat=Text</v>
      </c>
      <c r="P959" s="28">
        <v>1.0</v>
      </c>
    </row>
    <row r="960">
      <c r="A960" s="43" t="s">
        <v>3308</v>
      </c>
      <c r="B960" s="44" t="s">
        <v>17</v>
      </c>
      <c r="C960" s="45" t="s">
        <v>3309</v>
      </c>
      <c r="D960" s="46">
        <v>8601.0</v>
      </c>
      <c r="E960" s="47" t="s">
        <v>3566</v>
      </c>
      <c r="F960" s="48" t="s">
        <v>3421</v>
      </c>
      <c r="G960" s="53" t="s">
        <v>3422</v>
      </c>
      <c r="H960" s="53" t="s">
        <v>3422</v>
      </c>
      <c r="I960" s="50" t="s">
        <v>8</v>
      </c>
      <c r="J960" s="50" t="s">
        <v>2061</v>
      </c>
      <c r="K960" s="50" t="s">
        <v>25</v>
      </c>
      <c r="L960" s="50" t="s">
        <v>26</v>
      </c>
      <c r="M960" s="50" t="s">
        <v>27</v>
      </c>
      <c r="N960" s="50" t="s">
        <v>17</v>
      </c>
      <c r="O960" s="54" t="str">
        <f t="shared" si="2"/>
        <v>#</v>
      </c>
      <c r="P960" s="28">
        <v>0.0</v>
      </c>
    </row>
    <row r="961">
      <c r="A961" s="43" t="s">
        <v>3308</v>
      </c>
      <c r="B961" s="44" t="s">
        <v>17</v>
      </c>
      <c r="C961" s="45" t="s">
        <v>3309</v>
      </c>
      <c r="D961" s="46">
        <v>8601.0</v>
      </c>
      <c r="E961" s="47" t="s">
        <v>3567</v>
      </c>
      <c r="F961" s="48" t="s">
        <v>3421</v>
      </c>
      <c r="G961" s="53" t="s">
        <v>3422</v>
      </c>
      <c r="H961" s="53" t="s">
        <v>3422</v>
      </c>
      <c r="I961" s="50" t="s">
        <v>8</v>
      </c>
      <c r="J961" s="50" t="s">
        <v>2061</v>
      </c>
      <c r="K961" s="50" t="s">
        <v>25</v>
      </c>
      <c r="L961" s="50" t="s">
        <v>26</v>
      </c>
      <c r="M961" s="50" t="s">
        <v>27</v>
      </c>
      <c r="N961" s="50" t="s">
        <v>17</v>
      </c>
      <c r="O961" s="54" t="str">
        <f t="shared" si="2"/>
        <v>#</v>
      </c>
      <c r="P961" s="28">
        <v>0.0</v>
      </c>
    </row>
    <row r="962">
      <c r="A962" s="43" t="s">
        <v>3308</v>
      </c>
      <c r="B962" s="44" t="s">
        <v>17</v>
      </c>
      <c r="C962" s="45" t="s">
        <v>3309</v>
      </c>
      <c r="D962" s="46">
        <v>8601.0</v>
      </c>
      <c r="E962" s="47" t="s">
        <v>3568</v>
      </c>
      <c r="F962" s="48" t="s">
        <v>3421</v>
      </c>
      <c r="G962" s="53" t="s">
        <v>3422</v>
      </c>
      <c r="H962" s="53" t="s">
        <v>3422</v>
      </c>
      <c r="I962" s="50" t="s">
        <v>8</v>
      </c>
      <c r="J962" s="50" t="s">
        <v>2061</v>
      </c>
      <c r="K962" s="50" t="s">
        <v>25</v>
      </c>
      <c r="L962" s="50" t="s">
        <v>26</v>
      </c>
      <c r="M962" s="50" t="s">
        <v>27</v>
      </c>
      <c r="N962" s="50" t="s">
        <v>17</v>
      </c>
      <c r="O962" s="54" t="str">
        <f t="shared" si="2"/>
        <v>#</v>
      </c>
      <c r="P962" s="28">
        <v>0.0</v>
      </c>
    </row>
    <row r="963">
      <c r="A963" s="43" t="s">
        <v>3308</v>
      </c>
      <c r="B963" s="44" t="s">
        <v>17</v>
      </c>
      <c r="C963" s="45" t="s">
        <v>3309</v>
      </c>
      <c r="D963" s="46">
        <v>8601.0</v>
      </c>
      <c r="E963" s="47" t="s">
        <v>3569</v>
      </c>
      <c r="F963" s="48" t="s">
        <v>3570</v>
      </c>
      <c r="G963" s="53" t="s">
        <v>3571</v>
      </c>
      <c r="H963" s="53" t="s">
        <v>3572</v>
      </c>
      <c r="I963" s="50" t="s">
        <v>8</v>
      </c>
      <c r="J963" s="50" t="s">
        <v>2061</v>
      </c>
      <c r="K963" s="50" t="s">
        <v>25</v>
      </c>
      <c r="L963" s="50" t="s">
        <v>26</v>
      </c>
      <c r="M963" s="50" t="s">
        <v>27</v>
      </c>
      <c r="N963" s="50" t="s">
        <v>17</v>
      </c>
      <c r="O963" s="51" t="str">
        <f t="shared" si="2"/>
        <v>https://monitoramento.pm.pr.gov.br/proxy_image_16/Interface/Cameras/GetJPEGStream?Camera=GCM84&amp;AuthUser=siscop&amp;AuthPass=Siscop1234&amp;Width=1024&amp;Height=768&amp;Quality=70&amp;FPS=10&amp;ResponseFormat=Text</v>
      </c>
      <c r="P963" s="28">
        <v>1.0</v>
      </c>
    </row>
    <row r="964">
      <c r="A964" s="43" t="s">
        <v>3308</v>
      </c>
      <c r="B964" s="44" t="s">
        <v>17</v>
      </c>
      <c r="C964" s="45" t="s">
        <v>3309</v>
      </c>
      <c r="D964" s="46">
        <v>8601.0</v>
      </c>
      <c r="E964" s="47" t="s">
        <v>3573</v>
      </c>
      <c r="F964" s="48" t="s">
        <v>3421</v>
      </c>
      <c r="G964" s="53" t="s">
        <v>3422</v>
      </c>
      <c r="H964" s="53" t="s">
        <v>3422</v>
      </c>
      <c r="I964" s="50" t="s">
        <v>8</v>
      </c>
      <c r="J964" s="50" t="s">
        <v>2061</v>
      </c>
      <c r="K964" s="50" t="s">
        <v>25</v>
      </c>
      <c r="L964" s="50" t="s">
        <v>26</v>
      </c>
      <c r="M964" s="50" t="s">
        <v>27</v>
      </c>
      <c r="N964" s="50" t="s">
        <v>17</v>
      </c>
      <c r="O964" s="54" t="str">
        <f t="shared" si="2"/>
        <v>#</v>
      </c>
      <c r="P964" s="28">
        <v>0.0</v>
      </c>
    </row>
    <row r="965">
      <c r="A965" s="43" t="s">
        <v>3308</v>
      </c>
      <c r="B965" s="44" t="s">
        <v>17</v>
      </c>
      <c r="C965" s="45" t="s">
        <v>3309</v>
      </c>
      <c r="D965" s="46">
        <v>8601.0</v>
      </c>
      <c r="E965" s="47" t="s">
        <v>3574</v>
      </c>
      <c r="F965" s="48" t="s">
        <v>3421</v>
      </c>
      <c r="G965" s="53" t="s">
        <v>3422</v>
      </c>
      <c r="H965" s="53" t="s">
        <v>3422</v>
      </c>
      <c r="I965" s="50" t="s">
        <v>8</v>
      </c>
      <c r="J965" s="50" t="s">
        <v>2061</v>
      </c>
      <c r="K965" s="50" t="s">
        <v>25</v>
      </c>
      <c r="L965" s="50" t="s">
        <v>26</v>
      </c>
      <c r="M965" s="50" t="s">
        <v>27</v>
      </c>
      <c r="N965" s="50" t="s">
        <v>17</v>
      </c>
      <c r="O965" s="54" t="str">
        <f t="shared" si="2"/>
        <v>#</v>
      </c>
      <c r="P965" s="28">
        <v>0.0</v>
      </c>
    </row>
    <row r="966">
      <c r="A966" s="43" t="s">
        <v>3308</v>
      </c>
      <c r="B966" s="44" t="s">
        <v>17</v>
      </c>
      <c r="C966" s="45" t="s">
        <v>3309</v>
      </c>
      <c r="D966" s="46">
        <v>8601.0</v>
      </c>
      <c r="E966" s="47" t="s">
        <v>3575</v>
      </c>
      <c r="F966" s="48" t="s">
        <v>3576</v>
      </c>
      <c r="G966" s="53" t="s">
        <v>3577</v>
      </c>
      <c r="H966" s="53" t="s">
        <v>3578</v>
      </c>
      <c r="I966" s="50" t="s">
        <v>8</v>
      </c>
      <c r="J966" s="50" t="s">
        <v>2061</v>
      </c>
      <c r="K966" s="50" t="s">
        <v>25</v>
      </c>
      <c r="L966" s="50" t="s">
        <v>26</v>
      </c>
      <c r="M966" s="50" t="s">
        <v>27</v>
      </c>
      <c r="N966" s="50" t="s">
        <v>17</v>
      </c>
      <c r="O966" s="51" t="str">
        <f t="shared" si="2"/>
        <v>https://monitoramento.pm.pr.gov.br/proxy_image_16/Interface/Cameras/GetJPEGStream?Camera=GCM87&amp;AuthUser=siscop&amp;AuthPass=Siscop1234&amp;Width=1024&amp;Height=768&amp;Quality=70&amp;FPS=10&amp;ResponseFormat=Text</v>
      </c>
      <c r="P966" s="28">
        <v>1.0</v>
      </c>
    </row>
    <row r="967">
      <c r="A967" s="43" t="s">
        <v>3308</v>
      </c>
      <c r="B967" s="44" t="s">
        <v>17</v>
      </c>
      <c r="C967" s="45" t="s">
        <v>3309</v>
      </c>
      <c r="D967" s="46">
        <v>8601.0</v>
      </c>
      <c r="E967" s="47" t="s">
        <v>3579</v>
      </c>
      <c r="F967" s="48" t="s">
        <v>3580</v>
      </c>
      <c r="G967" s="53" t="s">
        <v>3581</v>
      </c>
      <c r="H967" s="53" t="s">
        <v>3582</v>
      </c>
      <c r="I967" s="50" t="s">
        <v>8</v>
      </c>
      <c r="J967" s="50" t="s">
        <v>2061</v>
      </c>
      <c r="K967" s="50" t="s">
        <v>25</v>
      </c>
      <c r="L967" s="50" t="s">
        <v>26</v>
      </c>
      <c r="M967" s="50" t="s">
        <v>27</v>
      </c>
      <c r="N967" s="50" t="s">
        <v>17</v>
      </c>
      <c r="O967" s="51" t="str">
        <f t="shared" si="2"/>
        <v>https://monitoramento.pm.pr.gov.br/proxy_image_16/Interface/Cameras/GetJPEGStream?Camera=GCM88&amp;AuthUser=siscop&amp;AuthPass=Siscop1234&amp;Width=1024&amp;Height=768&amp;Quality=70&amp;FPS=10&amp;ResponseFormat=Text</v>
      </c>
      <c r="P967" s="28">
        <v>1.0</v>
      </c>
    </row>
    <row r="968">
      <c r="A968" s="43" t="s">
        <v>3308</v>
      </c>
      <c r="B968" s="44" t="s">
        <v>17</v>
      </c>
      <c r="C968" s="45" t="s">
        <v>3309</v>
      </c>
      <c r="D968" s="46">
        <v>8601.0</v>
      </c>
      <c r="E968" s="47" t="s">
        <v>3583</v>
      </c>
      <c r="F968" s="48" t="s">
        <v>3584</v>
      </c>
      <c r="G968" s="53" t="s">
        <v>3585</v>
      </c>
      <c r="H968" s="53" t="s">
        <v>3586</v>
      </c>
      <c r="I968" s="50" t="s">
        <v>8</v>
      </c>
      <c r="J968" s="50" t="s">
        <v>2061</v>
      </c>
      <c r="K968" s="50" t="s">
        <v>25</v>
      </c>
      <c r="L968" s="50" t="s">
        <v>26</v>
      </c>
      <c r="M968" s="50" t="s">
        <v>27</v>
      </c>
      <c r="N968" s="50" t="s">
        <v>17</v>
      </c>
      <c r="O968" s="51" t="str">
        <f t="shared" si="2"/>
        <v>https://monitoramento.pm.pr.gov.br/proxy_image_16/Interface/Cameras/GetJPEGStream?Camera=GCM89&amp;AuthUser=siscop&amp;AuthPass=Siscop1234&amp;Width=1024&amp;Height=768&amp;Quality=70&amp;FPS=10&amp;ResponseFormat=Text</v>
      </c>
      <c r="P968" s="28">
        <v>1.0</v>
      </c>
    </row>
    <row r="969">
      <c r="A969" s="43" t="s">
        <v>3308</v>
      </c>
      <c r="B969" s="44" t="s">
        <v>17</v>
      </c>
      <c r="C969" s="45" t="s">
        <v>3309</v>
      </c>
      <c r="D969" s="46">
        <v>8601.0</v>
      </c>
      <c r="E969" s="47" t="s">
        <v>3587</v>
      </c>
      <c r="F969" s="48" t="s">
        <v>3421</v>
      </c>
      <c r="G969" s="53" t="s">
        <v>3422</v>
      </c>
      <c r="H969" s="53" t="s">
        <v>3422</v>
      </c>
      <c r="I969" s="50" t="s">
        <v>8</v>
      </c>
      <c r="J969" s="50" t="s">
        <v>2061</v>
      </c>
      <c r="K969" s="50" t="s">
        <v>25</v>
      </c>
      <c r="L969" s="50" t="s">
        <v>26</v>
      </c>
      <c r="M969" s="50" t="s">
        <v>27</v>
      </c>
      <c r="N969" s="50" t="s">
        <v>17</v>
      </c>
      <c r="O969" s="54" t="str">
        <f t="shared" si="2"/>
        <v>#</v>
      </c>
      <c r="P969" s="28">
        <v>0.0</v>
      </c>
    </row>
    <row r="970">
      <c r="A970" s="43" t="s">
        <v>3308</v>
      </c>
      <c r="B970" s="44" t="s">
        <v>17</v>
      </c>
      <c r="C970" s="45" t="s">
        <v>3309</v>
      </c>
      <c r="D970" s="46">
        <v>8601.0</v>
      </c>
      <c r="E970" s="47" t="s">
        <v>3588</v>
      </c>
      <c r="F970" s="48" t="s">
        <v>3589</v>
      </c>
      <c r="G970" s="52" t="s">
        <v>3590</v>
      </c>
      <c r="H970" s="52" t="s">
        <v>3591</v>
      </c>
      <c r="I970" s="50" t="s">
        <v>8</v>
      </c>
      <c r="J970" s="50" t="s">
        <v>2061</v>
      </c>
      <c r="K970" s="50" t="s">
        <v>25</v>
      </c>
      <c r="L970" s="50" t="s">
        <v>26</v>
      </c>
      <c r="M970" s="50" t="s">
        <v>27</v>
      </c>
      <c r="N970" s="50" t="s">
        <v>17</v>
      </c>
      <c r="O970" s="51" t="str">
        <f t="shared" si="2"/>
        <v>https://monitoramento.pm.pr.gov.br/proxy_image_16/Interface/Cameras/GetJPEGStream?Camera=GCM91&amp;AuthUser=siscop&amp;AuthPass=Siscop1234&amp;Width=1024&amp;Height=768&amp;Quality=70&amp;FPS=10&amp;ResponseFormat=Text</v>
      </c>
      <c r="P970" s="28">
        <v>1.0</v>
      </c>
    </row>
    <row r="971">
      <c r="A971" s="43" t="s">
        <v>3308</v>
      </c>
      <c r="B971" s="44" t="s">
        <v>17</v>
      </c>
      <c r="C971" s="45" t="s">
        <v>3309</v>
      </c>
      <c r="D971" s="46">
        <v>8601.0</v>
      </c>
      <c r="E971" s="47" t="s">
        <v>3592</v>
      </c>
      <c r="F971" s="48" t="s">
        <v>3593</v>
      </c>
      <c r="G971" s="52" t="s">
        <v>3594</v>
      </c>
      <c r="H971" s="52" t="s">
        <v>3595</v>
      </c>
      <c r="I971" s="50" t="s">
        <v>8</v>
      </c>
      <c r="J971" s="50" t="s">
        <v>2061</v>
      </c>
      <c r="K971" s="50" t="s">
        <v>25</v>
      </c>
      <c r="L971" s="50" t="s">
        <v>26</v>
      </c>
      <c r="M971" s="50" t="s">
        <v>27</v>
      </c>
      <c r="N971" s="50" t="s">
        <v>17</v>
      </c>
      <c r="O971" s="51" t="str">
        <f t="shared" si="2"/>
        <v>https://monitoramento.pm.pr.gov.br/proxy_image_16/Interface/Cameras/GetJPEGStream?Camera=GCM92&amp;AuthUser=siscop&amp;AuthPass=Siscop1234&amp;Width=1024&amp;Height=768&amp;Quality=70&amp;FPS=10&amp;ResponseFormat=Text</v>
      </c>
      <c r="P971" s="28">
        <v>1.0</v>
      </c>
    </row>
    <row r="972">
      <c r="A972" s="43" t="s">
        <v>3308</v>
      </c>
      <c r="B972" s="44" t="s">
        <v>17</v>
      </c>
      <c r="C972" s="45" t="s">
        <v>3309</v>
      </c>
      <c r="D972" s="46">
        <v>8601.0</v>
      </c>
      <c r="E972" s="47" t="s">
        <v>3596</v>
      </c>
      <c r="F972" s="48" t="s">
        <v>3597</v>
      </c>
      <c r="G972" s="52" t="s">
        <v>3598</v>
      </c>
      <c r="H972" s="52" t="s">
        <v>3599</v>
      </c>
      <c r="I972" s="50" t="s">
        <v>8</v>
      </c>
      <c r="J972" s="50" t="s">
        <v>2061</v>
      </c>
      <c r="K972" s="50" t="s">
        <v>25</v>
      </c>
      <c r="L972" s="50" t="s">
        <v>26</v>
      </c>
      <c r="M972" s="50" t="s">
        <v>27</v>
      </c>
      <c r="N972" s="50" t="s">
        <v>17</v>
      </c>
      <c r="O972" s="51" t="str">
        <f t="shared" si="2"/>
        <v>https://monitoramento.pm.pr.gov.br/proxy_image_16/Interface/Cameras/GetJPEGStream?Camera=GCM93&amp;AuthUser=siscop&amp;AuthPass=Siscop1234&amp;Width=1024&amp;Height=768&amp;Quality=70&amp;FPS=10&amp;ResponseFormat=Text</v>
      </c>
      <c r="P972" s="28">
        <v>1.0</v>
      </c>
    </row>
    <row r="973">
      <c r="A973" s="43" t="s">
        <v>3308</v>
      </c>
      <c r="B973" s="44" t="s">
        <v>17</v>
      </c>
      <c r="C973" s="45" t="s">
        <v>3309</v>
      </c>
      <c r="D973" s="46">
        <v>8601.0</v>
      </c>
      <c r="E973" s="47" t="s">
        <v>3600</v>
      </c>
      <c r="F973" s="48" t="s">
        <v>3601</v>
      </c>
      <c r="G973" s="53" t="s">
        <v>3602</v>
      </c>
      <c r="H973" s="53" t="s">
        <v>3603</v>
      </c>
      <c r="I973" s="50" t="s">
        <v>8</v>
      </c>
      <c r="J973" s="50" t="s">
        <v>2061</v>
      </c>
      <c r="K973" s="50" t="s">
        <v>25</v>
      </c>
      <c r="L973" s="50" t="s">
        <v>26</v>
      </c>
      <c r="M973" s="50" t="s">
        <v>27</v>
      </c>
      <c r="N973" s="50" t="s">
        <v>17</v>
      </c>
      <c r="O973" s="51" t="str">
        <f t="shared" si="2"/>
        <v>https://monitoramento.pm.pr.gov.br/proxy_image_16/Interface/Cameras/GetJPEGStream?Camera=GCM94&amp;AuthUser=siscop&amp;AuthPass=Siscop1234&amp;Width=1024&amp;Height=768&amp;Quality=70&amp;FPS=10&amp;ResponseFormat=Text</v>
      </c>
      <c r="P973" s="28">
        <v>1.0</v>
      </c>
    </row>
    <row r="974">
      <c r="A974" s="43" t="s">
        <v>3308</v>
      </c>
      <c r="B974" s="44" t="s">
        <v>17</v>
      </c>
      <c r="C974" s="45" t="s">
        <v>3309</v>
      </c>
      <c r="D974" s="46">
        <v>8601.0</v>
      </c>
      <c r="E974" s="47" t="s">
        <v>3604</v>
      </c>
      <c r="F974" s="48" t="s">
        <v>3421</v>
      </c>
      <c r="G974" s="53" t="s">
        <v>3422</v>
      </c>
      <c r="H974" s="53" t="s">
        <v>3422</v>
      </c>
      <c r="I974" s="50" t="s">
        <v>8</v>
      </c>
      <c r="J974" s="50" t="s">
        <v>2061</v>
      </c>
      <c r="K974" s="50" t="s">
        <v>25</v>
      </c>
      <c r="L974" s="50" t="s">
        <v>26</v>
      </c>
      <c r="M974" s="50" t="s">
        <v>27</v>
      </c>
      <c r="N974" s="50" t="s">
        <v>17</v>
      </c>
      <c r="O974" s="54" t="str">
        <f t="shared" si="2"/>
        <v>#</v>
      </c>
      <c r="P974" s="28">
        <v>0.0</v>
      </c>
    </row>
    <row r="975">
      <c r="A975" s="43" t="s">
        <v>3308</v>
      </c>
      <c r="B975" s="44" t="s">
        <v>17</v>
      </c>
      <c r="C975" s="45" t="s">
        <v>3309</v>
      </c>
      <c r="D975" s="46">
        <v>8601.0</v>
      </c>
      <c r="E975" s="47" t="s">
        <v>3605</v>
      </c>
      <c r="F975" s="48" t="s">
        <v>3606</v>
      </c>
      <c r="G975" s="53" t="s">
        <v>3607</v>
      </c>
      <c r="H975" s="53" t="s">
        <v>3608</v>
      </c>
      <c r="I975" s="50" t="s">
        <v>8</v>
      </c>
      <c r="J975" s="50" t="s">
        <v>2061</v>
      </c>
      <c r="K975" s="50" t="s">
        <v>25</v>
      </c>
      <c r="L975" s="50" t="s">
        <v>26</v>
      </c>
      <c r="M975" s="50" t="s">
        <v>27</v>
      </c>
      <c r="N975" s="50" t="s">
        <v>17</v>
      </c>
      <c r="O975" s="51" t="str">
        <f t="shared" si="2"/>
        <v>https://monitoramento.pm.pr.gov.br/proxy_image_16/Interface/Cameras/GetJPEGStream?Camera=GCM96&amp;AuthUser=siscop&amp;AuthPass=Siscop1234&amp;Width=1024&amp;Height=768&amp;Quality=70&amp;FPS=10&amp;ResponseFormat=Text</v>
      </c>
      <c r="P975" s="28">
        <v>1.0</v>
      </c>
    </row>
    <row r="976">
      <c r="A976" s="43" t="s">
        <v>3308</v>
      </c>
      <c r="B976" s="44" t="s">
        <v>17</v>
      </c>
      <c r="C976" s="45" t="s">
        <v>3309</v>
      </c>
      <c r="D976" s="46">
        <v>8601.0</v>
      </c>
      <c r="E976" s="47" t="s">
        <v>3609</v>
      </c>
      <c r="F976" s="48" t="s">
        <v>3421</v>
      </c>
      <c r="G976" s="53" t="s">
        <v>3422</v>
      </c>
      <c r="H976" s="53" t="s">
        <v>3422</v>
      </c>
      <c r="I976" s="50" t="s">
        <v>8</v>
      </c>
      <c r="J976" s="50" t="s">
        <v>2061</v>
      </c>
      <c r="K976" s="50" t="s">
        <v>25</v>
      </c>
      <c r="L976" s="50" t="s">
        <v>26</v>
      </c>
      <c r="M976" s="50" t="s">
        <v>27</v>
      </c>
      <c r="N976" s="50" t="s">
        <v>17</v>
      </c>
      <c r="O976" s="54" t="str">
        <f t="shared" si="2"/>
        <v>#</v>
      </c>
      <c r="P976" s="28">
        <v>0.0</v>
      </c>
    </row>
    <row r="977">
      <c r="A977" s="43" t="s">
        <v>3308</v>
      </c>
      <c r="B977" s="44" t="s">
        <v>17</v>
      </c>
      <c r="C977" s="45" t="s">
        <v>3309</v>
      </c>
      <c r="D977" s="46">
        <v>8601.0</v>
      </c>
      <c r="E977" s="47" t="s">
        <v>3610</v>
      </c>
      <c r="F977" s="48" t="s">
        <v>3611</v>
      </c>
      <c r="G977" s="52" t="s">
        <v>3612</v>
      </c>
      <c r="H977" s="52" t="s">
        <v>3613</v>
      </c>
      <c r="I977" s="50" t="s">
        <v>8</v>
      </c>
      <c r="J977" s="50" t="s">
        <v>2061</v>
      </c>
      <c r="K977" s="50" t="s">
        <v>25</v>
      </c>
      <c r="L977" s="50" t="s">
        <v>26</v>
      </c>
      <c r="M977" s="50" t="s">
        <v>27</v>
      </c>
      <c r="N977" s="50" t="s">
        <v>17</v>
      </c>
      <c r="O977" s="51" t="str">
        <f t="shared" si="2"/>
        <v>https://monitoramento.pm.pr.gov.br/proxy_image_16/Interface/Cameras/GetJPEGStream?Camera=GCM98&amp;AuthUser=siscop&amp;AuthPass=Siscop1234&amp;Width=1024&amp;Height=768&amp;Quality=70&amp;FPS=10&amp;ResponseFormat=Text</v>
      </c>
      <c r="P977" s="28">
        <v>1.0</v>
      </c>
    </row>
    <row r="978">
      <c r="A978" s="43" t="s">
        <v>3308</v>
      </c>
      <c r="B978" s="44" t="s">
        <v>17</v>
      </c>
      <c r="C978" s="45" t="s">
        <v>3309</v>
      </c>
      <c r="D978" s="46">
        <v>8601.0</v>
      </c>
      <c r="E978" s="47" t="s">
        <v>3614</v>
      </c>
      <c r="F978" s="48" t="s">
        <v>3421</v>
      </c>
      <c r="G978" s="53" t="s">
        <v>3422</v>
      </c>
      <c r="H978" s="53" t="s">
        <v>3422</v>
      </c>
      <c r="I978" s="50" t="s">
        <v>8</v>
      </c>
      <c r="J978" s="50" t="s">
        <v>2061</v>
      </c>
      <c r="K978" s="50" t="s">
        <v>25</v>
      </c>
      <c r="L978" s="50" t="s">
        <v>26</v>
      </c>
      <c r="M978" s="50" t="s">
        <v>27</v>
      </c>
      <c r="N978" s="50" t="s">
        <v>17</v>
      </c>
      <c r="O978" s="54" t="str">
        <f t="shared" si="2"/>
        <v>#</v>
      </c>
      <c r="P978" s="28">
        <v>0.0</v>
      </c>
    </row>
    <row r="979">
      <c r="A979" s="43" t="s">
        <v>3308</v>
      </c>
      <c r="B979" s="44" t="s">
        <v>17</v>
      </c>
      <c r="C979" s="45" t="s">
        <v>3309</v>
      </c>
      <c r="D979" s="46">
        <v>8601.0</v>
      </c>
      <c r="E979" s="47" t="s">
        <v>3615</v>
      </c>
      <c r="F979" s="48" t="s">
        <v>3421</v>
      </c>
      <c r="G979" s="53" t="s">
        <v>3422</v>
      </c>
      <c r="H979" s="53" t="s">
        <v>3422</v>
      </c>
      <c r="I979" s="50" t="s">
        <v>8</v>
      </c>
      <c r="J979" s="50" t="s">
        <v>2061</v>
      </c>
      <c r="K979" s="50" t="s">
        <v>25</v>
      </c>
      <c r="L979" s="50" t="s">
        <v>26</v>
      </c>
      <c r="M979" s="50" t="s">
        <v>27</v>
      </c>
      <c r="N979" s="50" t="s">
        <v>17</v>
      </c>
      <c r="O979" s="54" t="str">
        <f t="shared" si="2"/>
        <v>#</v>
      </c>
      <c r="P979" s="28">
        <v>0.0</v>
      </c>
    </row>
    <row r="980">
      <c r="A980" s="43" t="s">
        <v>3308</v>
      </c>
      <c r="B980" s="44" t="s">
        <v>17</v>
      </c>
      <c r="C980" s="45" t="s">
        <v>3309</v>
      </c>
      <c r="D980" s="46">
        <v>8601.0</v>
      </c>
      <c r="E980" s="47" t="s">
        <v>3616</v>
      </c>
      <c r="F980" s="48" t="s">
        <v>3617</v>
      </c>
      <c r="G980" s="52" t="s">
        <v>3618</v>
      </c>
      <c r="H980" s="52" t="s">
        <v>3619</v>
      </c>
      <c r="I980" s="50" t="s">
        <v>8</v>
      </c>
      <c r="J980" s="50" t="s">
        <v>2061</v>
      </c>
      <c r="K980" s="50" t="s">
        <v>25</v>
      </c>
      <c r="L980" s="50" t="s">
        <v>26</v>
      </c>
      <c r="M980" s="50" t="s">
        <v>27</v>
      </c>
      <c r="N980" s="50" t="s">
        <v>17</v>
      </c>
      <c r="O980" s="51" t="str">
        <f t="shared" si="2"/>
        <v>https://monitoramento.pm.pr.gov.br/proxy_image_16/Interface/Cameras/GetJPEGStream?Camera=GCM101&amp;AuthUser=siscop&amp;AuthPass=Siscop1234&amp;Width=1024&amp;Height=768&amp;Quality=70&amp;FPS=10&amp;ResponseFormat=Text</v>
      </c>
      <c r="P980" s="28">
        <v>1.0</v>
      </c>
    </row>
    <row r="981">
      <c r="A981" s="43" t="s">
        <v>3308</v>
      </c>
      <c r="B981" s="44" t="s">
        <v>17</v>
      </c>
      <c r="C981" s="45" t="s">
        <v>3309</v>
      </c>
      <c r="D981" s="46">
        <v>8601.0</v>
      </c>
      <c r="E981" s="47" t="s">
        <v>3620</v>
      </c>
      <c r="F981" s="48" t="s">
        <v>3621</v>
      </c>
      <c r="G981" s="52" t="s">
        <v>3622</v>
      </c>
      <c r="H981" s="52" t="s">
        <v>3623</v>
      </c>
      <c r="I981" s="50" t="s">
        <v>8</v>
      </c>
      <c r="J981" s="50" t="s">
        <v>2061</v>
      </c>
      <c r="K981" s="50" t="s">
        <v>25</v>
      </c>
      <c r="L981" s="50" t="s">
        <v>26</v>
      </c>
      <c r="M981" s="50" t="s">
        <v>27</v>
      </c>
      <c r="N981" s="50" t="s">
        <v>17</v>
      </c>
      <c r="O981" s="51" t="str">
        <f t="shared" si="2"/>
        <v>https://monitoramento.pm.pr.gov.br/proxy_image_16/Interface/Cameras/GetJPEGStream?Camera=GCM102&amp;AuthUser=siscop&amp;AuthPass=Siscop1234&amp;Width=1024&amp;Height=768&amp;Quality=70&amp;FPS=10&amp;ResponseFormat=Text</v>
      </c>
      <c r="P981" s="28">
        <v>1.0</v>
      </c>
    </row>
    <row r="982">
      <c r="A982" s="43" t="s">
        <v>3308</v>
      </c>
      <c r="B982" s="44" t="s">
        <v>17</v>
      </c>
      <c r="C982" s="45" t="s">
        <v>3309</v>
      </c>
      <c r="D982" s="46">
        <v>8601.0</v>
      </c>
      <c r="E982" s="47" t="s">
        <v>3624</v>
      </c>
      <c r="F982" s="48" t="s">
        <v>3625</v>
      </c>
      <c r="G982" s="52" t="s">
        <v>3626</v>
      </c>
      <c r="H982" s="52" t="s">
        <v>3627</v>
      </c>
      <c r="I982" s="50" t="s">
        <v>8</v>
      </c>
      <c r="J982" s="50" t="s">
        <v>2061</v>
      </c>
      <c r="K982" s="50" t="s">
        <v>25</v>
      </c>
      <c r="L982" s="50" t="s">
        <v>26</v>
      </c>
      <c r="M982" s="50" t="s">
        <v>27</v>
      </c>
      <c r="N982" s="50" t="s">
        <v>17</v>
      </c>
      <c r="O982" s="51" t="str">
        <f t="shared" si="2"/>
        <v>https://monitoramento.pm.pr.gov.br/proxy_image_16/Interface/Cameras/GetJPEGStream?Camera=GCM103&amp;AuthUser=siscop&amp;AuthPass=Siscop1234&amp;Width=1024&amp;Height=768&amp;Quality=70&amp;FPS=10&amp;ResponseFormat=Text</v>
      </c>
      <c r="P982" s="28">
        <v>1.0</v>
      </c>
    </row>
    <row r="983">
      <c r="A983" s="43" t="s">
        <v>3308</v>
      </c>
      <c r="B983" s="44" t="s">
        <v>17</v>
      </c>
      <c r="C983" s="45" t="s">
        <v>3309</v>
      </c>
      <c r="D983" s="46">
        <v>8601.0</v>
      </c>
      <c r="E983" s="47" t="s">
        <v>3628</v>
      </c>
      <c r="F983" s="48" t="s">
        <v>3629</v>
      </c>
      <c r="G983" s="52" t="s">
        <v>3630</v>
      </c>
      <c r="H983" s="52" t="s">
        <v>3631</v>
      </c>
      <c r="I983" s="50" t="s">
        <v>8</v>
      </c>
      <c r="J983" s="50" t="s">
        <v>2061</v>
      </c>
      <c r="K983" s="50" t="s">
        <v>25</v>
      </c>
      <c r="L983" s="50" t="s">
        <v>26</v>
      </c>
      <c r="M983" s="50" t="s">
        <v>27</v>
      </c>
      <c r="N983" s="50" t="s">
        <v>17</v>
      </c>
      <c r="O983" s="51" t="str">
        <f t="shared" si="2"/>
        <v>https://monitoramento.pm.pr.gov.br/proxy_image_16/Interface/Cameras/GetJPEGStream?Camera=GCM104&amp;AuthUser=siscop&amp;AuthPass=Siscop1234&amp;Width=1024&amp;Height=768&amp;Quality=70&amp;FPS=10&amp;ResponseFormat=Text</v>
      </c>
      <c r="P983" s="28">
        <v>1.0</v>
      </c>
    </row>
    <row r="984">
      <c r="A984" s="43" t="s">
        <v>3308</v>
      </c>
      <c r="B984" s="44" t="s">
        <v>17</v>
      </c>
      <c r="C984" s="45" t="s">
        <v>3309</v>
      </c>
      <c r="D984" s="46">
        <v>8601.0</v>
      </c>
      <c r="E984" s="47" t="s">
        <v>3632</v>
      </c>
      <c r="F984" s="48" t="s">
        <v>3633</v>
      </c>
      <c r="G984" s="52" t="s">
        <v>3634</v>
      </c>
      <c r="H984" s="52" t="s">
        <v>3635</v>
      </c>
      <c r="I984" s="50" t="s">
        <v>8</v>
      </c>
      <c r="J984" s="50" t="s">
        <v>2061</v>
      </c>
      <c r="K984" s="50" t="s">
        <v>25</v>
      </c>
      <c r="L984" s="50" t="s">
        <v>26</v>
      </c>
      <c r="M984" s="50" t="s">
        <v>27</v>
      </c>
      <c r="N984" s="50" t="s">
        <v>17</v>
      </c>
      <c r="O984" s="51" t="str">
        <f t="shared" si="2"/>
        <v>https://monitoramento.pm.pr.gov.br/proxy_image_16/Interface/Cameras/GetJPEGStream?Camera=GCM105&amp;AuthUser=siscop&amp;AuthPass=Siscop1234&amp;Width=1024&amp;Height=768&amp;Quality=70&amp;FPS=10&amp;ResponseFormat=Text</v>
      </c>
      <c r="P984" s="28">
        <v>1.0</v>
      </c>
    </row>
    <row r="985">
      <c r="A985" s="43" t="s">
        <v>3308</v>
      </c>
      <c r="B985" s="44" t="s">
        <v>17</v>
      </c>
      <c r="C985" s="45" t="s">
        <v>3309</v>
      </c>
      <c r="D985" s="46">
        <v>8601.0</v>
      </c>
      <c r="E985" s="47" t="s">
        <v>3636</v>
      </c>
      <c r="F985" s="48" t="s">
        <v>3421</v>
      </c>
      <c r="G985" s="53" t="s">
        <v>3422</v>
      </c>
      <c r="H985" s="53" t="s">
        <v>3422</v>
      </c>
      <c r="I985" s="50" t="s">
        <v>8</v>
      </c>
      <c r="J985" s="50" t="s">
        <v>2061</v>
      </c>
      <c r="K985" s="50" t="s">
        <v>25</v>
      </c>
      <c r="L985" s="50" t="s">
        <v>26</v>
      </c>
      <c r="M985" s="50" t="s">
        <v>27</v>
      </c>
      <c r="N985" s="50" t="s">
        <v>17</v>
      </c>
      <c r="O985" s="54" t="str">
        <f t="shared" si="2"/>
        <v>#</v>
      </c>
      <c r="P985" s="28">
        <v>0.0</v>
      </c>
    </row>
    <row r="986">
      <c r="A986" s="43" t="s">
        <v>3308</v>
      </c>
      <c r="B986" s="44" t="s">
        <v>17</v>
      </c>
      <c r="C986" s="45" t="s">
        <v>3309</v>
      </c>
      <c r="D986" s="46">
        <v>8601.0</v>
      </c>
      <c r="E986" s="47" t="s">
        <v>3637</v>
      </c>
      <c r="F986" s="48" t="s">
        <v>3638</v>
      </c>
      <c r="G986" s="52" t="s">
        <v>3639</v>
      </c>
      <c r="H986" s="52" t="s">
        <v>3640</v>
      </c>
      <c r="I986" s="50" t="s">
        <v>8</v>
      </c>
      <c r="J986" s="50" t="s">
        <v>2061</v>
      </c>
      <c r="K986" s="50" t="s">
        <v>25</v>
      </c>
      <c r="L986" s="50" t="s">
        <v>26</v>
      </c>
      <c r="M986" s="50" t="s">
        <v>27</v>
      </c>
      <c r="N986" s="50" t="s">
        <v>17</v>
      </c>
      <c r="O986" s="51" t="str">
        <f t="shared" si="2"/>
        <v>https://monitoramento.pm.pr.gov.br/proxy_image_16/Interface/Cameras/GetJPEGStream?Camera=GCM107&amp;AuthUser=siscop&amp;AuthPass=Siscop1234&amp;Width=1024&amp;Height=768&amp;Quality=70&amp;FPS=10&amp;ResponseFormat=Text</v>
      </c>
      <c r="P986" s="28">
        <v>1.0</v>
      </c>
    </row>
    <row r="987">
      <c r="A987" s="43" t="s">
        <v>3308</v>
      </c>
      <c r="B987" s="44" t="s">
        <v>17</v>
      </c>
      <c r="C987" s="45" t="s">
        <v>3309</v>
      </c>
      <c r="D987" s="46">
        <v>8601.0</v>
      </c>
      <c r="E987" s="47" t="s">
        <v>3641</v>
      </c>
      <c r="F987" s="48" t="s">
        <v>3642</v>
      </c>
      <c r="G987" s="52" t="s">
        <v>3643</v>
      </c>
      <c r="H987" s="52" t="s">
        <v>3644</v>
      </c>
      <c r="I987" s="50" t="s">
        <v>8</v>
      </c>
      <c r="J987" s="50" t="s">
        <v>2061</v>
      </c>
      <c r="K987" s="50" t="s">
        <v>25</v>
      </c>
      <c r="L987" s="50" t="s">
        <v>26</v>
      </c>
      <c r="M987" s="50" t="s">
        <v>27</v>
      </c>
      <c r="N987" s="50" t="s">
        <v>17</v>
      </c>
      <c r="O987" s="51" t="str">
        <f t="shared" si="2"/>
        <v>https://monitoramento.pm.pr.gov.br/proxy_image_16/Interface/Cameras/GetJPEGStream?Camera=GCM108&amp;AuthUser=siscop&amp;AuthPass=Siscop1234&amp;Width=1024&amp;Height=768&amp;Quality=70&amp;FPS=10&amp;ResponseFormat=Text</v>
      </c>
      <c r="P987" s="28">
        <v>1.0</v>
      </c>
    </row>
    <row r="988">
      <c r="A988" s="43" t="s">
        <v>3308</v>
      </c>
      <c r="B988" s="44" t="s">
        <v>17</v>
      </c>
      <c r="C988" s="45" t="s">
        <v>3309</v>
      </c>
      <c r="D988" s="46">
        <v>8601.0</v>
      </c>
      <c r="E988" s="47" t="s">
        <v>3645</v>
      </c>
      <c r="F988" s="48" t="s">
        <v>3646</v>
      </c>
      <c r="G988" s="53" t="s">
        <v>3647</v>
      </c>
      <c r="H988" s="53" t="s">
        <v>3648</v>
      </c>
      <c r="I988" s="50" t="s">
        <v>8</v>
      </c>
      <c r="J988" s="50" t="s">
        <v>2061</v>
      </c>
      <c r="K988" s="50" t="s">
        <v>25</v>
      </c>
      <c r="L988" s="50" t="s">
        <v>26</v>
      </c>
      <c r="M988" s="50" t="s">
        <v>27</v>
      </c>
      <c r="N988" s="50" t="s">
        <v>17</v>
      </c>
      <c r="O988" s="51" t="str">
        <f t="shared" si="2"/>
        <v>https://monitoramento.pm.pr.gov.br/proxy_image_16/Interface/Cameras/GetJPEGStream?Camera=GCM109&amp;AuthUser=siscop&amp;AuthPass=Siscop1234&amp;Width=1024&amp;Height=768&amp;Quality=70&amp;FPS=10&amp;ResponseFormat=Text</v>
      </c>
      <c r="P988" s="28">
        <v>1.0</v>
      </c>
    </row>
    <row r="989">
      <c r="A989" s="43" t="s">
        <v>3308</v>
      </c>
      <c r="B989" s="44" t="s">
        <v>17</v>
      </c>
      <c r="C989" s="45" t="s">
        <v>3309</v>
      </c>
      <c r="D989" s="46">
        <v>8601.0</v>
      </c>
      <c r="E989" s="47" t="s">
        <v>3649</v>
      </c>
      <c r="F989" s="48" t="s">
        <v>3650</v>
      </c>
      <c r="G989" s="53" t="s">
        <v>3651</v>
      </c>
      <c r="H989" s="53" t="s">
        <v>3652</v>
      </c>
      <c r="I989" s="50" t="s">
        <v>8</v>
      </c>
      <c r="J989" s="50" t="s">
        <v>2061</v>
      </c>
      <c r="K989" s="50" t="s">
        <v>25</v>
      </c>
      <c r="L989" s="50" t="s">
        <v>26</v>
      </c>
      <c r="M989" s="50" t="s">
        <v>27</v>
      </c>
      <c r="N989" s="50" t="s">
        <v>17</v>
      </c>
      <c r="O989" s="51" t="str">
        <f t="shared" si="2"/>
        <v>https://monitoramento.pm.pr.gov.br/proxy_image_16/Interface/Cameras/GetJPEGStream?Camera=GCM110&amp;AuthUser=siscop&amp;AuthPass=Siscop1234&amp;Width=1024&amp;Height=768&amp;Quality=70&amp;FPS=10&amp;ResponseFormat=Text</v>
      </c>
      <c r="P989" s="28">
        <v>1.0</v>
      </c>
    </row>
    <row r="990">
      <c r="A990" s="43" t="s">
        <v>3308</v>
      </c>
      <c r="B990" s="44" t="s">
        <v>17</v>
      </c>
      <c r="C990" s="45" t="s">
        <v>3309</v>
      </c>
      <c r="D990" s="46">
        <v>8601.0</v>
      </c>
      <c r="E990" s="47" t="s">
        <v>3653</v>
      </c>
      <c r="F990" s="48" t="s">
        <v>3654</v>
      </c>
      <c r="G990" s="53" t="s">
        <v>3655</v>
      </c>
      <c r="H990" s="53" t="s">
        <v>3656</v>
      </c>
      <c r="I990" s="50" t="s">
        <v>8</v>
      </c>
      <c r="J990" s="50" t="s">
        <v>2061</v>
      </c>
      <c r="K990" s="50" t="s">
        <v>25</v>
      </c>
      <c r="L990" s="50" t="s">
        <v>26</v>
      </c>
      <c r="M990" s="50" t="s">
        <v>27</v>
      </c>
      <c r="N990" s="50" t="s">
        <v>17</v>
      </c>
      <c r="O990" s="51" t="str">
        <f t="shared" si="2"/>
        <v>https://monitoramento.pm.pr.gov.br/proxy_image_16/Interface/Cameras/GetJPEGStream?Camera=GCM111&amp;AuthUser=siscop&amp;AuthPass=Siscop1234&amp;Width=1024&amp;Height=768&amp;Quality=70&amp;FPS=10&amp;ResponseFormat=Text</v>
      </c>
      <c r="P990" s="28">
        <v>1.0</v>
      </c>
    </row>
    <row r="991">
      <c r="A991" s="43" t="s">
        <v>3308</v>
      </c>
      <c r="B991" s="44" t="s">
        <v>17</v>
      </c>
      <c r="C991" s="45" t="s">
        <v>3309</v>
      </c>
      <c r="D991" s="46">
        <v>8601.0</v>
      </c>
      <c r="E991" s="47" t="s">
        <v>3657</v>
      </c>
      <c r="F991" s="48" t="s">
        <v>3658</v>
      </c>
      <c r="G991" s="53" t="s">
        <v>3659</v>
      </c>
      <c r="H991" s="53" t="s">
        <v>3660</v>
      </c>
      <c r="I991" s="50" t="s">
        <v>8</v>
      </c>
      <c r="J991" s="50" t="s">
        <v>2061</v>
      </c>
      <c r="K991" s="50" t="s">
        <v>25</v>
      </c>
      <c r="L991" s="50" t="s">
        <v>26</v>
      </c>
      <c r="M991" s="50" t="s">
        <v>27</v>
      </c>
      <c r="N991" s="50" t="s">
        <v>17</v>
      </c>
      <c r="O991" s="51" t="str">
        <f t="shared" si="2"/>
        <v>https://monitoramento.pm.pr.gov.br/proxy_image_16/Interface/Cameras/GetJPEGStream?Camera=GCM112&amp;AuthUser=siscop&amp;AuthPass=Siscop1234&amp;Width=1024&amp;Height=768&amp;Quality=70&amp;FPS=10&amp;ResponseFormat=Text</v>
      </c>
      <c r="P991" s="28">
        <v>1.0</v>
      </c>
    </row>
    <row r="992">
      <c r="A992" s="43" t="s">
        <v>3308</v>
      </c>
      <c r="B992" s="44" t="s">
        <v>17</v>
      </c>
      <c r="C992" s="45" t="s">
        <v>3309</v>
      </c>
      <c r="D992" s="46">
        <v>8601.0</v>
      </c>
      <c r="E992" s="47" t="s">
        <v>3661</v>
      </c>
      <c r="F992" s="48" t="s">
        <v>3662</v>
      </c>
      <c r="G992" s="53" t="s">
        <v>3663</v>
      </c>
      <c r="H992" s="53" t="s">
        <v>3664</v>
      </c>
      <c r="I992" s="50" t="s">
        <v>8</v>
      </c>
      <c r="J992" s="50" t="s">
        <v>2061</v>
      </c>
      <c r="K992" s="50" t="s">
        <v>25</v>
      </c>
      <c r="L992" s="50" t="s">
        <v>26</v>
      </c>
      <c r="M992" s="50" t="s">
        <v>27</v>
      </c>
      <c r="N992" s="50" t="s">
        <v>17</v>
      </c>
      <c r="O992" s="51" t="str">
        <f t="shared" si="2"/>
        <v>https://monitoramento.pm.pr.gov.br/proxy_image_16/Interface/Cameras/GetJPEGStream?Camera=GCM113&amp;AuthUser=siscop&amp;AuthPass=Siscop1234&amp;Width=1024&amp;Height=768&amp;Quality=70&amp;FPS=10&amp;ResponseFormat=Text</v>
      </c>
      <c r="P992" s="28">
        <v>1.0</v>
      </c>
    </row>
    <row r="993">
      <c r="A993" s="43" t="s">
        <v>3308</v>
      </c>
      <c r="B993" s="44" t="s">
        <v>17</v>
      </c>
      <c r="C993" s="45" t="s">
        <v>3309</v>
      </c>
      <c r="D993" s="46">
        <v>8601.0</v>
      </c>
      <c r="E993" s="47" t="s">
        <v>3665</v>
      </c>
      <c r="F993" s="48" t="s">
        <v>3662</v>
      </c>
      <c r="G993" s="53" t="s">
        <v>3666</v>
      </c>
      <c r="H993" s="53" t="s">
        <v>3667</v>
      </c>
      <c r="I993" s="50" t="s">
        <v>8</v>
      </c>
      <c r="J993" s="50" t="s">
        <v>2061</v>
      </c>
      <c r="K993" s="50" t="s">
        <v>25</v>
      </c>
      <c r="L993" s="50" t="s">
        <v>26</v>
      </c>
      <c r="M993" s="50" t="s">
        <v>27</v>
      </c>
      <c r="N993" s="50" t="s">
        <v>17</v>
      </c>
      <c r="O993" s="51" t="str">
        <f t="shared" si="2"/>
        <v>https://monitoramento.pm.pr.gov.br/proxy_image_16/Interface/Cameras/GetJPEGStream?Camera=GCM114&amp;AuthUser=siscop&amp;AuthPass=Siscop1234&amp;Width=1024&amp;Height=768&amp;Quality=70&amp;FPS=10&amp;ResponseFormat=Text</v>
      </c>
      <c r="P993" s="28">
        <v>1.0</v>
      </c>
    </row>
    <row r="994">
      <c r="A994" s="43" t="s">
        <v>3308</v>
      </c>
      <c r="B994" s="44" t="s">
        <v>17</v>
      </c>
      <c r="C994" s="45" t="s">
        <v>3309</v>
      </c>
      <c r="D994" s="46">
        <v>8601.0</v>
      </c>
      <c r="E994" s="47" t="s">
        <v>3668</v>
      </c>
      <c r="F994" s="48" t="s">
        <v>3669</v>
      </c>
      <c r="G994" s="53" t="s">
        <v>3670</v>
      </c>
      <c r="H994" s="53" t="s">
        <v>3671</v>
      </c>
      <c r="I994" s="50" t="s">
        <v>8</v>
      </c>
      <c r="J994" s="50" t="s">
        <v>2061</v>
      </c>
      <c r="K994" s="50" t="s">
        <v>25</v>
      </c>
      <c r="L994" s="50" t="s">
        <v>26</v>
      </c>
      <c r="M994" s="50" t="s">
        <v>27</v>
      </c>
      <c r="N994" s="50" t="s">
        <v>17</v>
      </c>
      <c r="O994" s="51" t="str">
        <f t="shared" si="2"/>
        <v>https://monitoramento.pm.pr.gov.br/proxy_image_16/Interface/Cameras/GetJPEGStream?Camera=GCM115&amp;AuthUser=siscop&amp;AuthPass=Siscop1234&amp;Width=1024&amp;Height=768&amp;Quality=70&amp;FPS=10&amp;ResponseFormat=Text</v>
      </c>
      <c r="P994" s="28">
        <v>1.0</v>
      </c>
    </row>
    <row r="995">
      <c r="A995" s="43" t="s">
        <v>3308</v>
      </c>
      <c r="B995" s="44" t="s">
        <v>17</v>
      </c>
      <c r="C995" s="45" t="s">
        <v>3309</v>
      </c>
      <c r="D995" s="46">
        <v>8601.0</v>
      </c>
      <c r="E995" s="47" t="s">
        <v>3672</v>
      </c>
      <c r="F995" s="48" t="s">
        <v>3673</v>
      </c>
      <c r="G995" s="53" t="s">
        <v>212</v>
      </c>
      <c r="H995" s="53" t="s">
        <v>3674</v>
      </c>
      <c r="I995" s="50" t="s">
        <v>8</v>
      </c>
      <c r="J995" s="50" t="s">
        <v>2061</v>
      </c>
      <c r="K995" s="50" t="s">
        <v>25</v>
      </c>
      <c r="L995" s="50" t="s">
        <v>26</v>
      </c>
      <c r="M995" s="50" t="s">
        <v>27</v>
      </c>
      <c r="N995" s="50" t="s">
        <v>17</v>
      </c>
      <c r="O995" s="51" t="str">
        <f t="shared" si="2"/>
        <v>https://monitoramento.pm.pr.gov.br/proxy_image_16/Interface/Cameras/GetJPEGStream?Camera=GCM116&amp;AuthUser=siscop&amp;AuthPass=Siscop1234&amp;Width=1024&amp;Height=768&amp;Quality=70&amp;FPS=10&amp;ResponseFormat=Text</v>
      </c>
      <c r="P995" s="28">
        <v>1.0</v>
      </c>
    </row>
    <row r="996">
      <c r="A996" s="43" t="s">
        <v>3308</v>
      </c>
      <c r="B996" s="44" t="s">
        <v>17</v>
      </c>
      <c r="C996" s="45" t="s">
        <v>3309</v>
      </c>
      <c r="D996" s="46">
        <v>8601.0</v>
      </c>
      <c r="E996" s="47" t="s">
        <v>3675</v>
      </c>
      <c r="F996" s="48" t="s">
        <v>3676</v>
      </c>
      <c r="G996" s="53" t="s">
        <v>3677</v>
      </c>
      <c r="H996" s="53" t="s">
        <v>3678</v>
      </c>
      <c r="I996" s="50" t="s">
        <v>8</v>
      </c>
      <c r="J996" s="50" t="s">
        <v>2061</v>
      </c>
      <c r="K996" s="50" t="s">
        <v>25</v>
      </c>
      <c r="L996" s="50" t="s">
        <v>26</v>
      </c>
      <c r="M996" s="50" t="s">
        <v>27</v>
      </c>
      <c r="N996" s="50" t="s">
        <v>17</v>
      </c>
      <c r="O996" s="51" t="str">
        <f t="shared" si="2"/>
        <v>https://monitoramento.pm.pr.gov.br/proxy_image_16/Interface/Cameras/GetJPEGStream?Camera=GCM117&amp;AuthUser=siscop&amp;AuthPass=Siscop1234&amp;Width=1024&amp;Height=768&amp;Quality=70&amp;FPS=10&amp;ResponseFormat=Text</v>
      </c>
      <c r="P996" s="28">
        <v>1.0</v>
      </c>
    </row>
    <row r="997">
      <c r="A997" s="43" t="s">
        <v>3308</v>
      </c>
      <c r="B997" s="44" t="s">
        <v>17</v>
      </c>
      <c r="C997" s="45" t="s">
        <v>3309</v>
      </c>
      <c r="D997" s="46">
        <v>8601.0</v>
      </c>
      <c r="E997" s="47" t="s">
        <v>3679</v>
      </c>
      <c r="F997" s="48" t="s">
        <v>3680</v>
      </c>
      <c r="G997" s="53" t="s">
        <v>3681</v>
      </c>
      <c r="H997" s="53" t="s">
        <v>3682</v>
      </c>
      <c r="I997" s="50" t="s">
        <v>8</v>
      </c>
      <c r="J997" s="50" t="s">
        <v>2061</v>
      </c>
      <c r="K997" s="50" t="s">
        <v>25</v>
      </c>
      <c r="L997" s="50" t="s">
        <v>26</v>
      </c>
      <c r="M997" s="50" t="s">
        <v>27</v>
      </c>
      <c r="N997" s="50" t="s">
        <v>17</v>
      </c>
      <c r="O997" s="51" t="str">
        <f t="shared" si="2"/>
        <v>https://monitoramento.pm.pr.gov.br/proxy_image_16/Interface/Cameras/GetJPEGStream?Camera=GCM118&amp;AuthUser=siscop&amp;AuthPass=Siscop1234&amp;Width=1024&amp;Height=768&amp;Quality=70&amp;FPS=10&amp;ResponseFormat=Text</v>
      </c>
      <c r="P997" s="28">
        <v>1.0</v>
      </c>
    </row>
    <row r="998">
      <c r="A998" s="43" t="s">
        <v>3308</v>
      </c>
      <c r="B998" s="44" t="s">
        <v>17</v>
      </c>
      <c r="C998" s="45" t="s">
        <v>3309</v>
      </c>
      <c r="D998" s="46">
        <v>8601.0</v>
      </c>
      <c r="E998" s="47" t="s">
        <v>3683</v>
      </c>
      <c r="F998" s="48" t="s">
        <v>3684</v>
      </c>
      <c r="G998" s="53" t="s">
        <v>3685</v>
      </c>
      <c r="H998" s="53" t="s">
        <v>3686</v>
      </c>
      <c r="I998" s="50" t="s">
        <v>8</v>
      </c>
      <c r="J998" s="50" t="s">
        <v>2061</v>
      </c>
      <c r="K998" s="50" t="s">
        <v>25</v>
      </c>
      <c r="L998" s="50" t="s">
        <v>26</v>
      </c>
      <c r="M998" s="50" t="s">
        <v>27</v>
      </c>
      <c r="N998" s="50" t="s">
        <v>17</v>
      </c>
      <c r="O998" s="51" t="str">
        <f t="shared" si="2"/>
        <v>https://monitoramento.pm.pr.gov.br/proxy_image_16/Interface/Cameras/GetJPEGStream?Camera=GCM119&amp;AuthUser=siscop&amp;AuthPass=Siscop1234&amp;Width=1024&amp;Height=768&amp;Quality=70&amp;FPS=10&amp;ResponseFormat=Text</v>
      </c>
      <c r="P998" s="28">
        <v>1.0</v>
      </c>
    </row>
    <row r="999">
      <c r="A999" s="43" t="s">
        <v>3308</v>
      </c>
      <c r="B999" s="44" t="s">
        <v>17</v>
      </c>
      <c r="C999" s="45" t="s">
        <v>3309</v>
      </c>
      <c r="D999" s="46">
        <v>8601.0</v>
      </c>
      <c r="E999" s="47" t="s">
        <v>3687</v>
      </c>
      <c r="F999" s="48" t="s">
        <v>3421</v>
      </c>
      <c r="G999" s="53" t="s">
        <v>3422</v>
      </c>
      <c r="H999" s="53" t="s">
        <v>3422</v>
      </c>
      <c r="I999" s="50" t="s">
        <v>8</v>
      </c>
      <c r="J999" s="50" t="s">
        <v>2061</v>
      </c>
      <c r="K999" s="50" t="s">
        <v>25</v>
      </c>
      <c r="L999" s="50" t="s">
        <v>26</v>
      </c>
      <c r="M999" s="50" t="s">
        <v>27</v>
      </c>
      <c r="N999" s="50" t="s">
        <v>17</v>
      </c>
      <c r="O999" s="54" t="str">
        <f t="shared" si="2"/>
        <v>#</v>
      </c>
      <c r="P999" s="28">
        <v>0.0</v>
      </c>
    </row>
    <row r="1000">
      <c r="A1000" s="43" t="s">
        <v>3308</v>
      </c>
      <c r="B1000" s="44" t="s">
        <v>17</v>
      </c>
      <c r="C1000" s="45" t="s">
        <v>3309</v>
      </c>
      <c r="D1000" s="46">
        <v>8601.0</v>
      </c>
      <c r="E1000" s="47" t="s">
        <v>3688</v>
      </c>
      <c r="F1000" s="48" t="s">
        <v>3421</v>
      </c>
      <c r="G1000" s="53" t="s">
        <v>3422</v>
      </c>
      <c r="H1000" s="53" t="s">
        <v>3422</v>
      </c>
      <c r="I1000" s="50" t="s">
        <v>8</v>
      </c>
      <c r="J1000" s="50" t="s">
        <v>2061</v>
      </c>
      <c r="K1000" s="50" t="s">
        <v>25</v>
      </c>
      <c r="L1000" s="50" t="s">
        <v>26</v>
      </c>
      <c r="M1000" s="50" t="s">
        <v>27</v>
      </c>
      <c r="N1000" s="50" t="s">
        <v>17</v>
      </c>
      <c r="O1000" s="54" t="str">
        <f t="shared" si="2"/>
        <v>#</v>
      </c>
      <c r="P1000" s="28">
        <v>0.0</v>
      </c>
    </row>
    <row r="1001">
      <c r="A1001" s="43" t="s">
        <v>3308</v>
      </c>
      <c r="B1001" s="44" t="s">
        <v>17</v>
      </c>
      <c r="C1001" s="45" t="s">
        <v>3309</v>
      </c>
      <c r="D1001" s="46">
        <v>8601.0</v>
      </c>
      <c r="E1001" s="47" t="s">
        <v>3689</v>
      </c>
      <c r="F1001" s="48" t="s">
        <v>3690</v>
      </c>
      <c r="G1001" s="53" t="s">
        <v>3691</v>
      </c>
      <c r="H1001" s="53" t="s">
        <v>3692</v>
      </c>
      <c r="I1001" s="50" t="s">
        <v>8</v>
      </c>
      <c r="J1001" s="50" t="s">
        <v>2061</v>
      </c>
      <c r="K1001" s="50" t="s">
        <v>25</v>
      </c>
      <c r="L1001" s="50" t="s">
        <v>26</v>
      </c>
      <c r="M1001" s="50" t="s">
        <v>27</v>
      </c>
      <c r="N1001" s="50" t="s">
        <v>17</v>
      </c>
      <c r="O1001" s="51" t="str">
        <f t="shared" si="2"/>
        <v>https://monitoramento.pm.pr.gov.br/proxy_image_16/Interface/Cameras/GetJPEGStream?Camera=GCM122&amp;AuthUser=siscop&amp;AuthPass=Siscop1234&amp;Width=1024&amp;Height=768&amp;Quality=70&amp;FPS=10&amp;ResponseFormat=Text</v>
      </c>
      <c r="P1001" s="28">
        <v>1.0</v>
      </c>
    </row>
    <row r="1002">
      <c r="A1002" s="43" t="s">
        <v>3308</v>
      </c>
      <c r="B1002" s="44" t="s">
        <v>17</v>
      </c>
      <c r="C1002" s="45" t="s">
        <v>3309</v>
      </c>
      <c r="D1002" s="46">
        <v>8601.0</v>
      </c>
      <c r="E1002" s="47" t="s">
        <v>3693</v>
      </c>
      <c r="F1002" s="48" t="s">
        <v>3694</v>
      </c>
      <c r="G1002" s="53" t="s">
        <v>3695</v>
      </c>
      <c r="H1002" s="53" t="s">
        <v>3696</v>
      </c>
      <c r="I1002" s="50" t="s">
        <v>8</v>
      </c>
      <c r="J1002" s="50" t="s">
        <v>2061</v>
      </c>
      <c r="K1002" s="50" t="s">
        <v>25</v>
      </c>
      <c r="L1002" s="50" t="s">
        <v>26</v>
      </c>
      <c r="M1002" s="50" t="s">
        <v>27</v>
      </c>
      <c r="N1002" s="50" t="s">
        <v>17</v>
      </c>
      <c r="O1002" s="51" t="str">
        <f t="shared" si="2"/>
        <v>https://monitoramento.pm.pr.gov.br/proxy_image_16/Interface/Cameras/GetJPEGStream?Camera=GCM123&amp;AuthUser=siscop&amp;AuthPass=Siscop1234&amp;Width=1024&amp;Height=768&amp;Quality=70&amp;FPS=10&amp;ResponseFormat=Text</v>
      </c>
      <c r="P1002" s="28">
        <v>1.0</v>
      </c>
    </row>
    <row r="1003">
      <c r="A1003" s="43" t="s">
        <v>3308</v>
      </c>
      <c r="B1003" s="44" t="s">
        <v>17</v>
      </c>
      <c r="C1003" s="45" t="s">
        <v>3309</v>
      </c>
      <c r="D1003" s="46">
        <v>8601.0</v>
      </c>
      <c r="E1003" s="47" t="s">
        <v>3697</v>
      </c>
      <c r="F1003" s="48" t="s">
        <v>3698</v>
      </c>
      <c r="G1003" s="53" t="s">
        <v>3699</v>
      </c>
      <c r="H1003" s="53" t="s">
        <v>3700</v>
      </c>
      <c r="I1003" s="50" t="s">
        <v>8</v>
      </c>
      <c r="J1003" s="50" t="s">
        <v>2061</v>
      </c>
      <c r="K1003" s="50" t="s">
        <v>25</v>
      </c>
      <c r="L1003" s="50" t="s">
        <v>26</v>
      </c>
      <c r="M1003" s="50" t="s">
        <v>27</v>
      </c>
      <c r="N1003" s="50" t="s">
        <v>17</v>
      </c>
      <c r="O1003" s="51" t="str">
        <f t="shared" si="2"/>
        <v>https://monitoramento.pm.pr.gov.br/proxy_image_16/Interface/Cameras/GetJPEGStream?Camera=GCM124&amp;AuthUser=siscop&amp;AuthPass=Siscop1234&amp;Width=1024&amp;Height=768&amp;Quality=70&amp;FPS=10&amp;ResponseFormat=Text</v>
      </c>
      <c r="P1003" s="28">
        <v>1.0</v>
      </c>
    </row>
    <row r="1004">
      <c r="A1004" s="43" t="s">
        <v>3308</v>
      </c>
      <c r="B1004" s="44" t="s">
        <v>17</v>
      </c>
      <c r="C1004" s="45" t="s">
        <v>3309</v>
      </c>
      <c r="D1004" s="46">
        <v>8601.0</v>
      </c>
      <c r="E1004" s="47" t="s">
        <v>3701</v>
      </c>
      <c r="F1004" s="48" t="s">
        <v>3702</v>
      </c>
      <c r="G1004" s="53" t="s">
        <v>3703</v>
      </c>
      <c r="H1004" s="53" t="s">
        <v>3704</v>
      </c>
      <c r="I1004" s="50" t="s">
        <v>8</v>
      </c>
      <c r="J1004" s="50" t="s">
        <v>2061</v>
      </c>
      <c r="K1004" s="50" t="s">
        <v>25</v>
      </c>
      <c r="L1004" s="50" t="s">
        <v>26</v>
      </c>
      <c r="M1004" s="50" t="s">
        <v>27</v>
      </c>
      <c r="N1004" s="50" t="s">
        <v>17</v>
      </c>
      <c r="O1004" s="51" t="str">
        <f t="shared" si="2"/>
        <v>https://monitoramento.pm.pr.gov.br/proxy_image_16/Interface/Cameras/GetJPEGStream?Camera=GCM125&amp;AuthUser=siscop&amp;AuthPass=Siscop1234&amp;Width=1024&amp;Height=768&amp;Quality=70&amp;FPS=10&amp;ResponseFormat=Text</v>
      </c>
      <c r="P1004" s="28">
        <v>1.0</v>
      </c>
    </row>
    <row r="1005">
      <c r="A1005" s="43" t="s">
        <v>3308</v>
      </c>
      <c r="B1005" s="44" t="s">
        <v>17</v>
      </c>
      <c r="C1005" s="45" t="s">
        <v>3309</v>
      </c>
      <c r="D1005" s="46">
        <v>8601.0</v>
      </c>
      <c r="E1005" s="47" t="s">
        <v>3705</v>
      </c>
      <c r="F1005" s="48" t="s">
        <v>3706</v>
      </c>
      <c r="G1005" s="53" t="s">
        <v>3707</v>
      </c>
      <c r="H1005" s="53" t="s">
        <v>3708</v>
      </c>
      <c r="I1005" s="50" t="s">
        <v>8</v>
      </c>
      <c r="J1005" s="50" t="s">
        <v>2061</v>
      </c>
      <c r="K1005" s="50" t="s">
        <v>25</v>
      </c>
      <c r="L1005" s="50" t="s">
        <v>26</v>
      </c>
      <c r="M1005" s="50" t="s">
        <v>27</v>
      </c>
      <c r="N1005" s="50" t="s">
        <v>17</v>
      </c>
      <c r="O1005" s="51" t="str">
        <f t="shared" si="2"/>
        <v>https://monitoramento.pm.pr.gov.br/proxy_image_16/Interface/Cameras/GetJPEGStream?Camera=GCM126&amp;AuthUser=siscop&amp;AuthPass=Siscop1234&amp;Width=1024&amp;Height=768&amp;Quality=70&amp;FPS=10&amp;ResponseFormat=Text</v>
      </c>
      <c r="P1005" s="28">
        <v>1.0</v>
      </c>
    </row>
    <row r="1006">
      <c r="A1006" s="43" t="s">
        <v>3308</v>
      </c>
      <c r="B1006" s="44" t="s">
        <v>17</v>
      </c>
      <c r="C1006" s="45" t="s">
        <v>3309</v>
      </c>
      <c r="D1006" s="46">
        <v>8601.0</v>
      </c>
      <c r="E1006" s="47" t="s">
        <v>3709</v>
      </c>
      <c r="F1006" s="48" t="s">
        <v>3710</v>
      </c>
      <c r="G1006" s="53" t="s">
        <v>3711</v>
      </c>
      <c r="H1006" s="53" t="s">
        <v>3712</v>
      </c>
      <c r="I1006" s="50" t="s">
        <v>8</v>
      </c>
      <c r="J1006" s="50" t="s">
        <v>2061</v>
      </c>
      <c r="K1006" s="50" t="s">
        <v>25</v>
      </c>
      <c r="L1006" s="50" t="s">
        <v>26</v>
      </c>
      <c r="M1006" s="50" t="s">
        <v>27</v>
      </c>
      <c r="N1006" s="50" t="s">
        <v>17</v>
      </c>
      <c r="O1006" s="51" t="str">
        <f t="shared" si="2"/>
        <v>https://monitoramento.pm.pr.gov.br/proxy_image_16/Interface/Cameras/GetJPEGStream?Camera=GCM127&amp;AuthUser=siscop&amp;AuthPass=Siscop1234&amp;Width=1024&amp;Height=768&amp;Quality=70&amp;FPS=10&amp;ResponseFormat=Text</v>
      </c>
      <c r="P1006" s="28">
        <v>1.0</v>
      </c>
    </row>
    <row r="1007">
      <c r="A1007" s="43" t="s">
        <v>3308</v>
      </c>
      <c r="B1007" s="44" t="s">
        <v>17</v>
      </c>
      <c r="C1007" s="45" t="s">
        <v>3309</v>
      </c>
      <c r="D1007" s="46">
        <v>8601.0</v>
      </c>
      <c r="E1007" s="47" t="s">
        <v>3713</v>
      </c>
      <c r="F1007" s="48" t="s">
        <v>3421</v>
      </c>
      <c r="G1007" s="53" t="s">
        <v>3422</v>
      </c>
      <c r="H1007" s="53" t="s">
        <v>3422</v>
      </c>
      <c r="I1007" s="50" t="s">
        <v>8</v>
      </c>
      <c r="J1007" s="50" t="s">
        <v>2061</v>
      </c>
      <c r="K1007" s="50" t="s">
        <v>25</v>
      </c>
      <c r="L1007" s="50" t="s">
        <v>26</v>
      </c>
      <c r="M1007" s="50" t="s">
        <v>27</v>
      </c>
      <c r="N1007" s="50" t="s">
        <v>17</v>
      </c>
      <c r="O1007" s="54" t="str">
        <f t="shared" si="2"/>
        <v>#</v>
      </c>
      <c r="P1007" s="28">
        <v>0.0</v>
      </c>
    </row>
    <row r="1008">
      <c r="A1008" s="43" t="s">
        <v>3308</v>
      </c>
      <c r="B1008" s="44" t="s">
        <v>17</v>
      </c>
      <c r="C1008" s="45" t="s">
        <v>3309</v>
      </c>
      <c r="D1008" s="46">
        <v>8601.0</v>
      </c>
      <c r="E1008" s="47" t="s">
        <v>3714</v>
      </c>
      <c r="F1008" s="48" t="s">
        <v>3715</v>
      </c>
      <c r="G1008" s="53" t="s">
        <v>3716</v>
      </c>
      <c r="H1008" s="53" t="s">
        <v>3717</v>
      </c>
      <c r="I1008" s="50" t="s">
        <v>8</v>
      </c>
      <c r="J1008" s="50" t="s">
        <v>2061</v>
      </c>
      <c r="K1008" s="50" t="s">
        <v>25</v>
      </c>
      <c r="L1008" s="50" t="s">
        <v>26</v>
      </c>
      <c r="M1008" s="50" t="s">
        <v>27</v>
      </c>
      <c r="N1008" s="50" t="s">
        <v>17</v>
      </c>
      <c r="O1008" s="51" t="str">
        <f t="shared" si="2"/>
        <v>https://monitoramento.pm.pr.gov.br/proxy_image_16/Interface/Cameras/GetJPEGStream?Camera=GCM129&amp;AuthUser=siscop&amp;AuthPass=Siscop1234&amp;Width=1024&amp;Height=768&amp;Quality=70&amp;FPS=10&amp;ResponseFormat=Text</v>
      </c>
      <c r="P1008" s="28">
        <v>1.0</v>
      </c>
    </row>
    <row r="1009">
      <c r="A1009" s="43" t="s">
        <v>3308</v>
      </c>
      <c r="B1009" s="44" t="s">
        <v>17</v>
      </c>
      <c r="C1009" s="45" t="s">
        <v>3309</v>
      </c>
      <c r="D1009" s="46">
        <v>8601.0</v>
      </c>
      <c r="E1009" s="47" t="s">
        <v>3718</v>
      </c>
      <c r="F1009" s="48" t="s">
        <v>3719</v>
      </c>
      <c r="G1009" s="52" t="s">
        <v>3720</v>
      </c>
      <c r="H1009" s="52" t="s">
        <v>3721</v>
      </c>
      <c r="I1009" s="50" t="s">
        <v>8</v>
      </c>
      <c r="J1009" s="50" t="s">
        <v>2061</v>
      </c>
      <c r="K1009" s="50" t="s">
        <v>25</v>
      </c>
      <c r="L1009" s="50" t="s">
        <v>26</v>
      </c>
      <c r="M1009" s="50" t="s">
        <v>27</v>
      </c>
      <c r="N1009" s="50" t="s">
        <v>17</v>
      </c>
      <c r="O1009" s="51" t="str">
        <f t="shared" si="2"/>
        <v>https://monitoramento.pm.pr.gov.br/proxy_image_16/Interface/Cameras/GetJPEGStream?Camera=GCM130&amp;AuthUser=siscop&amp;AuthPass=Siscop1234&amp;Width=1024&amp;Height=768&amp;Quality=70&amp;FPS=10&amp;ResponseFormat=Text</v>
      </c>
      <c r="P1009" s="28">
        <v>1.0</v>
      </c>
    </row>
    <row r="1010">
      <c r="A1010" s="43" t="s">
        <v>3308</v>
      </c>
      <c r="B1010" s="44" t="s">
        <v>17</v>
      </c>
      <c r="C1010" s="45" t="s">
        <v>3309</v>
      </c>
      <c r="D1010" s="46">
        <v>8601.0</v>
      </c>
      <c r="E1010" s="47" t="s">
        <v>3722</v>
      </c>
      <c r="F1010" s="48" t="s">
        <v>3723</v>
      </c>
      <c r="G1010" s="52" t="s">
        <v>3724</v>
      </c>
      <c r="H1010" s="52" t="s">
        <v>3725</v>
      </c>
      <c r="I1010" s="50" t="s">
        <v>8</v>
      </c>
      <c r="J1010" s="50" t="s">
        <v>2061</v>
      </c>
      <c r="K1010" s="50" t="s">
        <v>25</v>
      </c>
      <c r="L1010" s="50" t="s">
        <v>26</v>
      </c>
      <c r="M1010" s="50" t="s">
        <v>27</v>
      </c>
      <c r="N1010" s="50" t="s">
        <v>17</v>
      </c>
      <c r="O1010" s="51" t="str">
        <f t="shared" si="2"/>
        <v>https://monitoramento.pm.pr.gov.br/proxy_image_16/Interface/Cameras/GetJPEGStream?Camera=GCM131&amp;AuthUser=siscop&amp;AuthPass=Siscop1234&amp;Width=1024&amp;Height=768&amp;Quality=70&amp;FPS=10&amp;ResponseFormat=Text</v>
      </c>
      <c r="P1010" s="28">
        <v>1.0</v>
      </c>
    </row>
    <row r="1011">
      <c r="A1011" s="43" t="s">
        <v>3308</v>
      </c>
      <c r="B1011" s="44" t="s">
        <v>17</v>
      </c>
      <c r="C1011" s="45" t="s">
        <v>3309</v>
      </c>
      <c r="D1011" s="46">
        <v>8601.0</v>
      </c>
      <c r="E1011" s="47" t="s">
        <v>3726</v>
      </c>
      <c r="F1011" s="48" t="s">
        <v>3727</v>
      </c>
      <c r="G1011" s="53" t="s">
        <v>3728</v>
      </c>
      <c r="H1011" s="53" t="s">
        <v>3729</v>
      </c>
      <c r="I1011" s="50" t="s">
        <v>8</v>
      </c>
      <c r="J1011" s="50" t="s">
        <v>2061</v>
      </c>
      <c r="K1011" s="50" t="s">
        <v>25</v>
      </c>
      <c r="L1011" s="50" t="s">
        <v>26</v>
      </c>
      <c r="M1011" s="50" t="s">
        <v>27</v>
      </c>
      <c r="N1011" s="50" t="s">
        <v>17</v>
      </c>
      <c r="O1011" s="51" t="str">
        <f t="shared" si="2"/>
        <v>https://monitoramento.pm.pr.gov.br/proxy_image_16/Interface/Cameras/GetJPEGStream?Camera=GCM132&amp;AuthUser=siscop&amp;AuthPass=Siscop1234&amp;Width=1024&amp;Height=768&amp;Quality=70&amp;FPS=10&amp;ResponseFormat=Text</v>
      </c>
      <c r="P1011" s="28">
        <v>1.0</v>
      </c>
    </row>
    <row r="1012">
      <c r="A1012" s="43" t="s">
        <v>3308</v>
      </c>
      <c r="B1012" s="44" t="s">
        <v>17</v>
      </c>
      <c r="C1012" s="45" t="s">
        <v>3309</v>
      </c>
      <c r="D1012" s="46">
        <v>8601.0</v>
      </c>
      <c r="E1012" s="47" t="s">
        <v>3730</v>
      </c>
      <c r="F1012" s="48" t="s">
        <v>3421</v>
      </c>
      <c r="G1012" s="53" t="s">
        <v>3422</v>
      </c>
      <c r="H1012" s="53" t="s">
        <v>3422</v>
      </c>
      <c r="I1012" s="50" t="s">
        <v>8</v>
      </c>
      <c r="J1012" s="50" t="s">
        <v>2061</v>
      </c>
      <c r="K1012" s="50" t="s">
        <v>25</v>
      </c>
      <c r="L1012" s="50" t="s">
        <v>26</v>
      </c>
      <c r="M1012" s="50" t="s">
        <v>27</v>
      </c>
      <c r="N1012" s="50" t="s">
        <v>17</v>
      </c>
      <c r="O1012" s="54" t="str">
        <f t="shared" si="2"/>
        <v>#</v>
      </c>
      <c r="P1012" s="28">
        <v>0.0</v>
      </c>
    </row>
    <row r="1013">
      <c r="A1013" s="57" t="s">
        <v>3308</v>
      </c>
      <c r="B1013" s="58" t="s">
        <v>17</v>
      </c>
      <c r="C1013" s="59" t="s">
        <v>3309</v>
      </c>
      <c r="D1013" s="60">
        <v>8601.0</v>
      </c>
      <c r="E1013" s="61" t="s">
        <v>3731</v>
      </c>
      <c r="F1013" s="62" t="s">
        <v>3732</v>
      </c>
      <c r="G1013" s="63" t="s">
        <v>3733</v>
      </c>
      <c r="H1013" s="63" t="s">
        <v>3734</v>
      </c>
      <c r="I1013" s="64" t="s">
        <v>8</v>
      </c>
      <c r="J1013" s="64" t="s">
        <v>2061</v>
      </c>
      <c r="K1013" s="64" t="s">
        <v>25</v>
      </c>
      <c r="L1013" s="64" t="s">
        <v>26</v>
      </c>
      <c r="M1013" s="64" t="s">
        <v>27</v>
      </c>
      <c r="N1013" s="64" t="s">
        <v>17</v>
      </c>
      <c r="O1013" s="65" t="str">
        <f t="shared" si="2"/>
        <v>https://monitoramento.pm.pr.gov.br/proxy_image_16/Interface/Cameras/GetJPEGStream?Camera=GCM134&amp;AuthUser=siscop&amp;AuthPass=Siscop1234&amp;Width=1024&amp;Height=768&amp;Quality=70&amp;FPS=10&amp;ResponseFormat=Text</v>
      </c>
      <c r="P1013" s="66">
        <v>1.0</v>
      </c>
    </row>
    <row r="1014">
      <c r="A1014" s="57" t="s">
        <v>3308</v>
      </c>
      <c r="B1014" s="58" t="s">
        <v>17</v>
      </c>
      <c r="C1014" s="59" t="s">
        <v>3309</v>
      </c>
      <c r="D1014" s="60">
        <v>8601.0</v>
      </c>
      <c r="E1014" s="61" t="s">
        <v>3735</v>
      </c>
      <c r="F1014" s="62" t="s">
        <v>3736</v>
      </c>
      <c r="G1014" s="63" t="s">
        <v>3737</v>
      </c>
      <c r="H1014" s="63" t="s">
        <v>3738</v>
      </c>
      <c r="I1014" s="64" t="s">
        <v>8</v>
      </c>
      <c r="J1014" s="64" t="s">
        <v>2061</v>
      </c>
      <c r="K1014" s="64" t="s">
        <v>25</v>
      </c>
      <c r="L1014" s="64" t="s">
        <v>26</v>
      </c>
      <c r="M1014" s="64" t="s">
        <v>27</v>
      </c>
      <c r="N1014" s="64" t="s">
        <v>17</v>
      </c>
      <c r="O1014" s="65" t="str">
        <f t="shared" si="2"/>
        <v>https://monitoramento.pm.pr.gov.br/proxy_image_16/Interface/Cameras/GetJPEGStream?Camera=GCM135&amp;AuthUser=siscop&amp;AuthPass=Siscop1234&amp;Width=1024&amp;Height=768&amp;Quality=70&amp;FPS=10&amp;ResponseFormat=Text</v>
      </c>
      <c r="P1014" s="66">
        <v>1.0</v>
      </c>
    </row>
    <row r="1015">
      <c r="A1015" s="57" t="s">
        <v>3308</v>
      </c>
      <c r="B1015" s="58" t="s">
        <v>17</v>
      </c>
      <c r="C1015" s="59" t="s">
        <v>3309</v>
      </c>
      <c r="D1015" s="60">
        <v>8601.0</v>
      </c>
      <c r="E1015" s="61" t="s">
        <v>3739</v>
      </c>
      <c r="F1015" s="62" t="s">
        <v>3740</v>
      </c>
      <c r="G1015" s="63" t="s">
        <v>3741</v>
      </c>
      <c r="H1015" s="63" t="s">
        <v>3742</v>
      </c>
      <c r="I1015" s="64" t="s">
        <v>8</v>
      </c>
      <c r="J1015" s="64" t="s">
        <v>2061</v>
      </c>
      <c r="K1015" s="64" t="s">
        <v>25</v>
      </c>
      <c r="L1015" s="64" t="s">
        <v>26</v>
      </c>
      <c r="M1015" s="64" t="s">
        <v>27</v>
      </c>
      <c r="N1015" s="64" t="s">
        <v>17</v>
      </c>
      <c r="O1015" s="65" t="str">
        <f t="shared" si="2"/>
        <v>https://monitoramento.pm.pr.gov.br/proxy_image_16/Interface/Cameras/GetJPEGStream?Camera=GCM136&amp;AuthUser=siscop&amp;AuthPass=Siscop1234&amp;Width=1024&amp;Height=768&amp;Quality=70&amp;FPS=10&amp;ResponseFormat=Text</v>
      </c>
      <c r="P1015" s="66">
        <v>1.0</v>
      </c>
    </row>
    <row r="1016">
      <c r="A1016" s="57" t="s">
        <v>3308</v>
      </c>
      <c r="B1016" s="58" t="s">
        <v>17</v>
      </c>
      <c r="C1016" s="59" t="s">
        <v>3309</v>
      </c>
      <c r="D1016" s="60">
        <v>8601.0</v>
      </c>
      <c r="E1016" s="61" t="s">
        <v>3743</v>
      </c>
      <c r="F1016" s="62" t="s">
        <v>3744</v>
      </c>
      <c r="G1016" s="63" t="s">
        <v>3745</v>
      </c>
      <c r="H1016" s="63" t="s">
        <v>3746</v>
      </c>
      <c r="I1016" s="64" t="s">
        <v>8</v>
      </c>
      <c r="J1016" s="64" t="s">
        <v>2061</v>
      </c>
      <c r="K1016" s="64" t="s">
        <v>25</v>
      </c>
      <c r="L1016" s="64" t="s">
        <v>26</v>
      </c>
      <c r="M1016" s="64" t="s">
        <v>27</v>
      </c>
      <c r="N1016" s="64" t="s">
        <v>17</v>
      </c>
      <c r="O1016" s="65" t="str">
        <f t="shared" si="2"/>
        <v>https://monitoramento.pm.pr.gov.br/proxy_image_16/Interface/Cameras/GetJPEGStream?Camera=GCM137&amp;AuthUser=siscop&amp;AuthPass=Siscop1234&amp;Width=1024&amp;Height=768&amp;Quality=70&amp;FPS=10&amp;ResponseFormat=Text</v>
      </c>
      <c r="P1016" s="66">
        <v>1.0</v>
      </c>
    </row>
    <row r="1017">
      <c r="A1017" s="57" t="s">
        <v>3308</v>
      </c>
      <c r="B1017" s="58" t="s">
        <v>17</v>
      </c>
      <c r="C1017" s="59" t="s">
        <v>3309</v>
      </c>
      <c r="D1017" s="60">
        <v>8601.0</v>
      </c>
      <c r="E1017" s="61" t="s">
        <v>3747</v>
      </c>
      <c r="F1017" s="62" t="s">
        <v>3748</v>
      </c>
      <c r="G1017" s="63" t="s">
        <v>3749</v>
      </c>
      <c r="H1017" s="63" t="s">
        <v>3750</v>
      </c>
      <c r="I1017" s="64" t="s">
        <v>8</v>
      </c>
      <c r="J1017" s="64" t="s">
        <v>2061</v>
      </c>
      <c r="K1017" s="64" t="s">
        <v>25</v>
      </c>
      <c r="L1017" s="64" t="s">
        <v>26</v>
      </c>
      <c r="M1017" s="64" t="s">
        <v>27</v>
      </c>
      <c r="N1017" s="64" t="s">
        <v>17</v>
      </c>
      <c r="O1017" s="65" t="str">
        <f t="shared" si="2"/>
        <v>https://monitoramento.pm.pr.gov.br/proxy_image_16/Interface/Cameras/GetJPEGStream?Camera=GCM138&amp;AuthUser=siscop&amp;AuthPass=Siscop1234&amp;Width=1024&amp;Height=768&amp;Quality=70&amp;FPS=10&amp;ResponseFormat=Text</v>
      </c>
      <c r="P1017" s="66">
        <v>1.0</v>
      </c>
    </row>
    <row r="1018">
      <c r="A1018" s="57" t="s">
        <v>3308</v>
      </c>
      <c r="B1018" s="58" t="s">
        <v>17</v>
      </c>
      <c r="C1018" s="59" t="s">
        <v>3309</v>
      </c>
      <c r="D1018" s="60">
        <v>8601.0</v>
      </c>
      <c r="E1018" s="61" t="s">
        <v>3751</v>
      </c>
      <c r="F1018" s="62" t="s">
        <v>3752</v>
      </c>
      <c r="G1018" s="63" t="s">
        <v>3753</v>
      </c>
      <c r="H1018" s="63" t="s">
        <v>3754</v>
      </c>
      <c r="I1018" s="64" t="s">
        <v>8</v>
      </c>
      <c r="J1018" s="64" t="s">
        <v>2061</v>
      </c>
      <c r="K1018" s="64" t="s">
        <v>25</v>
      </c>
      <c r="L1018" s="64" t="s">
        <v>26</v>
      </c>
      <c r="M1018" s="64" t="s">
        <v>27</v>
      </c>
      <c r="N1018" s="64" t="s">
        <v>17</v>
      </c>
      <c r="O1018" s="65" t="str">
        <f t="shared" si="2"/>
        <v>https://monitoramento.pm.pr.gov.br/proxy_image_16/Interface/Cameras/GetJPEGStream?Camera=GCM139&amp;AuthUser=siscop&amp;AuthPass=Siscop1234&amp;Width=1024&amp;Height=768&amp;Quality=70&amp;FPS=10&amp;ResponseFormat=Text</v>
      </c>
      <c r="P1018" s="66">
        <v>1.0</v>
      </c>
    </row>
    <row r="1019">
      <c r="A1019" s="57" t="s">
        <v>3308</v>
      </c>
      <c r="B1019" s="58" t="s">
        <v>17</v>
      </c>
      <c r="C1019" s="59" t="s">
        <v>3309</v>
      </c>
      <c r="D1019" s="60">
        <v>8601.0</v>
      </c>
      <c r="E1019" s="61" t="s">
        <v>3755</v>
      </c>
      <c r="F1019" s="62" t="s">
        <v>3756</v>
      </c>
      <c r="G1019" s="67" t="s">
        <v>3757</v>
      </c>
      <c r="H1019" s="67" t="s">
        <v>3758</v>
      </c>
      <c r="I1019" s="64" t="s">
        <v>8</v>
      </c>
      <c r="J1019" s="64" t="s">
        <v>2061</v>
      </c>
      <c r="K1019" s="64" t="s">
        <v>25</v>
      </c>
      <c r="L1019" s="64" t="s">
        <v>26</v>
      </c>
      <c r="M1019" s="64" t="s">
        <v>27</v>
      </c>
      <c r="N1019" s="64" t="s">
        <v>17</v>
      </c>
      <c r="O1019" s="65" t="str">
        <f t="shared" si="2"/>
        <v>https://monitoramento.pm.pr.gov.br/proxy_image_16/Interface/Cameras/GetJPEGStream?Camera=GCM140&amp;AuthUser=siscop&amp;AuthPass=Siscop1234&amp;Width=1024&amp;Height=768&amp;Quality=70&amp;FPS=10&amp;ResponseFormat=Text</v>
      </c>
      <c r="P1019" s="66">
        <v>1.0</v>
      </c>
    </row>
    <row r="1020">
      <c r="A1020" s="57" t="s">
        <v>3308</v>
      </c>
      <c r="B1020" s="58" t="s">
        <v>17</v>
      </c>
      <c r="C1020" s="59" t="s">
        <v>3309</v>
      </c>
      <c r="D1020" s="60">
        <v>8601.0</v>
      </c>
      <c r="E1020" s="61" t="s">
        <v>3759</v>
      </c>
      <c r="F1020" s="62" t="s">
        <v>3760</v>
      </c>
      <c r="G1020" s="67" t="s">
        <v>3761</v>
      </c>
      <c r="H1020" s="67" t="s">
        <v>3762</v>
      </c>
      <c r="I1020" s="64" t="s">
        <v>8</v>
      </c>
      <c r="J1020" s="64" t="s">
        <v>2061</v>
      </c>
      <c r="K1020" s="64" t="s">
        <v>25</v>
      </c>
      <c r="L1020" s="64" t="s">
        <v>26</v>
      </c>
      <c r="M1020" s="64" t="s">
        <v>27</v>
      </c>
      <c r="N1020" s="64" t="s">
        <v>17</v>
      </c>
      <c r="O1020" s="65" t="str">
        <f t="shared" si="2"/>
        <v>https://monitoramento.pm.pr.gov.br/proxy_image_16/Interface/Cameras/GetJPEGStream?Camera=GCM141&amp;AuthUser=siscop&amp;AuthPass=Siscop1234&amp;Width=1024&amp;Height=768&amp;Quality=70&amp;FPS=10&amp;ResponseFormat=Text</v>
      </c>
      <c r="P1020" s="66">
        <v>1.0</v>
      </c>
    </row>
    <row r="1021">
      <c r="A1021" s="57" t="s">
        <v>3308</v>
      </c>
      <c r="B1021" s="58" t="s">
        <v>17</v>
      </c>
      <c r="C1021" s="59" t="s">
        <v>3309</v>
      </c>
      <c r="D1021" s="60">
        <v>8601.0</v>
      </c>
      <c r="E1021" s="61" t="s">
        <v>3763</v>
      </c>
      <c r="F1021" s="62" t="s">
        <v>3764</v>
      </c>
      <c r="G1021" s="67" t="s">
        <v>3765</v>
      </c>
      <c r="H1021" s="67" t="s">
        <v>3766</v>
      </c>
      <c r="I1021" s="64" t="s">
        <v>8</v>
      </c>
      <c r="J1021" s="64" t="s">
        <v>2061</v>
      </c>
      <c r="K1021" s="64" t="s">
        <v>25</v>
      </c>
      <c r="L1021" s="64" t="s">
        <v>26</v>
      </c>
      <c r="M1021" s="64" t="s">
        <v>27</v>
      </c>
      <c r="N1021" s="64" t="s">
        <v>17</v>
      </c>
      <c r="O1021" s="65" t="str">
        <f t="shared" si="2"/>
        <v>https://monitoramento.pm.pr.gov.br/proxy_image_16/Interface/Cameras/GetJPEGStream?Camera=GCM142&amp;AuthUser=siscop&amp;AuthPass=Siscop1234&amp;Width=1024&amp;Height=768&amp;Quality=70&amp;FPS=10&amp;ResponseFormat=Text</v>
      </c>
      <c r="P1021" s="66">
        <v>1.0</v>
      </c>
    </row>
    <row r="1022">
      <c r="A1022" s="57" t="s">
        <v>3308</v>
      </c>
      <c r="B1022" s="58" t="s">
        <v>17</v>
      </c>
      <c r="C1022" s="59" t="s">
        <v>3309</v>
      </c>
      <c r="D1022" s="60">
        <v>8601.0</v>
      </c>
      <c r="E1022" s="61" t="s">
        <v>3767</v>
      </c>
      <c r="F1022" s="62" t="s">
        <v>3768</v>
      </c>
      <c r="G1022" s="67" t="s">
        <v>3769</v>
      </c>
      <c r="H1022" s="67" t="s">
        <v>3770</v>
      </c>
      <c r="I1022" s="64" t="s">
        <v>8</v>
      </c>
      <c r="J1022" s="64" t="s">
        <v>2061</v>
      </c>
      <c r="K1022" s="64" t="s">
        <v>25</v>
      </c>
      <c r="L1022" s="64" t="s">
        <v>26</v>
      </c>
      <c r="M1022" s="64" t="s">
        <v>27</v>
      </c>
      <c r="N1022" s="64" t="s">
        <v>17</v>
      </c>
      <c r="O1022" s="65" t="str">
        <f t="shared" si="2"/>
        <v>https://monitoramento.pm.pr.gov.br/proxy_image_16/Interface/Cameras/GetJPEGStream?Camera=GCM143&amp;AuthUser=siscop&amp;AuthPass=Siscop1234&amp;Width=1024&amp;Height=768&amp;Quality=70&amp;FPS=10&amp;ResponseFormat=Text</v>
      </c>
      <c r="P1022" s="66">
        <v>1.0</v>
      </c>
    </row>
    <row r="1023">
      <c r="A1023" s="57" t="s">
        <v>3308</v>
      </c>
      <c r="B1023" s="58" t="s">
        <v>17</v>
      </c>
      <c r="C1023" s="59" t="s">
        <v>3309</v>
      </c>
      <c r="D1023" s="60">
        <v>8601.0</v>
      </c>
      <c r="E1023" s="61" t="s">
        <v>3771</v>
      </c>
      <c r="F1023" s="62" t="s">
        <v>3772</v>
      </c>
      <c r="G1023" s="67" t="s">
        <v>3773</v>
      </c>
      <c r="H1023" s="67" t="s">
        <v>3774</v>
      </c>
      <c r="I1023" s="64" t="s">
        <v>8</v>
      </c>
      <c r="J1023" s="64" t="s">
        <v>2061</v>
      </c>
      <c r="K1023" s="64" t="s">
        <v>25</v>
      </c>
      <c r="L1023" s="64" t="s">
        <v>26</v>
      </c>
      <c r="M1023" s="64" t="s">
        <v>27</v>
      </c>
      <c r="N1023" s="64" t="s">
        <v>17</v>
      </c>
      <c r="O1023" s="65" t="str">
        <f t="shared" si="2"/>
        <v>https://monitoramento.pm.pr.gov.br/proxy_image_16/Interface/Cameras/GetJPEGStream?Camera=GCM144&amp;AuthUser=siscop&amp;AuthPass=Siscop1234&amp;Width=1024&amp;Height=768&amp;Quality=70&amp;FPS=10&amp;ResponseFormat=Text</v>
      </c>
      <c r="P1023" s="66">
        <v>1.0</v>
      </c>
    </row>
    <row r="1024">
      <c r="A1024" s="57" t="s">
        <v>3308</v>
      </c>
      <c r="B1024" s="58" t="s">
        <v>17</v>
      </c>
      <c r="C1024" s="59" t="s">
        <v>3309</v>
      </c>
      <c r="D1024" s="60">
        <v>8601.0</v>
      </c>
      <c r="E1024" s="61" t="s">
        <v>3775</v>
      </c>
      <c r="F1024" s="62" t="s">
        <v>3776</v>
      </c>
      <c r="G1024" s="67" t="s">
        <v>3777</v>
      </c>
      <c r="H1024" s="67" t="s">
        <v>3778</v>
      </c>
      <c r="I1024" s="64" t="s">
        <v>8</v>
      </c>
      <c r="J1024" s="64" t="s">
        <v>2061</v>
      </c>
      <c r="K1024" s="64" t="s">
        <v>25</v>
      </c>
      <c r="L1024" s="64" t="s">
        <v>26</v>
      </c>
      <c r="M1024" s="64" t="s">
        <v>27</v>
      </c>
      <c r="N1024" s="64" t="s">
        <v>17</v>
      </c>
      <c r="O1024" s="65" t="str">
        <f t="shared" si="2"/>
        <v>https://monitoramento.pm.pr.gov.br/proxy_image_16/Interface/Cameras/GetJPEGStream?Camera=GCM145&amp;AuthUser=siscop&amp;AuthPass=Siscop1234&amp;Width=1024&amp;Height=768&amp;Quality=70&amp;FPS=10&amp;ResponseFormat=Text</v>
      </c>
      <c r="P1024" s="66">
        <v>1.0</v>
      </c>
    </row>
    <row r="1025">
      <c r="A1025" s="57" t="s">
        <v>3308</v>
      </c>
      <c r="B1025" s="58" t="s">
        <v>17</v>
      </c>
      <c r="C1025" s="59" t="s">
        <v>3309</v>
      </c>
      <c r="D1025" s="60">
        <v>8601.0</v>
      </c>
      <c r="E1025" s="61" t="s">
        <v>3779</v>
      </c>
      <c r="F1025" s="62" t="s">
        <v>3421</v>
      </c>
      <c r="G1025" s="63" t="s">
        <v>3422</v>
      </c>
      <c r="H1025" s="63" t="s">
        <v>3422</v>
      </c>
      <c r="I1025" s="64" t="s">
        <v>8</v>
      </c>
      <c r="J1025" s="64" t="s">
        <v>2061</v>
      </c>
      <c r="K1025" s="64" t="s">
        <v>25</v>
      </c>
      <c r="L1025" s="64" t="s">
        <v>26</v>
      </c>
      <c r="M1025" s="64" t="s">
        <v>27</v>
      </c>
      <c r="N1025" s="64" t="s">
        <v>17</v>
      </c>
      <c r="O1025" s="68" t="str">
        <f t="shared" si="2"/>
        <v>#</v>
      </c>
      <c r="P1025" s="66">
        <v>0.0</v>
      </c>
    </row>
    <row r="1026">
      <c r="A1026" s="57" t="s">
        <v>3308</v>
      </c>
      <c r="B1026" s="58" t="s">
        <v>17</v>
      </c>
      <c r="C1026" s="59" t="s">
        <v>3309</v>
      </c>
      <c r="D1026" s="60">
        <v>8601.0</v>
      </c>
      <c r="E1026" s="61" t="s">
        <v>3780</v>
      </c>
      <c r="F1026" s="62" t="s">
        <v>3781</v>
      </c>
      <c r="G1026" s="67" t="s">
        <v>3782</v>
      </c>
      <c r="H1026" s="67" t="s">
        <v>3783</v>
      </c>
      <c r="I1026" s="64" t="s">
        <v>8</v>
      </c>
      <c r="J1026" s="64" t="s">
        <v>2061</v>
      </c>
      <c r="K1026" s="64" t="s">
        <v>25</v>
      </c>
      <c r="L1026" s="64" t="s">
        <v>26</v>
      </c>
      <c r="M1026" s="64" t="s">
        <v>27</v>
      </c>
      <c r="N1026" s="64" t="s">
        <v>17</v>
      </c>
      <c r="O1026" s="65" t="str">
        <f t="shared" si="2"/>
        <v>https://monitoramento.pm.pr.gov.br/proxy_image_16/Interface/Cameras/GetJPEGStream?Camera=GCM147&amp;AuthUser=siscop&amp;AuthPass=Siscop1234&amp;Width=1024&amp;Height=768&amp;Quality=70&amp;FPS=10&amp;ResponseFormat=Text</v>
      </c>
      <c r="P1026" s="66">
        <v>1.0</v>
      </c>
    </row>
    <row r="1027">
      <c r="A1027" s="57" t="s">
        <v>3308</v>
      </c>
      <c r="B1027" s="58" t="s">
        <v>17</v>
      </c>
      <c r="C1027" s="59" t="s">
        <v>3309</v>
      </c>
      <c r="D1027" s="60">
        <v>8601.0</v>
      </c>
      <c r="E1027" s="61" t="s">
        <v>3784</v>
      </c>
      <c r="F1027" s="62" t="s">
        <v>3785</v>
      </c>
      <c r="G1027" s="67" t="s">
        <v>3786</v>
      </c>
      <c r="H1027" s="67" t="s">
        <v>3787</v>
      </c>
      <c r="I1027" s="64" t="s">
        <v>8</v>
      </c>
      <c r="J1027" s="64" t="s">
        <v>2061</v>
      </c>
      <c r="K1027" s="64" t="s">
        <v>25</v>
      </c>
      <c r="L1027" s="64" t="s">
        <v>26</v>
      </c>
      <c r="M1027" s="64" t="s">
        <v>27</v>
      </c>
      <c r="N1027" s="64" t="s">
        <v>17</v>
      </c>
      <c r="O1027" s="65" t="str">
        <f t="shared" si="2"/>
        <v>https://monitoramento.pm.pr.gov.br/proxy_image_16/Interface/Cameras/GetJPEGStream?Camera=GCM148&amp;AuthUser=siscop&amp;AuthPass=Siscop1234&amp;Width=1024&amp;Height=768&amp;Quality=70&amp;FPS=10&amp;ResponseFormat=Text</v>
      </c>
      <c r="P1027" s="66">
        <v>1.0</v>
      </c>
    </row>
    <row r="1028">
      <c r="A1028" s="57" t="s">
        <v>3308</v>
      </c>
      <c r="B1028" s="58" t="s">
        <v>17</v>
      </c>
      <c r="C1028" s="59" t="s">
        <v>3309</v>
      </c>
      <c r="D1028" s="60">
        <v>8601.0</v>
      </c>
      <c r="E1028" s="61" t="s">
        <v>3788</v>
      </c>
      <c r="F1028" s="62" t="s">
        <v>3789</v>
      </c>
      <c r="G1028" s="67" t="s">
        <v>3790</v>
      </c>
      <c r="H1028" s="67" t="s">
        <v>3791</v>
      </c>
      <c r="I1028" s="64" t="s">
        <v>8</v>
      </c>
      <c r="J1028" s="64" t="s">
        <v>2061</v>
      </c>
      <c r="K1028" s="64" t="s">
        <v>25</v>
      </c>
      <c r="L1028" s="64" t="s">
        <v>26</v>
      </c>
      <c r="M1028" s="64" t="s">
        <v>27</v>
      </c>
      <c r="N1028" s="64" t="s">
        <v>17</v>
      </c>
      <c r="O1028" s="65" t="str">
        <f t="shared" si="2"/>
        <v>https://monitoramento.pm.pr.gov.br/proxy_image_16/Interface/Cameras/GetJPEGStream?Camera=GCM149&amp;AuthUser=siscop&amp;AuthPass=Siscop1234&amp;Width=1024&amp;Height=768&amp;Quality=70&amp;FPS=10&amp;ResponseFormat=Text</v>
      </c>
      <c r="P1028" s="66">
        <v>1.0</v>
      </c>
    </row>
    <row r="1029">
      <c r="A1029" s="57" t="s">
        <v>3308</v>
      </c>
      <c r="B1029" s="58" t="s">
        <v>17</v>
      </c>
      <c r="C1029" s="59" t="s">
        <v>3309</v>
      </c>
      <c r="D1029" s="60">
        <v>8601.0</v>
      </c>
      <c r="E1029" s="61" t="s">
        <v>3792</v>
      </c>
      <c r="F1029" s="62" t="s">
        <v>3421</v>
      </c>
      <c r="G1029" s="63" t="s">
        <v>3422</v>
      </c>
      <c r="H1029" s="63" t="s">
        <v>3422</v>
      </c>
      <c r="I1029" s="64" t="s">
        <v>8</v>
      </c>
      <c r="J1029" s="64" t="s">
        <v>2061</v>
      </c>
      <c r="K1029" s="64" t="s">
        <v>25</v>
      </c>
      <c r="L1029" s="64" t="s">
        <v>26</v>
      </c>
      <c r="M1029" s="64" t="s">
        <v>27</v>
      </c>
      <c r="N1029" s="64" t="s">
        <v>17</v>
      </c>
      <c r="O1029" s="68" t="str">
        <f t="shared" si="2"/>
        <v>#</v>
      </c>
      <c r="P1029" s="66">
        <v>0.0</v>
      </c>
    </row>
    <row r="1030">
      <c r="A1030" s="57" t="s">
        <v>3308</v>
      </c>
      <c r="B1030" s="58" t="s">
        <v>17</v>
      </c>
      <c r="C1030" s="59" t="s">
        <v>3309</v>
      </c>
      <c r="D1030" s="60">
        <v>8601.0</v>
      </c>
      <c r="E1030" s="61" t="s">
        <v>3793</v>
      </c>
      <c r="F1030" s="62" t="s">
        <v>3794</v>
      </c>
      <c r="G1030" s="67" t="s">
        <v>3795</v>
      </c>
      <c r="H1030" s="67" t="s">
        <v>3796</v>
      </c>
      <c r="I1030" s="64" t="s">
        <v>8</v>
      </c>
      <c r="J1030" s="64" t="s">
        <v>2061</v>
      </c>
      <c r="K1030" s="64" t="s">
        <v>25</v>
      </c>
      <c r="L1030" s="64" t="s">
        <v>26</v>
      </c>
      <c r="M1030" s="64" t="s">
        <v>27</v>
      </c>
      <c r="N1030" s="64" t="s">
        <v>17</v>
      </c>
      <c r="O1030" s="65" t="str">
        <f t="shared" si="2"/>
        <v>https://monitoramento.pm.pr.gov.br/proxy_image_16/Interface/Cameras/GetJPEGStream?Camera=GCM151&amp;AuthUser=siscop&amp;AuthPass=Siscop1234&amp;Width=1024&amp;Height=768&amp;Quality=70&amp;FPS=10&amp;ResponseFormat=Text</v>
      </c>
      <c r="P1030" s="66">
        <v>1.0</v>
      </c>
    </row>
    <row r="1031">
      <c r="A1031" s="57" t="s">
        <v>3308</v>
      </c>
      <c r="B1031" s="58" t="s">
        <v>17</v>
      </c>
      <c r="C1031" s="59" t="s">
        <v>3309</v>
      </c>
      <c r="D1031" s="60">
        <v>8601.0</v>
      </c>
      <c r="E1031" s="61" t="s">
        <v>3797</v>
      </c>
      <c r="F1031" s="62" t="s">
        <v>3798</v>
      </c>
      <c r="G1031" s="67" t="s">
        <v>3799</v>
      </c>
      <c r="H1031" s="67" t="s">
        <v>3800</v>
      </c>
      <c r="I1031" s="64" t="s">
        <v>8</v>
      </c>
      <c r="J1031" s="64" t="s">
        <v>2061</v>
      </c>
      <c r="K1031" s="64" t="s">
        <v>25</v>
      </c>
      <c r="L1031" s="64" t="s">
        <v>26</v>
      </c>
      <c r="M1031" s="64" t="s">
        <v>27</v>
      </c>
      <c r="N1031" s="64" t="s">
        <v>17</v>
      </c>
      <c r="O1031" s="65" t="str">
        <f t="shared" si="2"/>
        <v>https://monitoramento.pm.pr.gov.br/proxy_image_16/Interface/Cameras/GetJPEGStream?Camera=GCM152&amp;AuthUser=siscop&amp;AuthPass=Siscop1234&amp;Width=1024&amp;Height=768&amp;Quality=70&amp;FPS=10&amp;ResponseFormat=Text</v>
      </c>
      <c r="P1031" s="66">
        <v>1.0</v>
      </c>
    </row>
    <row r="1032">
      <c r="A1032" s="39" t="s">
        <v>3801</v>
      </c>
      <c r="B1032" s="39" t="s">
        <v>3802</v>
      </c>
      <c r="C1032" s="13" t="s">
        <v>3803</v>
      </c>
      <c r="D1032" s="40">
        <v>8601.0</v>
      </c>
      <c r="E1032" s="38" t="s">
        <v>3804</v>
      </c>
      <c r="F1032" s="38" t="s">
        <v>3804</v>
      </c>
      <c r="G1032" s="69" t="s">
        <v>3805</v>
      </c>
      <c r="H1032" s="69" t="s">
        <v>3806</v>
      </c>
      <c r="I1032" s="41" t="s">
        <v>8</v>
      </c>
      <c r="J1032" s="41" t="s">
        <v>2061</v>
      </c>
      <c r="K1032" s="41" t="s">
        <v>25</v>
      </c>
      <c r="L1032" s="41" t="s">
        <v>26</v>
      </c>
      <c r="M1032" s="41" t="s">
        <v>27</v>
      </c>
      <c r="N1032" s="41" t="s">
        <v>3802</v>
      </c>
      <c r="O1032" s="35" t="str">
        <f t="shared" si="2"/>
        <v>https://monitoramento.pm.pr.gov.br/proxy_image_17/Interface/Cameras/GetJPEGStream?Camera=AV BRASIL X AV ARAUCARIAS&amp;AuthUser=siscop&amp;AuthPass=Siscop1234&amp;Width=1024&amp;Height=768&amp;Quality=70&amp;FPS=10&amp;ResponseFormat=Text</v>
      </c>
      <c r="P1032" s="6">
        <v>1.0</v>
      </c>
    </row>
    <row r="1033">
      <c r="A1033" s="39" t="s">
        <v>3801</v>
      </c>
      <c r="B1033" s="39" t="s">
        <v>3802</v>
      </c>
      <c r="C1033" s="13" t="s">
        <v>3803</v>
      </c>
      <c r="D1033" s="40">
        <v>8601.0</v>
      </c>
      <c r="E1033" s="38" t="s">
        <v>3807</v>
      </c>
      <c r="F1033" s="38" t="s">
        <v>3808</v>
      </c>
      <c r="G1033" s="69" t="s">
        <v>3809</v>
      </c>
      <c r="H1033" s="69" t="s">
        <v>3810</v>
      </c>
      <c r="I1033" s="41" t="s">
        <v>8</v>
      </c>
      <c r="J1033" s="41" t="s">
        <v>2061</v>
      </c>
      <c r="K1033" s="41" t="s">
        <v>25</v>
      </c>
      <c r="L1033" s="41" t="s">
        <v>26</v>
      </c>
      <c r="M1033" s="41" t="s">
        <v>27</v>
      </c>
      <c r="N1033" s="41" t="s">
        <v>3802</v>
      </c>
      <c r="O1033" s="35" t="str">
        <f t="shared" si="2"/>
        <v>https://monitoramento.pm.pr.gov.br/proxy_image_17/Interface/Cameras/GetJPEGStream?Camera=AV PARAGUAI&amp;AuthUser=siscop&amp;AuthPass=Siscop1234&amp;Width=1024&amp;Height=768&amp;Quality=70&amp;FPS=10&amp;ResponseFormat=Text</v>
      </c>
      <c r="P1033" s="6">
        <v>1.0</v>
      </c>
    </row>
    <row r="1034">
      <c r="A1034" s="39" t="s">
        <v>3801</v>
      </c>
      <c r="B1034" s="39" t="s">
        <v>3802</v>
      </c>
      <c r="C1034" s="13" t="s">
        <v>3803</v>
      </c>
      <c r="D1034" s="40">
        <v>8601.0</v>
      </c>
      <c r="E1034" s="38" t="s">
        <v>3811</v>
      </c>
      <c r="F1034" s="38" t="s">
        <v>3811</v>
      </c>
      <c r="G1034" s="69" t="s">
        <v>3812</v>
      </c>
      <c r="H1034" s="69" t="s">
        <v>3813</v>
      </c>
      <c r="I1034" s="41" t="s">
        <v>8</v>
      </c>
      <c r="J1034" s="41" t="s">
        <v>2061</v>
      </c>
      <c r="K1034" s="41" t="s">
        <v>25</v>
      </c>
      <c r="L1034" s="41" t="s">
        <v>26</v>
      </c>
      <c r="M1034" s="41" t="s">
        <v>27</v>
      </c>
      <c r="N1034" s="41" t="s">
        <v>3802</v>
      </c>
      <c r="O1034" s="35" t="str">
        <f t="shared" si="2"/>
        <v>https://monitoramento.pm.pr.gov.br/proxy_image_17/Interface/Cameras/GetJPEGStream?Camera=AV POLONIA x DINAMARCA&amp;AuthUser=siscop&amp;AuthPass=Siscop1234&amp;Width=1024&amp;Height=768&amp;Quality=70&amp;FPS=10&amp;ResponseFormat=Text</v>
      </c>
      <c r="P1034" s="6">
        <v>1.0</v>
      </c>
    </row>
    <row r="1035">
      <c r="A1035" s="39" t="s">
        <v>3801</v>
      </c>
      <c r="B1035" s="39" t="s">
        <v>3802</v>
      </c>
      <c r="C1035" s="13" t="s">
        <v>3803</v>
      </c>
      <c r="D1035" s="40">
        <v>8601.0</v>
      </c>
      <c r="E1035" s="38" t="s">
        <v>3814</v>
      </c>
      <c r="F1035" s="38" t="s">
        <v>3815</v>
      </c>
      <c r="G1035" s="69" t="s">
        <v>3816</v>
      </c>
      <c r="H1035" s="69" t="s">
        <v>3817</v>
      </c>
      <c r="I1035" s="41" t="s">
        <v>8</v>
      </c>
      <c r="J1035" s="41" t="s">
        <v>2061</v>
      </c>
      <c r="K1035" s="41" t="s">
        <v>25</v>
      </c>
      <c r="L1035" s="41" t="s">
        <v>26</v>
      </c>
      <c r="M1035" s="41" t="s">
        <v>27</v>
      </c>
      <c r="N1035" s="41" t="s">
        <v>3802</v>
      </c>
      <c r="O1035" s="35" t="str">
        <f t="shared" si="2"/>
        <v>https://monitoramento.pm.pr.gov.br/proxy_image_17/Interface/Cameras/GetJPEGStream?Camera=AV PORTUGAL 2&amp;AuthUser=siscop&amp;AuthPass=Siscop1234&amp;Width=1024&amp;Height=768&amp;Quality=70&amp;FPS=10&amp;ResponseFormat=Text</v>
      </c>
      <c r="P1035" s="6">
        <v>1.0</v>
      </c>
    </row>
    <row r="1036">
      <c r="A1036" s="39" t="s">
        <v>3801</v>
      </c>
      <c r="B1036" s="39" t="s">
        <v>3802</v>
      </c>
      <c r="C1036" s="13" t="s">
        <v>3803</v>
      </c>
      <c r="D1036" s="40">
        <v>8601.0</v>
      </c>
      <c r="E1036" s="38" t="s">
        <v>3818</v>
      </c>
      <c r="F1036" s="38" t="s">
        <v>3818</v>
      </c>
      <c r="G1036" s="69" t="s">
        <v>3819</v>
      </c>
      <c r="H1036" s="69" t="s">
        <v>3820</v>
      </c>
      <c r="I1036" s="41" t="s">
        <v>8</v>
      </c>
      <c r="J1036" s="41" t="s">
        <v>2061</v>
      </c>
      <c r="K1036" s="41" t="s">
        <v>25</v>
      </c>
      <c r="L1036" s="41" t="s">
        <v>26</v>
      </c>
      <c r="M1036" s="41" t="s">
        <v>27</v>
      </c>
      <c r="N1036" s="41" t="s">
        <v>3802</v>
      </c>
      <c r="O1036" s="35" t="str">
        <f t="shared" si="2"/>
        <v>https://monitoramento.pm.pr.gov.br/proxy_image_17/Interface/Cameras/GetJPEGStream?Camera=AV PORTUGAL LPR&amp;AuthUser=siscop&amp;AuthPass=Siscop1234&amp;Width=1024&amp;Height=768&amp;Quality=70&amp;FPS=10&amp;ResponseFormat=Text</v>
      </c>
      <c r="P1036" s="6">
        <v>1.0</v>
      </c>
    </row>
    <row r="1037">
      <c r="A1037" s="39" t="s">
        <v>3801</v>
      </c>
      <c r="B1037" s="39" t="s">
        <v>3802</v>
      </c>
      <c r="C1037" s="13" t="s">
        <v>3803</v>
      </c>
      <c r="D1037" s="40">
        <v>8601.0</v>
      </c>
      <c r="E1037" s="38" t="s">
        <v>3821</v>
      </c>
      <c r="F1037" s="38" t="s">
        <v>3821</v>
      </c>
      <c r="G1037" s="69" t="s">
        <v>3822</v>
      </c>
      <c r="H1037" s="69" t="s">
        <v>3823</v>
      </c>
      <c r="I1037" s="41" t="s">
        <v>8</v>
      </c>
      <c r="J1037" s="41" t="s">
        <v>2061</v>
      </c>
      <c r="K1037" s="41" t="s">
        <v>25</v>
      </c>
      <c r="L1037" s="41" t="s">
        <v>26</v>
      </c>
      <c r="M1037" s="41" t="s">
        <v>27</v>
      </c>
      <c r="N1037" s="41" t="s">
        <v>3802</v>
      </c>
      <c r="O1037" s="35" t="str">
        <f t="shared" si="2"/>
        <v>https://monitoramento.pm.pr.gov.br/proxy_image_17/Interface/Cameras/GetJPEGStream?Camera=Barracao CME&amp;AuthUser=siscop&amp;AuthPass=Siscop1234&amp;Width=1024&amp;Height=768&amp;Quality=70&amp;FPS=10&amp;ResponseFormat=Text</v>
      </c>
      <c r="P1037" s="6">
        <v>1.0</v>
      </c>
    </row>
    <row r="1038">
      <c r="A1038" s="39" t="s">
        <v>3801</v>
      </c>
      <c r="B1038" s="39" t="s">
        <v>3802</v>
      </c>
      <c r="C1038" s="13" t="s">
        <v>3803</v>
      </c>
      <c r="D1038" s="40">
        <v>8601.0</v>
      </c>
      <c r="E1038" s="38" t="s">
        <v>3824</v>
      </c>
      <c r="F1038" s="38" t="s">
        <v>3825</v>
      </c>
      <c r="G1038" s="69" t="s">
        <v>3826</v>
      </c>
      <c r="H1038" s="69" t="s">
        <v>3827</v>
      </c>
      <c r="I1038" s="41" t="s">
        <v>8</v>
      </c>
      <c r="J1038" s="41" t="s">
        <v>2061</v>
      </c>
      <c r="K1038" s="41" t="s">
        <v>25</v>
      </c>
      <c r="L1038" s="41" t="s">
        <v>26</v>
      </c>
      <c r="M1038" s="41" t="s">
        <v>27</v>
      </c>
      <c r="N1038" s="41" t="s">
        <v>3802</v>
      </c>
      <c r="O1038" s="35" t="str">
        <f t="shared" si="2"/>
        <v>https://monitoramento.pm.pr.gov.br/proxy_image_17/Interface/Cameras/GetJPEGStream?Camera=BRASIL X AUSTRIA&amp;AuthUser=siscop&amp;AuthPass=Siscop1234&amp;Width=1024&amp;Height=768&amp;Quality=70&amp;FPS=10&amp;ResponseFormat=Text</v>
      </c>
      <c r="P1038" s="6">
        <v>1.0</v>
      </c>
    </row>
    <row r="1039">
      <c r="A1039" s="39" t="s">
        <v>3801</v>
      </c>
      <c r="B1039" s="39" t="s">
        <v>3802</v>
      </c>
      <c r="C1039" s="13" t="s">
        <v>3803</v>
      </c>
      <c r="D1039" s="40">
        <v>8601.0</v>
      </c>
      <c r="E1039" s="38" t="s">
        <v>3828</v>
      </c>
      <c r="F1039" s="38" t="s">
        <v>3829</v>
      </c>
      <c r="G1039" s="69" t="s">
        <v>3830</v>
      </c>
      <c r="H1039" s="69" t="s">
        <v>3831</v>
      </c>
      <c r="I1039" s="41" t="s">
        <v>8</v>
      </c>
      <c r="J1039" s="41" t="s">
        <v>2061</v>
      </c>
      <c r="K1039" s="41" t="s">
        <v>25</v>
      </c>
      <c r="L1039" s="41" t="s">
        <v>26</v>
      </c>
      <c r="M1039" s="41" t="s">
        <v>27</v>
      </c>
      <c r="N1039" s="41" t="s">
        <v>3802</v>
      </c>
      <c r="O1039" s="35" t="str">
        <f t="shared" si="2"/>
        <v>https://monitoramento.pm.pr.gov.br/proxy_image_17/Interface/Cameras/GetJPEGStream?Camera=CAMARA MUNICIPAL2&amp;AuthUser=siscop&amp;AuthPass=Siscop1234&amp;Width=1024&amp;Height=768&amp;Quality=70&amp;FPS=10&amp;ResponseFormat=Text</v>
      </c>
      <c r="P1039" s="6">
        <v>1.0</v>
      </c>
    </row>
    <row r="1040">
      <c r="A1040" s="39" t="s">
        <v>3801</v>
      </c>
      <c r="B1040" s="39" t="s">
        <v>3802</v>
      </c>
      <c r="C1040" s="13" t="s">
        <v>3803</v>
      </c>
      <c r="D1040" s="40">
        <v>8601.0</v>
      </c>
      <c r="E1040" s="38" t="s">
        <v>3832</v>
      </c>
      <c r="F1040" s="38" t="s">
        <v>3833</v>
      </c>
      <c r="G1040" s="69" t="s">
        <v>3834</v>
      </c>
      <c r="H1040" s="69" t="s">
        <v>3835</v>
      </c>
      <c r="I1040" s="41" t="s">
        <v>8</v>
      </c>
      <c r="J1040" s="41" t="s">
        <v>2061</v>
      </c>
      <c r="K1040" s="41" t="s">
        <v>25</v>
      </c>
      <c r="L1040" s="41" t="s">
        <v>26</v>
      </c>
      <c r="M1040" s="41" t="s">
        <v>27</v>
      </c>
      <c r="N1040" s="41" t="s">
        <v>3802</v>
      </c>
      <c r="O1040" s="35" t="str">
        <f t="shared" si="2"/>
        <v>https://monitoramento.pm.pr.gov.br/proxy_image_17/Interface/Cameras/GetJPEGStream?Camera=CARRETA CONHENCIMENTO&amp;AuthUser=siscop&amp;AuthPass=Siscop1234&amp;Width=1024&amp;Height=768&amp;Quality=70&amp;FPS=10&amp;ResponseFormat=Text</v>
      </c>
      <c r="P1040" s="6">
        <v>1.0</v>
      </c>
    </row>
    <row r="1041">
      <c r="A1041" s="39" t="s">
        <v>3801</v>
      </c>
      <c r="B1041" s="39" t="s">
        <v>3802</v>
      </c>
      <c r="C1041" s="13" t="s">
        <v>3803</v>
      </c>
      <c r="D1041" s="40">
        <v>8601.0</v>
      </c>
      <c r="E1041" s="38" t="s">
        <v>3836</v>
      </c>
      <c r="F1041" s="38" t="s">
        <v>3837</v>
      </c>
      <c r="G1041" s="69" t="s">
        <v>3838</v>
      </c>
      <c r="H1041" s="69" t="s">
        <v>3839</v>
      </c>
      <c r="I1041" s="41" t="s">
        <v>8</v>
      </c>
      <c r="J1041" s="41" t="s">
        <v>2061</v>
      </c>
      <c r="K1041" s="41" t="s">
        <v>25</v>
      </c>
      <c r="L1041" s="41" t="s">
        <v>26</v>
      </c>
      <c r="M1041" s="41" t="s">
        <v>27</v>
      </c>
      <c r="N1041" s="41" t="s">
        <v>3802</v>
      </c>
      <c r="O1041" s="35" t="str">
        <f t="shared" si="2"/>
        <v>https://monitoramento.pm.pr.gov.br/proxy_image_17/Interface/Cameras/GetJPEGStream?Camera=CESAR CARELLI - CAMARA&amp;AuthUser=siscop&amp;AuthPass=Siscop1234&amp;Width=1024&amp;Height=768&amp;Quality=70&amp;FPS=10&amp;ResponseFormat=Text</v>
      </c>
      <c r="P1041" s="6">
        <v>1.0</v>
      </c>
    </row>
    <row r="1042">
      <c r="A1042" s="39" t="s">
        <v>3801</v>
      </c>
      <c r="B1042" s="39" t="s">
        <v>3802</v>
      </c>
      <c r="C1042" s="13" t="s">
        <v>3803</v>
      </c>
      <c r="D1042" s="40">
        <v>8601.0</v>
      </c>
      <c r="E1042" s="38" t="s">
        <v>3840</v>
      </c>
      <c r="F1042" s="38" t="s">
        <v>3840</v>
      </c>
      <c r="G1042" s="69" t="s">
        <v>3841</v>
      </c>
      <c r="H1042" s="69" t="s">
        <v>3842</v>
      </c>
      <c r="I1042" s="41" t="s">
        <v>8</v>
      </c>
      <c r="J1042" s="41" t="s">
        <v>2061</v>
      </c>
      <c r="K1042" s="41" t="s">
        <v>25</v>
      </c>
      <c r="L1042" s="41" t="s">
        <v>26</v>
      </c>
      <c r="M1042" s="41" t="s">
        <v>27</v>
      </c>
      <c r="N1042" s="41" t="s">
        <v>3802</v>
      </c>
      <c r="O1042" s="35" t="str">
        <f t="shared" si="2"/>
        <v>https://monitoramento.pm.pr.gov.br/proxy_image_17/Interface/Cameras/GetJPEGStream?Camera=CESAR CARELLI X RIO IVAI&amp;AuthUser=siscop&amp;AuthPass=Siscop1234&amp;Width=1024&amp;Height=768&amp;Quality=70&amp;FPS=10&amp;ResponseFormat=Text</v>
      </c>
      <c r="P1042" s="6">
        <v>1.0</v>
      </c>
    </row>
    <row r="1043">
      <c r="A1043" s="39" t="s">
        <v>3801</v>
      </c>
      <c r="B1043" s="39" t="s">
        <v>3802</v>
      </c>
      <c r="C1043" s="13" t="s">
        <v>3803</v>
      </c>
      <c r="D1043" s="40">
        <v>8601.0</v>
      </c>
      <c r="E1043" s="38" t="s">
        <v>3843</v>
      </c>
      <c r="F1043" s="38" t="s">
        <v>3843</v>
      </c>
      <c r="G1043" s="70" t="s">
        <v>3422</v>
      </c>
      <c r="H1043" s="70" t="s">
        <v>3422</v>
      </c>
      <c r="I1043" s="41" t="s">
        <v>8</v>
      </c>
      <c r="J1043" s="41" t="s">
        <v>2061</v>
      </c>
      <c r="K1043" s="41" t="s">
        <v>25</v>
      </c>
      <c r="L1043" s="41" t="s">
        <v>26</v>
      </c>
      <c r="M1043" s="41" t="s">
        <v>27</v>
      </c>
      <c r="N1043" s="41" t="s">
        <v>3802</v>
      </c>
      <c r="O1043" s="35" t="str">
        <f t="shared" si="2"/>
        <v>#</v>
      </c>
      <c r="P1043" s="6">
        <v>0.0</v>
      </c>
    </row>
    <row r="1044">
      <c r="A1044" s="39" t="s">
        <v>3801</v>
      </c>
      <c r="B1044" s="39" t="s">
        <v>3802</v>
      </c>
      <c r="C1044" s="13" t="s">
        <v>3803</v>
      </c>
      <c r="D1044" s="40">
        <v>8601.0</v>
      </c>
      <c r="E1044" s="38" t="s">
        <v>3844</v>
      </c>
      <c r="F1044" s="38" t="s">
        <v>3845</v>
      </c>
      <c r="G1044" s="69" t="s">
        <v>3846</v>
      </c>
      <c r="H1044" s="69" t="s">
        <v>3847</v>
      </c>
      <c r="I1044" s="41" t="s">
        <v>8</v>
      </c>
      <c r="J1044" s="41" t="s">
        <v>2061</v>
      </c>
      <c r="K1044" s="41" t="s">
        <v>25</v>
      </c>
      <c r="L1044" s="41" t="s">
        <v>26</v>
      </c>
      <c r="M1044" s="41" t="s">
        <v>27</v>
      </c>
      <c r="N1044" s="41" t="s">
        <v>3802</v>
      </c>
      <c r="O1044" s="35" t="str">
        <f t="shared" si="2"/>
        <v>https://monitoramento.pm.pr.gov.br/proxy_image_17/Interface/Cameras/GetJPEGStream?Camera=FRANCISCO CLAUDINO&amp;AuthUser=siscop&amp;AuthPass=Siscop1234&amp;Width=1024&amp;Height=768&amp;Quality=70&amp;FPS=10&amp;ResponseFormat=Text</v>
      </c>
      <c r="P1044" s="6">
        <v>1.0</v>
      </c>
    </row>
    <row r="1045">
      <c r="A1045" s="39" t="s">
        <v>3801</v>
      </c>
      <c r="B1045" s="39" t="s">
        <v>3802</v>
      </c>
      <c r="C1045" s="13" t="s">
        <v>3803</v>
      </c>
      <c r="D1045" s="40">
        <v>8601.0</v>
      </c>
      <c r="E1045" s="38" t="s">
        <v>3848</v>
      </c>
      <c r="F1045" s="38" t="s">
        <v>3849</v>
      </c>
      <c r="G1045" s="69" t="s">
        <v>3850</v>
      </c>
      <c r="H1045" s="69" t="s">
        <v>3851</v>
      </c>
      <c r="I1045" s="41" t="s">
        <v>8</v>
      </c>
      <c r="J1045" s="41" t="s">
        <v>2061</v>
      </c>
      <c r="K1045" s="41" t="s">
        <v>25</v>
      </c>
      <c r="L1045" s="41" t="s">
        <v>26</v>
      </c>
      <c r="M1045" s="41" t="s">
        <v>27</v>
      </c>
      <c r="N1045" s="41" t="s">
        <v>3802</v>
      </c>
      <c r="O1045" s="35" t="str">
        <f t="shared" si="2"/>
        <v>https://monitoramento.pm.pr.gov.br/proxy_image_17/Interface/Cameras/GetJPEGStream?Camera=Jacaranda Bairro&amp;AuthUser=siscop&amp;AuthPass=Siscop1234&amp;Width=1024&amp;Height=768&amp;Quality=70&amp;FPS=10&amp;ResponseFormat=Text</v>
      </c>
      <c r="P1045" s="6">
        <v>1.0</v>
      </c>
    </row>
    <row r="1046">
      <c r="A1046" s="39" t="s">
        <v>3801</v>
      </c>
      <c r="B1046" s="39" t="s">
        <v>3802</v>
      </c>
      <c r="C1046" s="13" t="s">
        <v>3803</v>
      </c>
      <c r="D1046" s="40">
        <v>8601.0</v>
      </c>
      <c r="E1046" s="38" t="s">
        <v>3852</v>
      </c>
      <c r="F1046" s="38" t="s">
        <v>3853</v>
      </c>
      <c r="G1046" s="69" t="s">
        <v>3850</v>
      </c>
      <c r="H1046" s="69" t="s">
        <v>3851</v>
      </c>
      <c r="I1046" s="41" t="s">
        <v>8</v>
      </c>
      <c r="J1046" s="41" t="s">
        <v>2061</v>
      </c>
      <c r="K1046" s="41" t="s">
        <v>25</v>
      </c>
      <c r="L1046" s="41" t="s">
        <v>26</v>
      </c>
      <c r="M1046" s="41" t="s">
        <v>27</v>
      </c>
      <c r="N1046" s="41" t="s">
        <v>3802</v>
      </c>
      <c r="O1046" s="35" t="str">
        <f t="shared" si="2"/>
        <v>https://monitoramento.pm.pr.gov.br/proxy_image_17/Interface/Cameras/GetJPEGStream?Camera=JACARANDA BR&amp;AuthUser=siscop&amp;AuthPass=Siscop1234&amp;Width=1024&amp;Height=768&amp;Quality=70&amp;FPS=10&amp;ResponseFormat=Text</v>
      </c>
      <c r="P1046" s="6">
        <v>1.0</v>
      </c>
    </row>
    <row r="1047">
      <c r="A1047" s="39" t="s">
        <v>3801</v>
      </c>
      <c r="B1047" s="39" t="s">
        <v>3802</v>
      </c>
      <c r="C1047" s="13" t="s">
        <v>3803</v>
      </c>
      <c r="D1047" s="40">
        <v>8601.0</v>
      </c>
      <c r="E1047" s="38" t="s">
        <v>3854</v>
      </c>
      <c r="F1047" s="38" t="s">
        <v>3854</v>
      </c>
      <c r="G1047" s="37">
        <v>0.0</v>
      </c>
      <c r="H1047" s="37">
        <v>0.0</v>
      </c>
      <c r="I1047" s="41" t="s">
        <v>8</v>
      </c>
      <c r="J1047" s="41" t="s">
        <v>2061</v>
      </c>
      <c r="K1047" s="41" t="s">
        <v>25</v>
      </c>
      <c r="L1047" s="41" t="s">
        <v>26</v>
      </c>
      <c r="M1047" s="41" t="s">
        <v>27</v>
      </c>
      <c r="N1047" s="41" t="s">
        <v>3802</v>
      </c>
      <c r="O1047" s="35" t="str">
        <f t="shared" si="2"/>
        <v>#</v>
      </c>
      <c r="P1047" s="6">
        <v>0.0</v>
      </c>
    </row>
    <row r="1048">
      <c r="A1048" s="39" t="s">
        <v>3801</v>
      </c>
      <c r="B1048" s="39" t="s">
        <v>3802</v>
      </c>
      <c r="C1048" s="13" t="s">
        <v>3803</v>
      </c>
      <c r="D1048" s="40">
        <v>8601.0</v>
      </c>
      <c r="E1048" s="38" t="s">
        <v>3855</v>
      </c>
      <c r="F1048" s="38" t="s">
        <v>3856</v>
      </c>
      <c r="G1048" s="37">
        <v>0.0</v>
      </c>
      <c r="H1048" s="37">
        <v>0.0</v>
      </c>
      <c r="I1048" s="41" t="s">
        <v>8</v>
      </c>
      <c r="J1048" s="41" t="s">
        <v>2061</v>
      </c>
      <c r="K1048" s="41" t="s">
        <v>25</v>
      </c>
      <c r="L1048" s="41" t="s">
        <v>26</v>
      </c>
      <c r="M1048" s="41" t="s">
        <v>27</v>
      </c>
      <c r="N1048" s="41" t="s">
        <v>3802</v>
      </c>
      <c r="O1048" s="35" t="str">
        <f t="shared" si="2"/>
        <v>#</v>
      </c>
      <c r="P1048" s="6">
        <v>0.0</v>
      </c>
    </row>
    <row r="1049">
      <c r="A1049" s="39" t="s">
        <v>3801</v>
      </c>
      <c r="B1049" s="39" t="s">
        <v>3802</v>
      </c>
      <c r="C1049" s="13" t="s">
        <v>3803</v>
      </c>
      <c r="D1049" s="40">
        <v>8601.0</v>
      </c>
      <c r="E1049" s="38" t="s">
        <v>3857</v>
      </c>
      <c r="F1049" s="38" t="s">
        <v>3858</v>
      </c>
      <c r="G1049" s="37">
        <v>0.0</v>
      </c>
      <c r="H1049" s="37">
        <v>0.0</v>
      </c>
      <c r="I1049" s="41" t="s">
        <v>8</v>
      </c>
      <c r="J1049" s="41" t="s">
        <v>2061</v>
      </c>
      <c r="K1049" s="41" t="s">
        <v>25</v>
      </c>
      <c r="L1049" s="41" t="s">
        <v>26</v>
      </c>
      <c r="M1049" s="41" t="s">
        <v>27</v>
      </c>
      <c r="N1049" s="41" t="s">
        <v>3802</v>
      </c>
      <c r="O1049" s="35" t="str">
        <f t="shared" si="2"/>
        <v>#</v>
      </c>
      <c r="P1049" s="6">
        <v>0.0</v>
      </c>
    </row>
    <row r="1050">
      <c r="A1050" s="39" t="s">
        <v>3801</v>
      </c>
      <c r="B1050" s="39" t="s">
        <v>3802</v>
      </c>
      <c r="C1050" s="13" t="s">
        <v>3803</v>
      </c>
      <c r="D1050" s="40">
        <v>8601.0</v>
      </c>
      <c r="E1050" s="38" t="s">
        <v>3859</v>
      </c>
      <c r="F1050" s="38" t="s">
        <v>3859</v>
      </c>
      <c r="G1050" s="37">
        <v>0.0</v>
      </c>
      <c r="H1050" s="37">
        <v>0.0</v>
      </c>
      <c r="I1050" s="41" t="s">
        <v>8</v>
      </c>
      <c r="J1050" s="41" t="s">
        <v>2061</v>
      </c>
      <c r="K1050" s="41" t="s">
        <v>25</v>
      </c>
      <c r="L1050" s="41" t="s">
        <v>26</v>
      </c>
      <c r="M1050" s="41" t="s">
        <v>27</v>
      </c>
      <c r="N1050" s="41" t="s">
        <v>3802</v>
      </c>
      <c r="O1050" s="35" t="str">
        <f t="shared" si="2"/>
        <v>#</v>
      </c>
      <c r="P1050" s="6">
        <v>0.0</v>
      </c>
    </row>
    <row r="1051">
      <c r="A1051" s="39" t="s">
        <v>3801</v>
      </c>
      <c r="B1051" s="39" t="s">
        <v>3802</v>
      </c>
      <c r="C1051" s="13" t="s">
        <v>3803</v>
      </c>
      <c r="D1051" s="40">
        <v>8601.0</v>
      </c>
      <c r="E1051" s="38" t="s">
        <v>3860</v>
      </c>
      <c r="F1051" s="38" t="s">
        <v>3861</v>
      </c>
      <c r="G1051" s="37">
        <v>0.0</v>
      </c>
      <c r="H1051" s="37">
        <v>0.0</v>
      </c>
      <c r="I1051" s="41" t="s">
        <v>8</v>
      </c>
      <c r="J1051" s="41" t="s">
        <v>2061</v>
      </c>
      <c r="K1051" s="41" t="s">
        <v>25</v>
      </c>
      <c r="L1051" s="41" t="s">
        <v>26</v>
      </c>
      <c r="M1051" s="41" t="s">
        <v>27</v>
      </c>
      <c r="N1051" s="41" t="s">
        <v>3802</v>
      </c>
      <c r="O1051" s="35" t="str">
        <f t="shared" si="2"/>
        <v>#</v>
      </c>
      <c r="P1051" s="6">
        <v>0.0</v>
      </c>
    </row>
    <row r="1052">
      <c r="A1052" s="39" t="s">
        <v>3801</v>
      </c>
      <c r="B1052" s="39" t="s">
        <v>3802</v>
      </c>
      <c r="C1052" s="13" t="s">
        <v>3803</v>
      </c>
      <c r="D1052" s="40">
        <v>8601.0</v>
      </c>
      <c r="E1052" s="38" t="s">
        <v>3862</v>
      </c>
      <c r="F1052" s="38" t="s">
        <v>3862</v>
      </c>
      <c r="G1052" s="37">
        <v>0.0</v>
      </c>
      <c r="H1052" s="37">
        <v>0.0</v>
      </c>
      <c r="I1052" s="41" t="s">
        <v>8</v>
      </c>
      <c r="J1052" s="41" t="s">
        <v>2061</v>
      </c>
      <c r="K1052" s="41" t="s">
        <v>25</v>
      </c>
      <c r="L1052" s="41" t="s">
        <v>26</v>
      </c>
      <c r="M1052" s="41" t="s">
        <v>27</v>
      </c>
      <c r="N1052" s="41" t="s">
        <v>3802</v>
      </c>
      <c r="O1052" s="35" t="str">
        <f t="shared" si="2"/>
        <v>#</v>
      </c>
      <c r="P1052" s="6">
        <v>0.0</v>
      </c>
    </row>
    <row r="1053">
      <c r="A1053" s="39" t="s">
        <v>3801</v>
      </c>
      <c r="B1053" s="39" t="s">
        <v>3802</v>
      </c>
      <c r="C1053" s="13" t="s">
        <v>3803</v>
      </c>
      <c r="D1053" s="40">
        <v>8601.0</v>
      </c>
      <c r="E1053" s="38" t="s">
        <v>3863</v>
      </c>
      <c r="F1053" s="38" t="s">
        <v>3864</v>
      </c>
      <c r="G1053" s="37">
        <v>0.0</v>
      </c>
      <c r="H1053" s="37">
        <v>0.0</v>
      </c>
      <c r="I1053" s="41" t="s">
        <v>8</v>
      </c>
      <c r="J1053" s="41" t="s">
        <v>2061</v>
      </c>
      <c r="K1053" s="41" t="s">
        <v>25</v>
      </c>
      <c r="L1053" s="41" t="s">
        <v>26</v>
      </c>
      <c r="M1053" s="41" t="s">
        <v>27</v>
      </c>
      <c r="N1053" s="41" t="s">
        <v>3802</v>
      </c>
      <c r="O1053" s="35" t="str">
        <f t="shared" si="2"/>
        <v>#</v>
      </c>
      <c r="P1053" s="6">
        <v>0.0</v>
      </c>
    </row>
    <row r="1054">
      <c r="A1054" s="39" t="s">
        <v>3801</v>
      </c>
      <c r="B1054" s="39" t="s">
        <v>3802</v>
      </c>
      <c r="C1054" s="13" t="s">
        <v>3803</v>
      </c>
      <c r="D1054" s="40">
        <v>8601.0</v>
      </c>
      <c r="E1054" s="38" t="s">
        <v>3865</v>
      </c>
      <c r="F1054" s="38" t="s">
        <v>3866</v>
      </c>
      <c r="G1054" s="37">
        <v>0.0</v>
      </c>
      <c r="H1054" s="37">
        <v>0.0</v>
      </c>
      <c r="I1054" s="41" t="s">
        <v>8</v>
      </c>
      <c r="J1054" s="41" t="s">
        <v>2061</v>
      </c>
      <c r="K1054" s="41" t="s">
        <v>25</v>
      </c>
      <c r="L1054" s="41" t="s">
        <v>26</v>
      </c>
      <c r="M1054" s="41" t="s">
        <v>27</v>
      </c>
      <c r="N1054" s="41" t="s">
        <v>3802</v>
      </c>
      <c r="O1054" s="35" t="str">
        <f t="shared" si="2"/>
        <v>#</v>
      </c>
      <c r="P1054" s="6">
        <v>0.0</v>
      </c>
    </row>
    <row r="1055">
      <c r="A1055" s="39" t="s">
        <v>3801</v>
      </c>
      <c r="B1055" s="39" t="s">
        <v>3802</v>
      </c>
      <c r="C1055" s="13" t="s">
        <v>3803</v>
      </c>
      <c r="D1055" s="40">
        <v>8601.0</v>
      </c>
      <c r="E1055" s="38" t="s">
        <v>3867</v>
      </c>
      <c r="F1055" s="38" t="s">
        <v>3867</v>
      </c>
      <c r="G1055" s="37">
        <v>0.0</v>
      </c>
      <c r="H1055" s="37">
        <v>0.0</v>
      </c>
      <c r="I1055" s="41" t="s">
        <v>8</v>
      </c>
      <c r="J1055" s="41" t="s">
        <v>2061</v>
      </c>
      <c r="K1055" s="41" t="s">
        <v>25</v>
      </c>
      <c r="L1055" s="41" t="s">
        <v>26</v>
      </c>
      <c r="M1055" s="41" t="s">
        <v>27</v>
      </c>
      <c r="N1055" s="41" t="s">
        <v>3802</v>
      </c>
      <c r="O1055" s="35" t="str">
        <f t="shared" si="2"/>
        <v>#</v>
      </c>
      <c r="P1055" s="6">
        <v>0.0</v>
      </c>
    </row>
    <row r="1056">
      <c r="A1056" s="39" t="s">
        <v>3801</v>
      </c>
      <c r="B1056" s="39" t="s">
        <v>3802</v>
      </c>
      <c r="C1056" s="13" t="s">
        <v>3803</v>
      </c>
      <c r="D1056" s="40">
        <v>8601.0</v>
      </c>
      <c r="E1056" s="38" t="s">
        <v>3868</v>
      </c>
      <c r="F1056" s="38" t="s">
        <v>3849</v>
      </c>
      <c r="G1056" s="37">
        <v>0.0</v>
      </c>
      <c r="H1056" s="37">
        <v>0.0</v>
      </c>
      <c r="I1056" s="41" t="s">
        <v>8</v>
      </c>
      <c r="J1056" s="41" t="s">
        <v>2061</v>
      </c>
      <c r="K1056" s="41" t="s">
        <v>25</v>
      </c>
      <c r="L1056" s="41" t="s">
        <v>26</v>
      </c>
      <c r="M1056" s="41" t="s">
        <v>27</v>
      </c>
      <c r="N1056" s="41" t="s">
        <v>3802</v>
      </c>
      <c r="O1056" s="35" t="str">
        <f t="shared" si="2"/>
        <v>#</v>
      </c>
      <c r="P1056" s="6">
        <v>0.0</v>
      </c>
    </row>
    <row r="1057">
      <c r="A1057" s="39" t="s">
        <v>3801</v>
      </c>
      <c r="B1057" s="39" t="s">
        <v>3802</v>
      </c>
      <c r="C1057" s="13" t="s">
        <v>3803</v>
      </c>
      <c r="D1057" s="40">
        <v>8601.0</v>
      </c>
      <c r="E1057" s="38" t="s">
        <v>3869</v>
      </c>
      <c r="F1057" s="38" t="s">
        <v>3870</v>
      </c>
      <c r="G1057" s="37">
        <v>0.0</v>
      </c>
      <c r="H1057" s="37">
        <v>0.0</v>
      </c>
      <c r="I1057" s="41" t="s">
        <v>8</v>
      </c>
      <c r="J1057" s="41" t="s">
        <v>2061</v>
      </c>
      <c r="K1057" s="41" t="s">
        <v>25</v>
      </c>
      <c r="L1057" s="41" t="s">
        <v>26</v>
      </c>
      <c r="M1057" s="41" t="s">
        <v>27</v>
      </c>
      <c r="N1057" s="41" t="s">
        <v>3802</v>
      </c>
      <c r="O1057" s="35" t="str">
        <f t="shared" si="2"/>
        <v>#</v>
      </c>
      <c r="P1057" s="6">
        <v>0.0</v>
      </c>
    </row>
    <row r="1058">
      <c r="A1058" s="39" t="s">
        <v>3801</v>
      </c>
      <c r="B1058" s="39" t="s">
        <v>3802</v>
      </c>
      <c r="C1058" s="13" t="s">
        <v>3803</v>
      </c>
      <c r="D1058" s="40">
        <v>8601.0</v>
      </c>
      <c r="E1058" s="38" t="s">
        <v>3871</v>
      </c>
      <c r="F1058" s="38" t="s">
        <v>3871</v>
      </c>
      <c r="G1058" s="37">
        <v>0.0</v>
      </c>
      <c r="H1058" s="37">
        <v>0.0</v>
      </c>
      <c r="I1058" s="41" t="s">
        <v>8</v>
      </c>
      <c r="J1058" s="41" t="s">
        <v>2061</v>
      </c>
      <c r="K1058" s="41" t="s">
        <v>25</v>
      </c>
      <c r="L1058" s="41" t="s">
        <v>26</v>
      </c>
      <c r="M1058" s="41" t="s">
        <v>27</v>
      </c>
      <c r="N1058" s="41" t="s">
        <v>3802</v>
      </c>
      <c r="O1058" s="35" t="str">
        <f t="shared" si="2"/>
        <v>#</v>
      </c>
      <c r="P1058" s="6">
        <v>0.0</v>
      </c>
    </row>
    <row r="1059">
      <c r="A1059" s="39"/>
      <c r="B1059" s="39"/>
      <c r="C1059" s="3"/>
      <c r="D1059" s="40"/>
      <c r="E1059" s="38"/>
      <c r="F1059" s="38"/>
      <c r="G1059" s="4"/>
      <c r="H1059" s="4"/>
      <c r="I1059" s="41"/>
      <c r="J1059" s="41"/>
      <c r="K1059" s="41"/>
      <c r="L1059" s="41"/>
      <c r="M1059" s="41"/>
      <c r="N1059" s="41"/>
      <c r="O1059" s="35"/>
      <c r="P1059" s="6"/>
    </row>
    <row r="1060">
      <c r="A1060" s="39"/>
      <c r="B1060" s="39"/>
      <c r="C1060" s="3"/>
      <c r="D1060" s="40"/>
      <c r="E1060" s="38"/>
      <c r="F1060" s="38"/>
      <c r="G1060" s="4"/>
      <c r="H1060" s="4"/>
      <c r="I1060" s="41"/>
      <c r="J1060" s="41"/>
      <c r="K1060" s="41"/>
      <c r="L1060" s="41"/>
      <c r="M1060" s="41"/>
      <c r="N1060" s="41"/>
      <c r="O1060" s="35"/>
      <c r="P1060" s="6"/>
    </row>
    <row r="1061">
      <c r="A1061" s="39"/>
      <c r="B1061" s="39"/>
      <c r="C1061" s="3"/>
      <c r="D1061" s="40"/>
      <c r="E1061" s="38"/>
      <c r="F1061" s="38"/>
      <c r="G1061" s="4"/>
      <c r="H1061" s="4"/>
      <c r="I1061" s="41"/>
      <c r="J1061" s="41"/>
      <c r="K1061" s="41"/>
      <c r="L1061" s="41"/>
      <c r="M1061" s="41"/>
      <c r="N1061" s="41"/>
      <c r="O1061" s="35"/>
      <c r="P1061" s="6"/>
    </row>
    <row r="1062">
      <c r="A1062" s="39"/>
      <c r="B1062" s="39"/>
      <c r="C1062" s="3"/>
      <c r="D1062" s="40"/>
      <c r="E1062" s="38"/>
      <c r="F1062" s="38"/>
      <c r="G1062" s="4"/>
      <c r="H1062" s="4"/>
      <c r="I1062" s="41"/>
      <c r="J1062" s="41"/>
      <c r="K1062" s="41"/>
      <c r="L1062" s="41"/>
      <c r="M1062" s="41"/>
      <c r="N1062" s="41"/>
      <c r="O1062" s="35"/>
      <c r="P1062" s="6"/>
    </row>
    <row r="1063">
      <c r="A1063" s="39"/>
      <c r="B1063" s="39"/>
      <c r="C1063" s="3"/>
      <c r="D1063" s="40"/>
      <c r="E1063" s="38"/>
      <c r="F1063" s="38"/>
      <c r="G1063" s="4"/>
      <c r="H1063" s="4"/>
      <c r="I1063" s="41"/>
      <c r="J1063" s="41"/>
      <c r="K1063" s="41"/>
      <c r="L1063" s="41"/>
      <c r="M1063" s="41"/>
      <c r="N1063" s="41"/>
      <c r="O1063" s="35"/>
      <c r="P1063" s="6"/>
    </row>
    <row r="1064">
      <c r="A1064" s="39"/>
      <c r="B1064" s="39"/>
      <c r="C1064" s="3"/>
      <c r="D1064" s="40"/>
      <c r="E1064" s="38"/>
      <c r="F1064" s="38"/>
      <c r="G1064" s="4"/>
      <c r="H1064" s="4"/>
      <c r="I1064" s="41"/>
      <c r="J1064" s="41"/>
      <c r="K1064" s="41"/>
      <c r="L1064" s="41"/>
      <c r="M1064" s="41"/>
      <c r="N1064" s="41"/>
      <c r="O1064" s="35"/>
      <c r="P1064" s="6"/>
    </row>
    <row r="1065">
      <c r="A1065" s="39"/>
      <c r="B1065" s="39"/>
      <c r="C1065" s="3"/>
      <c r="D1065" s="40"/>
      <c r="E1065" s="38"/>
      <c r="F1065" s="38"/>
      <c r="G1065" s="4"/>
      <c r="H1065" s="4"/>
      <c r="I1065" s="41"/>
      <c r="J1065" s="41"/>
      <c r="K1065" s="41"/>
      <c r="L1065" s="41"/>
      <c r="M1065" s="41"/>
      <c r="N1065" s="41"/>
      <c r="O1065" s="35"/>
      <c r="P1065" s="6"/>
    </row>
    <row r="1066">
      <c r="A1066" s="39"/>
      <c r="B1066" s="39"/>
      <c r="C1066" s="3"/>
      <c r="D1066" s="40"/>
      <c r="E1066" s="38"/>
      <c r="F1066" s="38"/>
      <c r="G1066" s="4"/>
      <c r="H1066" s="4"/>
      <c r="I1066" s="41"/>
      <c r="J1066" s="41"/>
      <c r="K1066" s="41"/>
      <c r="L1066" s="41"/>
      <c r="M1066" s="41"/>
      <c r="N1066" s="41"/>
      <c r="O1066" s="35"/>
      <c r="P1066" s="6"/>
    </row>
    <row r="1067">
      <c r="A1067" s="39"/>
      <c r="B1067" s="39"/>
      <c r="C1067" s="3"/>
      <c r="D1067" s="40"/>
      <c r="E1067" s="38"/>
      <c r="F1067" s="38"/>
      <c r="G1067" s="4"/>
      <c r="H1067" s="4"/>
      <c r="I1067" s="41"/>
      <c r="J1067" s="41"/>
      <c r="K1067" s="41"/>
      <c r="L1067" s="41"/>
      <c r="M1067" s="41"/>
      <c r="N1067" s="41"/>
      <c r="O1067" s="35"/>
      <c r="P1067" s="42"/>
    </row>
    <row r="1068">
      <c r="A1068" s="39"/>
      <c r="B1068" s="39"/>
      <c r="C1068" s="3"/>
      <c r="D1068" s="40"/>
      <c r="E1068" s="38"/>
      <c r="F1068" s="38"/>
      <c r="G1068" s="4"/>
      <c r="H1068" s="4"/>
      <c r="I1068" s="41"/>
      <c r="J1068" s="41"/>
      <c r="K1068" s="41"/>
      <c r="L1068" s="41"/>
      <c r="M1068" s="41"/>
      <c r="N1068" s="41"/>
      <c r="O1068" s="35"/>
      <c r="P1068" s="42"/>
    </row>
    <row r="1069">
      <c r="A1069" s="39"/>
      <c r="B1069" s="39"/>
      <c r="C1069" s="3"/>
      <c r="D1069" s="40"/>
      <c r="E1069" s="38"/>
      <c r="F1069" s="38"/>
      <c r="G1069" s="4"/>
      <c r="H1069" s="4"/>
      <c r="I1069" s="41"/>
      <c r="J1069" s="41"/>
      <c r="K1069" s="41"/>
      <c r="L1069" s="41"/>
      <c r="M1069" s="41"/>
      <c r="N1069" s="41"/>
      <c r="O1069" s="35"/>
      <c r="P1069" s="42"/>
    </row>
    <row r="1070">
      <c r="A1070" s="39"/>
      <c r="B1070" s="39"/>
      <c r="C1070" s="3"/>
      <c r="D1070" s="40"/>
      <c r="E1070" s="38"/>
      <c r="F1070" s="38"/>
      <c r="G1070" s="4"/>
      <c r="H1070" s="4"/>
      <c r="I1070" s="41"/>
      <c r="J1070" s="41"/>
      <c r="K1070" s="41"/>
      <c r="L1070" s="41"/>
      <c r="M1070" s="41"/>
      <c r="N1070" s="41"/>
      <c r="O1070" s="35"/>
      <c r="P1070" s="42"/>
    </row>
    <row r="1071">
      <c r="A1071" s="39"/>
      <c r="B1071" s="39"/>
      <c r="C1071" s="3"/>
      <c r="D1071" s="40"/>
      <c r="E1071" s="38"/>
      <c r="F1071" s="38"/>
      <c r="G1071" s="4"/>
      <c r="H1071" s="4"/>
      <c r="I1071" s="41"/>
      <c r="J1071" s="41"/>
      <c r="K1071" s="41"/>
      <c r="L1071" s="41"/>
      <c r="M1071" s="41"/>
      <c r="N1071" s="41"/>
      <c r="O1071" s="35"/>
      <c r="P1071" s="42"/>
    </row>
    <row r="1072">
      <c r="A1072" s="39"/>
      <c r="B1072" s="39"/>
      <c r="C1072" s="3"/>
      <c r="D1072" s="40"/>
      <c r="E1072" s="38"/>
      <c r="F1072" s="38"/>
      <c r="G1072" s="4"/>
      <c r="H1072" s="4"/>
      <c r="I1072" s="41"/>
      <c r="J1072" s="41"/>
      <c r="K1072" s="41"/>
      <c r="L1072" s="41"/>
      <c r="M1072" s="41"/>
      <c r="N1072" s="41"/>
      <c r="O1072" s="35"/>
      <c r="P1072" s="42"/>
    </row>
    <row r="1073">
      <c r="A1073" s="39"/>
      <c r="B1073" s="39"/>
      <c r="C1073" s="3"/>
      <c r="D1073" s="40"/>
      <c r="E1073" s="38"/>
      <c r="F1073" s="38"/>
      <c r="G1073" s="4"/>
      <c r="H1073" s="4"/>
      <c r="I1073" s="41"/>
      <c r="J1073" s="41"/>
      <c r="K1073" s="41"/>
      <c r="L1073" s="41"/>
      <c r="M1073" s="41"/>
      <c r="N1073" s="41"/>
      <c r="O1073" s="35"/>
      <c r="P1073" s="42"/>
    </row>
    <row r="1074">
      <c r="A1074" s="39"/>
      <c r="B1074" s="39"/>
      <c r="C1074" s="3"/>
      <c r="D1074" s="40"/>
      <c r="E1074" s="38"/>
      <c r="F1074" s="38"/>
      <c r="G1074" s="4"/>
      <c r="H1074" s="4"/>
      <c r="I1074" s="41"/>
      <c r="J1074" s="41"/>
      <c r="K1074" s="41"/>
      <c r="L1074" s="41"/>
      <c r="M1074" s="41"/>
      <c r="N1074" s="41"/>
      <c r="O1074" s="35"/>
      <c r="P1074" s="42"/>
    </row>
    <row r="1075">
      <c r="A1075" s="39"/>
      <c r="B1075" s="39"/>
      <c r="C1075" s="3"/>
      <c r="D1075" s="40"/>
      <c r="E1075" s="38"/>
      <c r="F1075" s="38"/>
      <c r="G1075" s="4"/>
      <c r="H1075" s="4"/>
      <c r="I1075" s="41"/>
      <c r="J1075" s="41"/>
      <c r="K1075" s="41"/>
      <c r="L1075" s="41"/>
      <c r="M1075" s="41"/>
      <c r="N1075" s="41"/>
      <c r="O1075" s="35"/>
      <c r="P1075" s="42"/>
    </row>
    <row r="1076">
      <c r="A1076" s="39"/>
      <c r="B1076" s="39"/>
      <c r="C1076" s="3"/>
      <c r="D1076" s="40"/>
      <c r="E1076" s="38"/>
      <c r="F1076" s="38"/>
      <c r="G1076" s="4"/>
      <c r="H1076" s="4"/>
      <c r="I1076" s="41"/>
      <c r="J1076" s="41"/>
      <c r="K1076" s="41"/>
      <c r="L1076" s="41"/>
      <c r="M1076" s="41"/>
      <c r="N1076" s="41"/>
      <c r="O1076" s="35"/>
      <c r="P1076" s="42"/>
    </row>
    <row r="1077">
      <c r="A1077" s="39"/>
      <c r="B1077" s="39"/>
      <c r="C1077" s="3"/>
      <c r="D1077" s="40"/>
      <c r="E1077" s="38"/>
      <c r="F1077" s="38"/>
      <c r="G1077" s="4"/>
      <c r="H1077" s="4"/>
      <c r="I1077" s="41"/>
      <c r="J1077" s="41"/>
      <c r="K1077" s="41"/>
      <c r="L1077" s="41"/>
      <c r="M1077" s="41"/>
      <c r="N1077" s="41"/>
      <c r="O1077" s="35"/>
      <c r="P1077" s="42"/>
    </row>
    <row r="1078">
      <c r="A1078" s="39"/>
      <c r="B1078" s="39"/>
      <c r="C1078" s="3"/>
      <c r="D1078" s="40"/>
      <c r="E1078" s="38"/>
      <c r="F1078" s="38"/>
      <c r="G1078" s="4"/>
      <c r="H1078" s="4"/>
      <c r="I1078" s="41"/>
      <c r="J1078" s="41"/>
      <c r="K1078" s="41"/>
      <c r="L1078" s="41"/>
      <c r="M1078" s="41"/>
      <c r="N1078" s="41"/>
      <c r="O1078" s="35"/>
      <c r="P1078" s="42"/>
    </row>
    <row r="1079">
      <c r="A1079" s="39"/>
      <c r="B1079" s="39"/>
      <c r="C1079" s="3"/>
      <c r="D1079" s="40"/>
      <c r="E1079" s="38"/>
      <c r="F1079" s="38"/>
      <c r="G1079" s="4"/>
      <c r="H1079" s="4"/>
      <c r="I1079" s="41"/>
      <c r="J1079" s="41"/>
      <c r="K1079" s="41"/>
      <c r="L1079" s="41"/>
      <c r="M1079" s="41"/>
      <c r="N1079" s="41"/>
      <c r="O1079" s="35"/>
      <c r="P1079" s="42"/>
    </row>
    <row r="1080">
      <c r="A1080" s="39"/>
      <c r="B1080" s="39"/>
      <c r="C1080" s="3"/>
      <c r="D1080" s="40"/>
      <c r="E1080" s="38"/>
      <c r="F1080" s="38"/>
      <c r="G1080" s="4"/>
      <c r="H1080" s="4"/>
      <c r="I1080" s="41"/>
      <c r="J1080" s="41"/>
      <c r="K1080" s="41"/>
      <c r="L1080" s="41"/>
      <c r="M1080" s="41"/>
      <c r="N1080" s="41"/>
      <c r="O1080" s="35"/>
      <c r="P1080" s="42"/>
    </row>
    <row r="1081">
      <c r="A1081" s="39"/>
      <c r="B1081" s="39"/>
      <c r="C1081" s="3"/>
      <c r="D1081" s="40"/>
      <c r="E1081" s="38"/>
      <c r="F1081" s="38"/>
      <c r="G1081" s="4"/>
      <c r="H1081" s="4"/>
      <c r="I1081" s="41"/>
      <c r="J1081" s="41"/>
      <c r="K1081" s="41"/>
      <c r="L1081" s="41"/>
      <c r="M1081" s="41"/>
      <c r="N1081" s="41"/>
      <c r="O1081" s="35"/>
      <c r="P1081" s="42"/>
    </row>
    <row r="1082">
      <c r="A1082" s="39"/>
      <c r="B1082" s="39"/>
      <c r="C1082" s="3"/>
      <c r="D1082" s="40"/>
      <c r="E1082" s="38"/>
      <c r="F1082" s="38"/>
      <c r="G1082" s="4"/>
      <c r="H1082" s="4"/>
      <c r="I1082" s="41"/>
      <c r="J1082" s="41"/>
      <c r="K1082" s="41"/>
      <c r="L1082" s="41"/>
      <c r="M1082" s="41"/>
      <c r="N1082" s="41"/>
      <c r="O1082" s="35"/>
      <c r="P1082" s="42"/>
    </row>
    <row r="1083">
      <c r="A1083" s="39"/>
      <c r="B1083" s="39"/>
      <c r="C1083" s="3"/>
      <c r="D1083" s="40"/>
      <c r="E1083" s="38"/>
      <c r="F1083" s="38"/>
      <c r="G1083" s="4"/>
      <c r="H1083" s="4"/>
      <c r="I1083" s="41"/>
      <c r="J1083" s="41"/>
      <c r="K1083" s="41"/>
      <c r="L1083" s="41"/>
      <c r="M1083" s="41"/>
      <c r="N1083" s="41"/>
      <c r="O1083" s="35"/>
      <c r="P1083" s="42"/>
    </row>
    <row r="1084">
      <c r="A1084" s="39"/>
      <c r="B1084" s="39"/>
      <c r="C1084" s="3"/>
      <c r="D1084" s="40"/>
      <c r="E1084" s="38"/>
      <c r="F1084" s="38"/>
      <c r="G1084" s="4"/>
      <c r="H1084" s="4"/>
      <c r="I1084" s="41"/>
      <c r="J1084" s="41"/>
      <c r="K1084" s="41"/>
      <c r="L1084" s="41"/>
      <c r="M1084" s="41"/>
      <c r="N1084" s="41"/>
      <c r="O1084" s="35"/>
      <c r="P1084" s="42"/>
    </row>
    <row r="1085">
      <c r="A1085" s="39"/>
      <c r="B1085" s="39"/>
      <c r="C1085" s="3"/>
      <c r="D1085" s="40"/>
      <c r="E1085" s="38"/>
      <c r="F1085" s="38"/>
      <c r="G1085" s="4"/>
      <c r="H1085" s="4"/>
      <c r="I1085" s="41"/>
      <c r="J1085" s="41"/>
      <c r="K1085" s="41"/>
      <c r="L1085" s="41"/>
      <c r="M1085" s="41"/>
      <c r="N1085" s="41"/>
      <c r="O1085" s="35"/>
      <c r="P1085" s="42"/>
    </row>
    <row r="1086">
      <c r="A1086" s="39"/>
      <c r="B1086" s="39"/>
      <c r="C1086" s="3"/>
      <c r="D1086" s="40"/>
      <c r="E1086" s="38"/>
      <c r="F1086" s="38"/>
      <c r="G1086" s="4"/>
      <c r="H1086" s="4"/>
      <c r="I1086" s="41"/>
      <c r="J1086" s="41"/>
      <c r="K1086" s="41"/>
      <c r="L1086" s="41"/>
      <c r="M1086" s="41"/>
      <c r="N1086" s="41"/>
      <c r="O1086" s="35"/>
      <c r="P1086" s="42"/>
    </row>
    <row r="1087">
      <c r="A1087" s="39"/>
      <c r="B1087" s="39"/>
      <c r="C1087" s="3"/>
      <c r="D1087" s="40"/>
      <c r="E1087" s="38"/>
      <c r="F1087" s="38"/>
      <c r="G1087" s="4"/>
      <c r="H1087" s="4"/>
      <c r="I1087" s="41"/>
      <c r="J1087" s="41"/>
      <c r="K1087" s="41"/>
      <c r="L1087" s="41"/>
      <c r="M1087" s="41"/>
      <c r="N1087" s="41"/>
      <c r="O1087" s="35"/>
      <c r="P1087" s="42"/>
    </row>
    <row r="1088">
      <c r="A1088" s="39"/>
      <c r="B1088" s="39"/>
      <c r="C1088" s="3"/>
      <c r="D1088" s="40"/>
      <c r="E1088" s="38"/>
      <c r="F1088" s="38"/>
      <c r="G1088" s="4"/>
      <c r="H1088" s="4"/>
      <c r="I1088" s="41"/>
      <c r="J1088" s="41"/>
      <c r="K1088" s="41"/>
      <c r="L1088" s="41"/>
      <c r="M1088" s="41"/>
      <c r="N1088" s="41"/>
      <c r="O1088" s="35"/>
      <c r="P1088" s="42"/>
    </row>
    <row r="1089">
      <c r="A1089" s="39"/>
      <c r="B1089" s="39"/>
      <c r="C1089" s="3"/>
      <c r="D1089" s="40"/>
      <c r="E1089" s="38"/>
      <c r="F1089" s="38"/>
      <c r="G1089" s="4"/>
      <c r="H1089" s="4"/>
      <c r="I1089" s="41"/>
      <c r="J1089" s="41"/>
      <c r="K1089" s="41"/>
      <c r="L1089" s="41"/>
      <c r="M1089" s="41"/>
      <c r="N1089" s="41"/>
      <c r="O1089" s="35"/>
      <c r="P1089" s="42"/>
    </row>
    <row r="1090">
      <c r="A1090" s="39"/>
      <c r="B1090" s="39"/>
      <c r="C1090" s="3"/>
      <c r="D1090" s="40"/>
      <c r="E1090" s="38"/>
      <c r="F1090" s="38"/>
      <c r="G1090" s="4"/>
      <c r="H1090" s="4"/>
      <c r="I1090" s="41"/>
      <c r="J1090" s="41"/>
      <c r="K1090" s="41"/>
      <c r="L1090" s="41"/>
      <c r="M1090" s="41"/>
      <c r="N1090" s="41"/>
      <c r="O1090" s="35"/>
      <c r="P1090" s="42"/>
    </row>
    <row r="1091">
      <c r="A1091" s="39"/>
      <c r="B1091" s="39"/>
      <c r="C1091" s="3"/>
      <c r="D1091" s="40"/>
      <c r="E1091" s="38"/>
      <c r="F1091" s="38"/>
      <c r="G1091" s="4"/>
      <c r="H1091" s="4"/>
      <c r="I1091" s="41"/>
      <c r="J1091" s="41"/>
      <c r="K1091" s="41"/>
      <c r="L1091" s="41"/>
      <c r="M1091" s="41"/>
      <c r="N1091" s="41"/>
      <c r="O1091" s="35"/>
      <c r="P1091" s="42"/>
    </row>
    <row r="1092">
      <c r="A1092" s="39"/>
      <c r="B1092" s="39"/>
      <c r="C1092" s="3"/>
      <c r="D1092" s="40"/>
      <c r="E1092" s="38"/>
      <c r="F1092" s="38"/>
      <c r="G1092" s="4"/>
      <c r="H1092" s="4"/>
      <c r="I1092" s="41"/>
      <c r="J1092" s="41"/>
      <c r="K1092" s="41"/>
      <c r="L1092" s="41"/>
      <c r="M1092" s="41"/>
      <c r="N1092" s="41"/>
      <c r="O1092" s="35"/>
      <c r="P1092" s="42"/>
    </row>
    <row r="1093">
      <c r="A1093" s="39"/>
      <c r="B1093" s="39"/>
      <c r="C1093" s="3"/>
      <c r="D1093" s="40"/>
      <c r="E1093" s="38"/>
      <c r="F1093" s="38"/>
      <c r="G1093" s="4"/>
      <c r="H1093" s="4"/>
      <c r="I1093" s="41"/>
      <c r="J1093" s="41"/>
      <c r="K1093" s="41"/>
      <c r="L1093" s="41"/>
      <c r="M1093" s="41"/>
      <c r="N1093" s="41"/>
      <c r="O1093" s="35"/>
      <c r="P1093" s="42"/>
    </row>
    <row r="1094">
      <c r="A1094" s="39"/>
      <c r="B1094" s="39"/>
      <c r="C1094" s="3"/>
      <c r="D1094" s="40"/>
      <c r="E1094" s="38"/>
      <c r="F1094" s="38"/>
      <c r="G1094" s="4"/>
      <c r="H1094" s="4"/>
      <c r="I1094" s="41"/>
      <c r="J1094" s="41"/>
      <c r="K1094" s="41"/>
      <c r="L1094" s="41"/>
      <c r="M1094" s="41"/>
      <c r="N1094" s="41"/>
      <c r="O1094" s="35"/>
      <c r="P1094" s="42"/>
    </row>
    <row r="1095">
      <c r="A1095" s="39"/>
      <c r="B1095" s="39"/>
      <c r="C1095" s="3"/>
      <c r="D1095" s="40"/>
      <c r="E1095" s="38"/>
      <c r="F1095" s="38"/>
      <c r="G1095" s="4"/>
      <c r="H1095" s="4"/>
      <c r="I1095" s="41"/>
      <c r="J1095" s="41"/>
      <c r="K1095" s="41"/>
      <c r="L1095" s="41"/>
      <c r="M1095" s="41"/>
      <c r="N1095" s="41"/>
      <c r="O1095" s="35"/>
      <c r="P1095" s="42"/>
    </row>
    <row r="1096">
      <c r="A1096" s="39"/>
      <c r="B1096" s="39"/>
      <c r="C1096" s="3"/>
      <c r="D1096" s="40"/>
      <c r="E1096" s="38"/>
      <c r="F1096" s="38"/>
      <c r="G1096" s="4"/>
      <c r="H1096" s="4"/>
      <c r="I1096" s="41"/>
      <c r="J1096" s="41"/>
      <c r="K1096" s="41"/>
      <c r="L1096" s="41"/>
      <c r="M1096" s="41"/>
      <c r="N1096" s="41"/>
      <c r="O1096" s="35"/>
      <c r="P1096" s="42"/>
    </row>
    <row r="1097">
      <c r="A1097" s="39"/>
      <c r="B1097" s="39"/>
      <c r="C1097" s="3"/>
      <c r="D1097" s="40"/>
      <c r="E1097" s="38"/>
      <c r="F1097" s="38"/>
      <c r="G1097" s="4"/>
      <c r="H1097" s="4"/>
      <c r="I1097" s="41"/>
      <c r="J1097" s="41"/>
      <c r="K1097" s="41"/>
      <c r="L1097" s="41"/>
      <c r="M1097" s="41"/>
      <c r="N1097" s="41"/>
      <c r="O1097" s="35"/>
      <c r="P1097" s="42"/>
    </row>
    <row r="1098">
      <c r="A1098" s="39"/>
      <c r="B1098" s="39"/>
      <c r="C1098" s="3"/>
      <c r="D1098" s="40"/>
      <c r="E1098" s="38"/>
      <c r="F1098" s="38"/>
      <c r="G1098" s="4"/>
      <c r="H1098" s="4"/>
      <c r="I1098" s="41"/>
      <c r="J1098" s="41"/>
      <c r="K1098" s="41"/>
      <c r="L1098" s="41"/>
      <c r="M1098" s="41"/>
      <c r="N1098" s="41"/>
      <c r="O1098" s="35"/>
      <c r="P1098" s="42"/>
    </row>
    <row r="1099">
      <c r="A1099" s="39"/>
      <c r="B1099" s="39"/>
      <c r="C1099" s="3"/>
      <c r="D1099" s="40"/>
      <c r="E1099" s="38"/>
      <c r="F1099" s="38"/>
      <c r="G1099" s="4"/>
      <c r="H1099" s="4"/>
      <c r="I1099" s="41"/>
      <c r="J1099" s="41"/>
      <c r="K1099" s="41"/>
      <c r="L1099" s="41"/>
      <c r="M1099" s="41"/>
      <c r="N1099" s="41"/>
      <c r="O1099" s="35"/>
      <c r="P1099" s="42"/>
    </row>
    <row r="1100">
      <c r="A1100" s="39"/>
      <c r="B1100" s="39"/>
      <c r="C1100" s="3"/>
      <c r="D1100" s="40"/>
      <c r="E1100" s="38"/>
      <c r="F1100" s="38"/>
      <c r="G1100" s="4"/>
      <c r="H1100" s="4"/>
      <c r="I1100" s="41"/>
      <c r="J1100" s="41"/>
      <c r="K1100" s="41"/>
      <c r="L1100" s="41"/>
      <c r="M1100" s="41"/>
      <c r="N1100" s="41"/>
      <c r="O1100" s="35"/>
      <c r="P1100" s="42"/>
    </row>
    <row r="1101">
      <c r="A1101" s="39"/>
      <c r="B1101" s="39"/>
      <c r="C1101" s="3"/>
      <c r="D1101" s="40"/>
      <c r="E1101" s="38"/>
      <c r="F1101" s="38"/>
      <c r="G1101" s="4"/>
      <c r="H1101" s="4"/>
      <c r="I1101" s="41"/>
      <c r="J1101" s="41"/>
      <c r="K1101" s="41"/>
      <c r="L1101" s="41"/>
      <c r="M1101" s="41"/>
      <c r="N1101" s="41"/>
      <c r="O1101" s="35"/>
      <c r="P1101" s="42"/>
    </row>
    <row r="1102">
      <c r="A1102" s="39"/>
      <c r="B1102" s="39"/>
      <c r="C1102" s="3"/>
      <c r="D1102" s="40"/>
      <c r="E1102" s="38"/>
      <c r="F1102" s="38"/>
      <c r="G1102" s="4"/>
      <c r="H1102" s="4"/>
      <c r="I1102" s="41"/>
      <c r="J1102" s="41"/>
      <c r="K1102" s="41"/>
      <c r="L1102" s="41"/>
      <c r="M1102" s="41"/>
      <c r="N1102" s="41"/>
      <c r="O1102" s="35"/>
      <c r="P1102" s="42"/>
    </row>
    <row r="1103">
      <c r="A1103" s="39"/>
      <c r="B1103" s="39"/>
      <c r="C1103" s="3"/>
      <c r="D1103" s="40"/>
      <c r="E1103" s="38"/>
      <c r="F1103" s="38"/>
      <c r="G1103" s="4"/>
      <c r="H1103" s="4"/>
      <c r="I1103" s="41"/>
      <c r="J1103" s="41"/>
      <c r="K1103" s="41"/>
      <c r="L1103" s="41"/>
      <c r="M1103" s="41"/>
      <c r="N1103" s="41"/>
      <c r="O1103" s="35"/>
      <c r="P1103" s="42"/>
    </row>
    <row r="1104">
      <c r="A1104" s="39"/>
      <c r="B1104" s="39"/>
      <c r="C1104" s="3"/>
      <c r="D1104" s="40"/>
      <c r="E1104" s="38"/>
      <c r="F1104" s="38"/>
      <c r="G1104" s="4"/>
      <c r="H1104" s="4"/>
      <c r="I1104" s="41"/>
      <c r="J1104" s="41"/>
      <c r="K1104" s="41"/>
      <c r="L1104" s="41"/>
      <c r="M1104" s="41"/>
      <c r="N1104" s="41"/>
      <c r="O1104" s="35"/>
      <c r="P1104" s="42"/>
    </row>
    <row r="1105">
      <c r="A1105" s="39"/>
      <c r="B1105" s="39"/>
      <c r="C1105" s="3"/>
      <c r="D1105" s="40"/>
      <c r="E1105" s="38"/>
      <c r="F1105" s="38"/>
      <c r="G1105" s="4"/>
      <c r="H1105" s="4"/>
      <c r="I1105" s="41"/>
      <c r="J1105" s="41"/>
      <c r="K1105" s="41"/>
      <c r="L1105" s="41"/>
      <c r="M1105" s="41"/>
      <c r="N1105" s="41"/>
      <c r="O1105" s="35"/>
      <c r="P1105" s="42"/>
    </row>
    <row r="1106">
      <c r="A1106" s="39"/>
      <c r="B1106" s="39"/>
      <c r="C1106" s="3"/>
      <c r="D1106" s="40"/>
      <c r="E1106" s="38"/>
      <c r="F1106" s="38"/>
      <c r="G1106" s="4"/>
      <c r="H1106" s="4"/>
      <c r="I1106" s="41"/>
      <c r="J1106" s="41"/>
      <c r="K1106" s="41"/>
      <c r="L1106" s="41"/>
      <c r="M1106" s="41"/>
      <c r="N1106" s="41"/>
      <c r="O1106" s="35"/>
      <c r="P1106" s="42"/>
    </row>
    <row r="1107">
      <c r="A1107" s="39"/>
      <c r="B1107" s="39"/>
      <c r="C1107" s="3"/>
      <c r="D1107" s="40"/>
      <c r="E1107" s="38"/>
      <c r="F1107" s="38"/>
      <c r="G1107" s="4"/>
      <c r="H1107" s="4"/>
      <c r="I1107" s="41"/>
      <c r="J1107" s="41"/>
      <c r="K1107" s="41"/>
      <c r="L1107" s="41"/>
      <c r="M1107" s="41"/>
      <c r="N1107" s="41"/>
      <c r="O1107" s="35"/>
      <c r="P1107" s="42"/>
    </row>
    <row r="1108">
      <c r="A1108" s="39"/>
      <c r="B1108" s="39"/>
      <c r="C1108" s="3"/>
      <c r="D1108" s="40"/>
      <c r="E1108" s="38"/>
      <c r="F1108" s="38"/>
      <c r="G1108" s="4"/>
      <c r="H1108" s="4"/>
      <c r="I1108" s="41"/>
      <c r="J1108" s="41"/>
      <c r="K1108" s="41"/>
      <c r="L1108" s="41"/>
      <c r="M1108" s="41"/>
      <c r="N1108" s="41"/>
      <c r="O1108" s="35"/>
      <c r="P1108" s="42"/>
    </row>
    <row r="1109">
      <c r="A1109" s="39"/>
      <c r="B1109" s="39"/>
      <c r="C1109" s="3"/>
      <c r="D1109" s="40"/>
      <c r="E1109" s="38"/>
      <c r="F1109" s="38"/>
      <c r="G1109" s="4"/>
      <c r="H1109" s="4"/>
      <c r="I1109" s="41"/>
      <c r="J1109" s="41"/>
      <c r="K1109" s="41"/>
      <c r="L1109" s="41"/>
      <c r="M1109" s="41"/>
      <c r="N1109" s="41"/>
      <c r="O1109" s="35"/>
      <c r="P1109" s="42"/>
    </row>
    <row r="1110">
      <c r="A1110" s="39"/>
      <c r="B1110" s="39"/>
      <c r="C1110" s="3"/>
      <c r="D1110" s="40"/>
      <c r="E1110" s="38"/>
      <c r="F1110" s="38"/>
      <c r="G1110" s="4"/>
      <c r="H1110" s="4"/>
      <c r="I1110" s="41"/>
      <c r="J1110" s="41"/>
      <c r="K1110" s="41"/>
      <c r="L1110" s="41"/>
      <c r="M1110" s="41"/>
      <c r="N1110" s="41"/>
      <c r="O1110" s="35"/>
      <c r="P1110" s="42"/>
    </row>
    <row r="1111">
      <c r="A1111" s="39"/>
      <c r="B1111" s="39"/>
      <c r="C1111" s="3"/>
      <c r="D1111" s="40"/>
      <c r="E1111" s="38"/>
      <c r="F1111" s="38"/>
      <c r="G1111" s="4"/>
      <c r="H1111" s="4"/>
      <c r="I1111" s="41"/>
      <c r="J1111" s="41"/>
      <c r="K1111" s="41"/>
      <c r="L1111" s="41"/>
      <c r="M1111" s="41"/>
      <c r="N1111" s="41"/>
      <c r="O1111" s="35"/>
      <c r="P1111" s="42"/>
    </row>
    <row r="1112">
      <c r="A1112" s="39"/>
      <c r="B1112" s="39"/>
      <c r="C1112" s="3"/>
      <c r="D1112" s="40"/>
      <c r="E1112" s="38"/>
      <c r="F1112" s="38"/>
      <c r="G1112" s="4"/>
      <c r="H1112" s="4"/>
      <c r="I1112" s="41"/>
      <c r="J1112" s="41"/>
      <c r="K1112" s="41"/>
      <c r="L1112" s="41"/>
      <c r="M1112" s="41"/>
      <c r="N1112" s="41"/>
      <c r="O1112" s="35"/>
      <c r="P1112" s="42"/>
    </row>
    <row r="1113">
      <c r="A1113" s="39"/>
      <c r="B1113" s="39"/>
      <c r="C1113" s="3"/>
      <c r="D1113" s="40"/>
      <c r="E1113" s="38"/>
      <c r="F1113" s="38"/>
      <c r="G1113" s="4"/>
      <c r="H1113" s="4"/>
      <c r="I1113" s="41"/>
      <c r="J1113" s="41"/>
      <c r="K1113" s="41"/>
      <c r="L1113" s="41"/>
      <c r="M1113" s="41"/>
      <c r="N1113" s="41"/>
      <c r="O1113" s="35"/>
      <c r="P1113" s="42"/>
    </row>
    <row r="1114">
      <c r="A1114" s="39"/>
      <c r="B1114" s="39"/>
      <c r="C1114" s="3"/>
      <c r="D1114" s="40"/>
      <c r="E1114" s="38"/>
      <c r="F1114" s="38"/>
      <c r="G1114" s="4"/>
      <c r="H1114" s="4"/>
      <c r="I1114" s="41"/>
      <c r="J1114" s="41"/>
      <c r="K1114" s="41"/>
      <c r="L1114" s="41"/>
      <c r="M1114" s="41"/>
      <c r="N1114" s="41"/>
      <c r="O1114" s="35"/>
      <c r="P1114" s="42"/>
    </row>
    <row r="1115">
      <c r="A1115" s="39"/>
      <c r="B1115" s="39"/>
      <c r="C1115" s="3"/>
      <c r="D1115" s="40"/>
      <c r="E1115" s="38"/>
      <c r="F1115" s="38"/>
      <c r="G1115" s="4"/>
      <c r="H1115" s="4"/>
      <c r="I1115" s="41"/>
      <c r="J1115" s="41"/>
      <c r="K1115" s="41"/>
      <c r="L1115" s="41"/>
      <c r="M1115" s="41"/>
      <c r="N1115" s="41"/>
      <c r="O1115" s="35"/>
      <c r="P1115" s="42"/>
    </row>
    <row r="1116">
      <c r="A1116" s="39"/>
      <c r="B1116" s="39"/>
      <c r="C1116" s="3"/>
      <c r="D1116" s="40"/>
      <c r="E1116" s="38"/>
      <c r="F1116" s="38"/>
      <c r="G1116" s="4"/>
      <c r="H1116" s="4"/>
      <c r="I1116" s="41"/>
      <c r="J1116" s="41"/>
      <c r="K1116" s="41"/>
      <c r="L1116" s="41"/>
      <c r="M1116" s="41"/>
      <c r="N1116" s="41"/>
      <c r="O1116" s="35"/>
      <c r="P1116" s="42"/>
    </row>
    <row r="1117">
      <c r="A1117" s="39"/>
      <c r="B1117" s="39"/>
      <c r="C1117" s="3"/>
      <c r="D1117" s="40"/>
      <c r="E1117" s="38"/>
      <c r="F1117" s="38"/>
      <c r="G1117" s="4"/>
      <c r="H1117" s="4"/>
      <c r="I1117" s="41"/>
      <c r="J1117" s="41"/>
      <c r="K1117" s="41"/>
      <c r="L1117" s="41"/>
      <c r="M1117" s="41"/>
      <c r="N1117" s="41"/>
      <c r="O1117" s="35"/>
      <c r="P1117" s="42"/>
    </row>
    <row r="1118">
      <c r="A1118" s="39"/>
      <c r="B1118" s="39"/>
      <c r="C1118" s="3"/>
      <c r="D1118" s="40"/>
      <c r="E1118" s="38"/>
      <c r="F1118" s="38"/>
      <c r="G1118" s="4"/>
      <c r="H1118" s="4"/>
      <c r="I1118" s="41"/>
      <c r="J1118" s="41"/>
      <c r="K1118" s="41"/>
      <c r="L1118" s="41"/>
      <c r="M1118" s="41"/>
      <c r="N1118" s="41"/>
      <c r="O1118" s="35"/>
      <c r="P1118" s="42"/>
    </row>
    <row r="1119">
      <c r="A1119" s="39"/>
      <c r="B1119" s="39"/>
      <c r="C1119" s="3"/>
      <c r="D1119" s="40"/>
      <c r="E1119" s="38"/>
      <c r="F1119" s="38"/>
      <c r="G1119" s="4"/>
      <c r="H1119" s="4"/>
      <c r="I1119" s="41"/>
      <c r="J1119" s="41"/>
      <c r="K1119" s="41"/>
      <c r="L1119" s="41"/>
      <c r="M1119" s="41"/>
      <c r="N1119" s="41"/>
      <c r="O1119" s="35"/>
      <c r="P1119" s="42"/>
    </row>
    <row r="1120">
      <c r="A1120" s="39"/>
      <c r="B1120" s="39"/>
      <c r="C1120" s="3"/>
      <c r="D1120" s="40"/>
      <c r="E1120" s="38"/>
      <c r="F1120" s="38"/>
      <c r="G1120" s="4"/>
      <c r="H1120" s="4"/>
      <c r="I1120" s="41"/>
      <c r="J1120" s="41"/>
      <c r="K1120" s="41"/>
      <c r="L1120" s="41"/>
      <c r="M1120" s="41"/>
      <c r="N1120" s="41"/>
      <c r="O1120" s="35"/>
      <c r="P1120" s="42"/>
    </row>
    <row r="1121">
      <c r="A1121" s="39"/>
      <c r="B1121" s="39"/>
      <c r="C1121" s="3"/>
      <c r="D1121" s="40"/>
      <c r="E1121" s="38"/>
      <c r="F1121" s="38"/>
      <c r="G1121" s="4"/>
      <c r="H1121" s="4"/>
      <c r="I1121" s="41"/>
      <c r="J1121" s="41"/>
      <c r="K1121" s="41"/>
      <c r="L1121" s="41"/>
      <c r="M1121" s="41"/>
      <c r="N1121" s="41"/>
      <c r="O1121" s="35"/>
      <c r="P1121" s="42"/>
    </row>
    <row r="1122">
      <c r="A1122" s="39"/>
      <c r="B1122" s="39"/>
      <c r="C1122" s="3"/>
      <c r="D1122" s="40"/>
      <c r="E1122" s="38"/>
      <c r="F1122" s="38"/>
      <c r="G1122" s="4"/>
      <c r="H1122" s="4"/>
      <c r="I1122" s="41"/>
      <c r="J1122" s="41"/>
      <c r="K1122" s="41"/>
      <c r="L1122" s="41"/>
      <c r="M1122" s="41"/>
      <c r="N1122" s="41"/>
      <c r="O1122" s="35"/>
      <c r="P1122" s="42"/>
    </row>
    <row r="1123">
      <c r="A1123" s="39"/>
      <c r="B1123" s="39"/>
      <c r="C1123" s="3"/>
      <c r="D1123" s="40"/>
      <c r="E1123" s="38"/>
      <c r="F1123" s="38"/>
      <c r="G1123" s="4"/>
      <c r="H1123" s="4"/>
      <c r="I1123" s="41"/>
      <c r="J1123" s="41"/>
      <c r="K1123" s="41"/>
      <c r="L1123" s="41"/>
      <c r="M1123" s="41"/>
      <c r="N1123" s="41"/>
      <c r="O1123" s="35"/>
      <c r="P1123" s="42"/>
    </row>
    <row r="1124">
      <c r="A1124" s="39"/>
      <c r="B1124" s="39"/>
      <c r="C1124" s="3"/>
      <c r="D1124" s="40"/>
      <c r="E1124" s="38"/>
      <c r="F1124" s="38"/>
      <c r="G1124" s="4"/>
      <c r="H1124" s="4"/>
      <c r="I1124" s="41"/>
      <c r="J1124" s="41"/>
      <c r="K1124" s="41"/>
      <c r="L1124" s="41"/>
      <c r="M1124" s="41"/>
      <c r="N1124" s="41"/>
      <c r="O1124" s="35"/>
      <c r="P1124" s="42"/>
    </row>
    <row r="1125">
      <c r="A1125" s="39"/>
      <c r="B1125" s="39"/>
      <c r="C1125" s="3"/>
      <c r="D1125" s="40"/>
      <c r="E1125" s="38"/>
      <c r="F1125" s="38"/>
      <c r="G1125" s="4"/>
      <c r="H1125" s="4"/>
      <c r="I1125" s="41"/>
      <c r="J1125" s="41"/>
      <c r="K1125" s="41"/>
      <c r="L1125" s="41"/>
      <c r="M1125" s="41"/>
      <c r="N1125" s="41"/>
      <c r="O1125" s="35"/>
      <c r="P1125" s="42"/>
    </row>
    <row r="1126">
      <c r="A1126" s="39"/>
      <c r="B1126" s="39"/>
      <c r="C1126" s="3"/>
      <c r="D1126" s="40"/>
      <c r="E1126" s="38"/>
      <c r="F1126" s="38"/>
      <c r="G1126" s="4"/>
      <c r="H1126" s="4"/>
      <c r="I1126" s="41"/>
      <c r="J1126" s="41"/>
      <c r="K1126" s="41"/>
      <c r="L1126" s="41"/>
      <c r="M1126" s="41"/>
      <c r="N1126" s="41"/>
      <c r="O1126" s="35"/>
      <c r="P1126" s="42"/>
    </row>
    <row r="1127">
      <c r="A1127" s="39"/>
      <c r="B1127" s="39"/>
      <c r="C1127" s="3"/>
      <c r="D1127" s="40"/>
      <c r="E1127" s="38"/>
      <c r="F1127" s="38"/>
      <c r="G1127" s="4"/>
      <c r="H1127" s="4"/>
      <c r="I1127" s="41"/>
      <c r="J1127" s="41"/>
      <c r="K1127" s="41"/>
      <c r="L1127" s="41"/>
      <c r="M1127" s="41"/>
      <c r="N1127" s="41"/>
      <c r="O1127" s="35"/>
      <c r="P1127" s="42"/>
    </row>
    <row r="1128">
      <c r="A1128" s="39"/>
      <c r="B1128" s="39"/>
      <c r="C1128" s="3"/>
      <c r="D1128" s="40"/>
      <c r="E1128" s="38"/>
      <c r="F1128" s="38"/>
      <c r="G1128" s="4"/>
      <c r="H1128" s="4"/>
      <c r="I1128" s="41"/>
      <c r="J1128" s="41"/>
      <c r="K1128" s="41"/>
      <c r="L1128" s="41"/>
      <c r="M1128" s="41"/>
      <c r="N1128" s="41"/>
      <c r="O1128" s="35"/>
      <c r="P1128" s="42"/>
    </row>
    <row r="1129">
      <c r="A1129" s="39"/>
      <c r="B1129" s="39"/>
      <c r="C1129" s="3"/>
      <c r="D1129" s="40"/>
      <c r="E1129" s="38"/>
      <c r="F1129" s="38"/>
      <c r="G1129" s="4"/>
      <c r="H1129" s="4"/>
      <c r="I1129" s="41"/>
      <c r="J1129" s="41"/>
      <c r="K1129" s="41"/>
      <c r="L1129" s="41"/>
      <c r="M1129" s="41"/>
      <c r="N1129" s="41"/>
      <c r="O1129" s="35"/>
      <c r="P1129" s="42"/>
    </row>
    <row r="1130">
      <c r="A1130" s="39"/>
      <c r="B1130" s="39"/>
      <c r="C1130" s="3"/>
      <c r="D1130" s="40"/>
      <c r="E1130" s="38"/>
      <c r="F1130" s="38"/>
      <c r="G1130" s="4"/>
      <c r="H1130" s="4"/>
      <c r="I1130" s="41"/>
      <c r="J1130" s="41"/>
      <c r="K1130" s="41"/>
      <c r="L1130" s="41"/>
      <c r="M1130" s="41"/>
      <c r="N1130" s="41"/>
      <c r="O1130" s="35"/>
      <c r="P1130" s="42"/>
    </row>
    <row r="1131">
      <c r="A1131" s="39"/>
      <c r="B1131" s="39"/>
      <c r="C1131" s="3"/>
      <c r="D1131" s="40"/>
      <c r="E1131" s="38"/>
      <c r="F1131" s="38"/>
      <c r="G1131" s="4"/>
      <c r="H1131" s="4"/>
      <c r="I1131" s="41"/>
      <c r="J1131" s="41"/>
      <c r="K1131" s="41"/>
      <c r="L1131" s="41"/>
      <c r="M1131" s="41"/>
      <c r="N1131" s="41"/>
      <c r="O1131" s="35"/>
      <c r="P1131" s="42"/>
    </row>
    <row r="1132">
      <c r="A1132" s="39"/>
      <c r="B1132" s="39"/>
      <c r="C1132" s="3"/>
      <c r="D1132" s="40"/>
      <c r="E1132" s="38"/>
      <c r="F1132" s="38"/>
      <c r="G1132" s="4"/>
      <c r="H1132" s="4"/>
      <c r="I1132" s="41"/>
      <c r="J1132" s="41"/>
      <c r="K1132" s="41"/>
      <c r="L1132" s="41"/>
      <c r="M1132" s="41"/>
      <c r="N1132" s="41"/>
      <c r="O1132" s="35"/>
      <c r="P1132" s="42"/>
    </row>
    <row r="1133">
      <c r="A1133" s="39"/>
      <c r="B1133" s="39"/>
      <c r="C1133" s="3"/>
      <c r="D1133" s="40"/>
      <c r="E1133" s="38"/>
      <c r="F1133" s="38"/>
      <c r="G1133" s="4"/>
      <c r="H1133" s="4"/>
      <c r="I1133" s="41"/>
      <c r="J1133" s="41"/>
      <c r="K1133" s="41"/>
      <c r="L1133" s="41"/>
      <c r="M1133" s="41"/>
      <c r="N1133" s="41"/>
      <c r="O1133" s="35"/>
      <c r="P1133" s="42"/>
    </row>
    <row r="1134">
      <c r="A1134" s="39"/>
      <c r="B1134" s="39"/>
      <c r="C1134" s="3"/>
      <c r="D1134" s="40"/>
      <c r="E1134" s="38"/>
      <c r="F1134" s="38"/>
      <c r="G1134" s="4"/>
      <c r="H1134" s="4"/>
      <c r="I1134" s="41"/>
      <c r="J1134" s="41"/>
      <c r="K1134" s="41"/>
      <c r="L1134" s="41"/>
      <c r="M1134" s="41"/>
      <c r="N1134" s="41"/>
      <c r="O1134" s="35"/>
      <c r="P1134" s="42"/>
    </row>
    <row r="1135">
      <c r="A1135" s="39"/>
      <c r="B1135" s="39"/>
      <c r="C1135" s="3"/>
      <c r="D1135" s="40"/>
      <c r="E1135" s="38"/>
      <c r="F1135" s="38"/>
      <c r="G1135" s="4"/>
      <c r="H1135" s="4"/>
      <c r="I1135" s="41"/>
      <c r="J1135" s="41"/>
      <c r="K1135" s="41"/>
      <c r="L1135" s="41"/>
      <c r="M1135" s="41"/>
      <c r="N1135" s="41"/>
      <c r="O1135" s="35"/>
      <c r="P1135" s="42"/>
    </row>
    <row r="1136">
      <c r="A1136" s="39"/>
      <c r="B1136" s="39"/>
      <c r="C1136" s="3"/>
      <c r="D1136" s="40"/>
      <c r="E1136" s="38"/>
      <c r="F1136" s="38"/>
      <c r="G1136" s="4"/>
      <c r="H1136" s="4"/>
      <c r="I1136" s="41"/>
      <c r="J1136" s="41"/>
      <c r="K1136" s="41"/>
      <c r="L1136" s="41"/>
      <c r="M1136" s="41"/>
      <c r="N1136" s="41"/>
      <c r="O1136" s="35"/>
      <c r="P1136" s="42"/>
    </row>
    <row r="1137">
      <c r="A1137" s="39"/>
      <c r="B1137" s="39"/>
      <c r="C1137" s="3"/>
      <c r="D1137" s="40"/>
      <c r="E1137" s="38"/>
      <c r="F1137" s="38"/>
      <c r="G1137" s="4"/>
      <c r="H1137" s="4"/>
      <c r="I1137" s="41"/>
      <c r="J1137" s="41"/>
      <c r="K1137" s="41"/>
      <c r="L1137" s="41"/>
      <c r="M1137" s="41"/>
      <c r="N1137" s="41"/>
      <c r="O1137" s="35"/>
      <c r="P1137" s="42"/>
    </row>
    <row r="1138">
      <c r="A1138" s="39"/>
      <c r="B1138" s="39"/>
      <c r="C1138" s="3"/>
      <c r="D1138" s="40"/>
      <c r="E1138" s="38"/>
      <c r="F1138" s="38"/>
      <c r="G1138" s="4"/>
      <c r="H1138" s="4"/>
      <c r="I1138" s="41"/>
      <c r="J1138" s="41"/>
      <c r="K1138" s="41"/>
      <c r="L1138" s="41"/>
      <c r="M1138" s="41"/>
      <c r="N1138" s="41"/>
      <c r="O1138" s="35"/>
      <c r="P1138" s="42"/>
    </row>
    <row r="1139">
      <c r="A1139" s="39"/>
      <c r="B1139" s="39"/>
      <c r="C1139" s="3"/>
      <c r="D1139" s="40"/>
      <c r="E1139" s="38"/>
      <c r="F1139" s="38"/>
      <c r="G1139" s="4"/>
      <c r="H1139" s="4"/>
      <c r="I1139" s="41"/>
      <c r="J1139" s="41"/>
      <c r="K1139" s="41"/>
      <c r="L1139" s="41"/>
      <c r="M1139" s="41"/>
      <c r="N1139" s="41"/>
      <c r="O1139" s="35"/>
      <c r="P1139" s="42"/>
    </row>
    <row r="1140">
      <c r="A1140" s="39"/>
      <c r="B1140" s="39"/>
      <c r="C1140" s="3"/>
      <c r="D1140" s="40"/>
      <c r="E1140" s="38"/>
      <c r="F1140" s="38"/>
      <c r="G1140" s="4"/>
      <c r="H1140" s="4"/>
      <c r="I1140" s="41"/>
      <c r="J1140" s="41"/>
      <c r="K1140" s="41"/>
      <c r="L1140" s="41"/>
      <c r="M1140" s="41"/>
      <c r="N1140" s="41"/>
      <c r="O1140" s="35"/>
      <c r="P1140" s="42"/>
    </row>
    <row r="1141">
      <c r="A1141" s="39"/>
      <c r="B1141" s="39"/>
      <c r="C1141" s="3"/>
      <c r="D1141" s="40"/>
      <c r="E1141" s="38"/>
      <c r="F1141" s="38"/>
      <c r="G1141" s="4"/>
      <c r="H1141" s="4"/>
      <c r="I1141" s="41"/>
      <c r="J1141" s="41"/>
      <c r="K1141" s="41"/>
      <c r="L1141" s="41"/>
      <c r="M1141" s="41"/>
      <c r="N1141" s="41"/>
      <c r="O1141" s="35"/>
      <c r="P1141" s="42"/>
    </row>
    <row r="1142">
      <c r="A1142" s="39"/>
      <c r="B1142" s="39"/>
      <c r="C1142" s="3"/>
      <c r="D1142" s="40"/>
      <c r="E1142" s="38"/>
      <c r="F1142" s="38"/>
      <c r="G1142" s="4"/>
      <c r="H1142" s="4"/>
      <c r="I1142" s="41"/>
      <c r="J1142" s="41"/>
      <c r="K1142" s="41"/>
      <c r="L1142" s="41"/>
      <c r="M1142" s="41"/>
      <c r="N1142" s="41"/>
      <c r="O1142" s="35"/>
      <c r="P1142" s="42"/>
    </row>
    <row r="1143">
      <c r="A1143" s="39"/>
      <c r="B1143" s="39"/>
      <c r="C1143" s="3"/>
      <c r="D1143" s="40"/>
      <c r="E1143" s="38"/>
      <c r="F1143" s="38"/>
      <c r="G1143" s="4"/>
      <c r="H1143" s="4"/>
      <c r="I1143" s="41"/>
      <c r="J1143" s="41"/>
      <c r="K1143" s="41"/>
      <c r="L1143" s="41"/>
      <c r="M1143" s="41"/>
      <c r="N1143" s="41"/>
      <c r="O1143" s="35"/>
      <c r="P1143" s="42"/>
    </row>
    <row r="1144">
      <c r="A1144" s="39"/>
      <c r="B1144" s="39"/>
      <c r="C1144" s="3"/>
      <c r="D1144" s="40"/>
      <c r="E1144" s="38"/>
      <c r="F1144" s="38"/>
      <c r="G1144" s="4"/>
      <c r="H1144" s="4"/>
      <c r="I1144" s="41"/>
      <c r="J1144" s="41"/>
      <c r="K1144" s="41"/>
      <c r="L1144" s="41"/>
      <c r="M1144" s="41"/>
      <c r="N1144" s="41"/>
      <c r="O1144" s="35"/>
      <c r="P1144" s="42"/>
    </row>
    <row r="1145">
      <c r="A1145" s="39"/>
      <c r="B1145" s="39"/>
      <c r="C1145" s="3"/>
      <c r="D1145" s="40"/>
      <c r="E1145" s="38"/>
      <c r="F1145" s="38"/>
      <c r="G1145" s="4"/>
      <c r="H1145" s="4"/>
      <c r="I1145" s="41"/>
      <c r="J1145" s="41"/>
      <c r="K1145" s="41"/>
      <c r="L1145" s="41"/>
      <c r="M1145" s="41"/>
      <c r="N1145" s="41"/>
      <c r="O1145" s="35"/>
      <c r="P1145" s="42"/>
    </row>
    <row r="1146">
      <c r="A1146" s="39"/>
      <c r="B1146" s="39"/>
      <c r="C1146" s="3"/>
      <c r="D1146" s="40"/>
      <c r="E1146" s="38"/>
      <c r="F1146" s="38"/>
      <c r="G1146" s="4"/>
      <c r="H1146" s="4"/>
      <c r="I1146" s="41"/>
      <c r="J1146" s="41"/>
      <c r="K1146" s="41"/>
      <c r="L1146" s="41"/>
      <c r="M1146" s="41"/>
      <c r="N1146" s="41"/>
      <c r="O1146" s="35"/>
      <c r="P1146" s="42"/>
    </row>
    <row r="1147">
      <c r="A1147" s="39"/>
      <c r="B1147" s="39"/>
      <c r="C1147" s="3"/>
      <c r="D1147" s="40"/>
      <c r="E1147" s="38"/>
      <c r="F1147" s="38"/>
      <c r="G1147" s="4"/>
      <c r="H1147" s="4"/>
      <c r="I1147" s="41"/>
      <c r="J1147" s="41"/>
      <c r="K1147" s="41"/>
      <c r="L1147" s="41"/>
      <c r="M1147" s="41"/>
      <c r="N1147" s="41"/>
      <c r="O1147" s="35"/>
      <c r="P1147" s="42"/>
    </row>
    <row r="1148">
      <c r="A1148" s="39"/>
      <c r="B1148" s="39"/>
      <c r="C1148" s="3"/>
      <c r="D1148" s="40"/>
      <c r="E1148" s="38"/>
      <c r="F1148" s="38"/>
      <c r="G1148" s="4"/>
      <c r="H1148" s="4"/>
      <c r="I1148" s="41"/>
      <c r="J1148" s="41"/>
      <c r="K1148" s="41"/>
      <c r="L1148" s="41"/>
      <c r="M1148" s="41"/>
      <c r="N1148" s="41"/>
      <c r="O1148" s="35"/>
      <c r="P1148" s="42"/>
    </row>
    <row r="1149">
      <c r="A1149" s="39"/>
      <c r="B1149" s="39"/>
      <c r="C1149" s="3"/>
      <c r="D1149" s="40"/>
      <c r="E1149" s="38"/>
      <c r="F1149" s="38"/>
      <c r="G1149" s="4"/>
      <c r="H1149" s="4"/>
      <c r="I1149" s="41"/>
      <c r="J1149" s="41"/>
      <c r="K1149" s="41"/>
      <c r="L1149" s="41"/>
      <c r="M1149" s="41"/>
      <c r="N1149" s="41"/>
      <c r="O1149" s="35"/>
      <c r="P1149" s="42"/>
    </row>
    <row r="1150">
      <c r="A1150" s="39"/>
      <c r="B1150" s="39"/>
      <c r="C1150" s="3"/>
      <c r="D1150" s="40"/>
      <c r="E1150" s="38"/>
      <c r="F1150" s="38"/>
      <c r="G1150" s="4"/>
      <c r="H1150" s="4"/>
      <c r="I1150" s="41"/>
      <c r="J1150" s="41"/>
      <c r="K1150" s="41"/>
      <c r="L1150" s="41"/>
      <c r="M1150" s="41"/>
      <c r="N1150" s="41"/>
      <c r="O1150" s="35"/>
      <c r="P1150" s="42"/>
    </row>
    <row r="1151">
      <c r="A1151" s="39"/>
      <c r="B1151" s="39"/>
      <c r="C1151" s="3"/>
      <c r="D1151" s="40"/>
      <c r="E1151" s="38"/>
      <c r="F1151" s="38"/>
      <c r="G1151" s="4"/>
      <c r="H1151" s="4"/>
      <c r="I1151" s="41"/>
      <c r="J1151" s="41"/>
      <c r="K1151" s="41"/>
      <c r="L1151" s="41"/>
      <c r="M1151" s="41"/>
      <c r="N1151" s="41"/>
      <c r="O1151" s="35"/>
      <c r="P1151" s="42"/>
    </row>
    <row r="1152">
      <c r="A1152" s="39"/>
      <c r="B1152" s="39"/>
      <c r="C1152" s="3"/>
      <c r="D1152" s="40"/>
      <c r="E1152" s="38"/>
      <c r="F1152" s="38"/>
      <c r="G1152" s="4"/>
      <c r="H1152" s="4"/>
      <c r="I1152" s="41"/>
      <c r="J1152" s="41"/>
      <c r="K1152" s="41"/>
      <c r="L1152" s="41"/>
      <c r="M1152" s="41"/>
      <c r="N1152" s="41"/>
      <c r="O1152" s="35"/>
      <c r="P1152" s="42"/>
    </row>
    <row r="1153">
      <c r="A1153" s="39"/>
      <c r="B1153" s="39"/>
      <c r="C1153" s="3"/>
      <c r="D1153" s="40"/>
      <c r="E1153" s="38"/>
      <c r="F1153" s="38"/>
      <c r="G1153" s="4"/>
      <c r="H1153" s="4"/>
      <c r="I1153" s="41"/>
      <c r="J1153" s="41"/>
      <c r="K1153" s="41"/>
      <c r="L1153" s="41"/>
      <c r="M1153" s="41"/>
      <c r="N1153" s="41"/>
      <c r="O1153" s="35"/>
      <c r="P1153" s="42"/>
    </row>
    <row r="1154">
      <c r="A1154" s="39"/>
      <c r="B1154" s="39"/>
      <c r="C1154" s="3"/>
      <c r="D1154" s="40"/>
      <c r="E1154" s="38"/>
      <c r="F1154" s="38"/>
      <c r="G1154" s="4"/>
      <c r="H1154" s="4"/>
      <c r="I1154" s="41"/>
      <c r="J1154" s="41"/>
      <c r="K1154" s="41"/>
      <c r="L1154" s="41"/>
      <c r="M1154" s="41"/>
      <c r="N1154" s="41"/>
      <c r="O1154" s="35"/>
      <c r="P1154" s="42"/>
    </row>
    <row r="1155">
      <c r="A1155" s="39"/>
      <c r="B1155" s="39"/>
      <c r="C1155" s="3"/>
      <c r="D1155" s="40"/>
      <c r="E1155" s="38"/>
      <c r="F1155" s="38"/>
      <c r="G1155" s="4"/>
      <c r="H1155" s="4"/>
      <c r="I1155" s="41"/>
      <c r="J1155" s="41"/>
      <c r="K1155" s="41"/>
      <c r="L1155" s="41"/>
      <c r="M1155" s="41"/>
      <c r="N1155" s="41"/>
      <c r="O1155" s="35"/>
      <c r="P1155" s="42"/>
    </row>
    <row r="1156">
      <c r="A1156" s="39"/>
      <c r="B1156" s="39"/>
      <c r="C1156" s="3"/>
      <c r="D1156" s="40"/>
      <c r="E1156" s="38"/>
      <c r="F1156" s="38"/>
      <c r="G1156" s="4"/>
      <c r="H1156" s="4"/>
      <c r="I1156" s="41"/>
      <c r="J1156" s="41"/>
      <c r="K1156" s="41"/>
      <c r="L1156" s="41"/>
      <c r="M1156" s="41"/>
      <c r="N1156" s="41"/>
      <c r="O1156" s="35"/>
      <c r="P1156" s="42"/>
    </row>
    <row r="1157">
      <c r="A1157" s="39"/>
      <c r="B1157" s="39"/>
      <c r="C1157" s="3"/>
      <c r="D1157" s="40"/>
      <c r="E1157" s="38"/>
      <c r="F1157" s="38"/>
      <c r="G1157" s="4"/>
      <c r="H1157" s="4"/>
      <c r="I1157" s="41"/>
      <c r="J1157" s="41"/>
      <c r="K1157" s="41"/>
      <c r="L1157" s="41"/>
      <c r="M1157" s="41"/>
      <c r="N1157" s="41"/>
      <c r="O1157" s="35"/>
      <c r="P1157" s="42"/>
    </row>
    <row r="1158">
      <c r="A1158" s="39"/>
      <c r="B1158" s="39"/>
      <c r="C1158" s="3"/>
      <c r="D1158" s="40"/>
      <c r="E1158" s="38"/>
      <c r="F1158" s="38"/>
      <c r="G1158" s="4"/>
      <c r="H1158" s="4"/>
      <c r="I1158" s="41"/>
      <c r="J1158" s="41"/>
      <c r="K1158" s="41"/>
      <c r="L1158" s="41"/>
      <c r="M1158" s="41"/>
      <c r="N1158" s="41"/>
      <c r="O1158" s="35"/>
      <c r="P1158" s="42"/>
    </row>
    <row r="1159">
      <c r="A1159" s="39"/>
      <c r="B1159" s="39"/>
      <c r="C1159" s="3"/>
      <c r="D1159" s="40"/>
      <c r="E1159" s="38"/>
      <c r="F1159" s="38"/>
      <c r="G1159" s="4"/>
      <c r="H1159" s="4"/>
      <c r="I1159" s="41"/>
      <c r="J1159" s="41"/>
      <c r="K1159" s="41"/>
      <c r="L1159" s="41"/>
      <c r="M1159" s="41"/>
      <c r="N1159" s="41"/>
      <c r="O1159" s="35"/>
      <c r="P1159" s="42"/>
    </row>
    <row r="1160">
      <c r="A1160" s="39"/>
      <c r="B1160" s="39"/>
      <c r="C1160" s="3"/>
      <c r="D1160" s="40"/>
      <c r="E1160" s="38"/>
      <c r="F1160" s="38"/>
      <c r="G1160" s="4"/>
      <c r="H1160" s="4"/>
      <c r="I1160" s="41"/>
      <c r="J1160" s="41"/>
      <c r="K1160" s="41"/>
      <c r="L1160" s="41"/>
      <c r="M1160" s="41"/>
      <c r="N1160" s="41"/>
      <c r="O1160" s="35"/>
      <c r="P1160" s="42"/>
    </row>
    <row r="1161">
      <c r="A1161" s="39"/>
      <c r="B1161" s="39"/>
      <c r="C1161" s="3"/>
      <c r="D1161" s="40"/>
      <c r="E1161" s="38"/>
      <c r="F1161" s="38"/>
      <c r="G1161" s="4"/>
      <c r="H1161" s="4"/>
      <c r="I1161" s="41"/>
      <c r="J1161" s="41"/>
      <c r="K1161" s="41"/>
      <c r="L1161" s="41"/>
      <c r="M1161" s="41"/>
      <c r="N1161" s="41"/>
      <c r="O1161" s="35"/>
      <c r="P1161" s="42"/>
    </row>
    <row r="1162">
      <c r="A1162" s="39"/>
      <c r="B1162" s="39"/>
      <c r="C1162" s="3"/>
      <c r="D1162" s="40"/>
      <c r="E1162" s="38"/>
      <c r="F1162" s="38"/>
      <c r="G1162" s="4"/>
      <c r="H1162" s="4"/>
      <c r="I1162" s="41"/>
      <c r="J1162" s="41"/>
      <c r="K1162" s="41"/>
      <c r="L1162" s="41"/>
      <c r="M1162" s="41"/>
      <c r="N1162" s="41"/>
      <c r="O1162" s="35"/>
      <c r="P1162" s="42"/>
    </row>
    <row r="1163">
      <c r="A1163" s="39"/>
      <c r="B1163" s="39"/>
      <c r="C1163" s="3"/>
      <c r="D1163" s="40"/>
      <c r="E1163" s="38"/>
      <c r="F1163" s="38"/>
      <c r="G1163" s="4"/>
      <c r="H1163" s="4"/>
      <c r="I1163" s="41"/>
      <c r="J1163" s="41"/>
      <c r="K1163" s="41"/>
      <c r="L1163" s="41"/>
      <c r="M1163" s="41"/>
      <c r="N1163" s="41"/>
      <c r="O1163" s="35"/>
      <c r="P1163" s="42"/>
    </row>
    <row r="1164">
      <c r="A1164" s="39"/>
      <c r="B1164" s="39"/>
      <c r="C1164" s="3"/>
      <c r="D1164" s="40"/>
      <c r="E1164" s="38"/>
      <c r="F1164" s="38"/>
      <c r="G1164" s="4"/>
      <c r="H1164" s="4"/>
      <c r="I1164" s="41"/>
      <c r="J1164" s="41"/>
      <c r="K1164" s="41"/>
      <c r="L1164" s="41"/>
      <c r="M1164" s="41"/>
      <c r="N1164" s="41"/>
      <c r="O1164" s="35"/>
      <c r="P1164" s="42"/>
    </row>
    <row r="1165">
      <c r="A1165" s="39"/>
      <c r="B1165" s="39"/>
      <c r="C1165" s="3"/>
      <c r="D1165" s="40"/>
      <c r="E1165" s="38"/>
      <c r="F1165" s="38"/>
      <c r="G1165" s="4"/>
      <c r="H1165" s="4"/>
      <c r="I1165" s="41"/>
      <c r="J1165" s="41"/>
      <c r="K1165" s="41"/>
      <c r="L1165" s="41"/>
      <c r="M1165" s="41"/>
      <c r="N1165" s="41"/>
      <c r="O1165" s="35"/>
      <c r="P1165" s="42"/>
    </row>
    <row r="1166">
      <c r="A1166" s="39"/>
      <c r="B1166" s="39"/>
      <c r="C1166" s="3"/>
      <c r="D1166" s="40"/>
      <c r="E1166" s="38"/>
      <c r="F1166" s="38"/>
      <c r="G1166" s="4"/>
      <c r="H1166" s="4"/>
      <c r="I1166" s="41"/>
      <c r="J1166" s="41"/>
      <c r="K1166" s="41"/>
      <c r="L1166" s="41"/>
      <c r="M1166" s="41"/>
      <c r="N1166" s="41"/>
      <c r="O1166" s="35"/>
      <c r="P1166" s="42"/>
    </row>
    <row r="1167">
      <c r="A1167" s="39"/>
      <c r="B1167" s="39"/>
      <c r="C1167" s="3"/>
      <c r="D1167" s="40"/>
      <c r="E1167" s="38"/>
      <c r="F1167" s="38"/>
      <c r="G1167" s="4"/>
      <c r="H1167" s="4"/>
      <c r="I1167" s="41"/>
      <c r="J1167" s="41"/>
      <c r="K1167" s="41"/>
      <c r="L1167" s="41"/>
      <c r="M1167" s="41"/>
      <c r="N1167" s="41"/>
      <c r="O1167" s="35"/>
      <c r="P1167" s="42"/>
    </row>
    <row r="1168">
      <c r="A1168" s="39"/>
      <c r="B1168" s="39"/>
      <c r="C1168" s="3"/>
      <c r="D1168" s="40"/>
      <c r="E1168" s="38"/>
      <c r="F1168" s="38"/>
      <c r="G1168" s="4"/>
      <c r="H1168" s="4"/>
      <c r="I1168" s="41"/>
      <c r="J1168" s="41"/>
      <c r="K1168" s="41"/>
      <c r="L1168" s="41"/>
      <c r="M1168" s="41"/>
      <c r="N1168" s="41"/>
      <c r="O1168" s="35"/>
      <c r="P1168" s="42"/>
    </row>
    <row r="1169">
      <c r="A1169" s="39"/>
      <c r="B1169" s="39"/>
      <c r="C1169" s="3"/>
      <c r="D1169" s="40"/>
      <c r="E1169" s="38"/>
      <c r="F1169" s="38"/>
      <c r="G1169" s="4"/>
      <c r="H1169" s="4"/>
      <c r="I1169" s="41"/>
      <c r="J1169" s="41"/>
      <c r="K1169" s="41"/>
      <c r="L1169" s="41"/>
      <c r="M1169" s="41"/>
      <c r="N1169" s="41"/>
      <c r="O1169" s="35"/>
      <c r="P1169" s="42"/>
    </row>
    <row r="1170">
      <c r="A1170" s="39"/>
      <c r="B1170" s="39"/>
      <c r="C1170" s="3"/>
      <c r="D1170" s="40"/>
      <c r="E1170" s="38"/>
      <c r="F1170" s="38"/>
      <c r="G1170" s="4"/>
      <c r="H1170" s="4"/>
      <c r="I1170" s="41"/>
      <c r="J1170" s="41"/>
      <c r="K1170" s="41"/>
      <c r="L1170" s="41"/>
      <c r="M1170" s="41"/>
      <c r="N1170" s="41"/>
      <c r="O1170" s="35"/>
      <c r="P1170" s="42"/>
    </row>
    <row r="1171">
      <c r="A1171" s="39"/>
      <c r="B1171" s="39"/>
      <c r="C1171" s="3"/>
      <c r="D1171" s="40"/>
      <c r="E1171" s="38"/>
      <c r="F1171" s="38"/>
      <c r="G1171" s="4"/>
      <c r="H1171" s="4"/>
      <c r="I1171" s="41"/>
      <c r="J1171" s="41"/>
      <c r="K1171" s="41"/>
      <c r="L1171" s="41"/>
      <c r="M1171" s="41"/>
      <c r="N1171" s="41"/>
      <c r="O1171" s="35"/>
      <c r="P1171" s="42"/>
    </row>
    <row r="1172">
      <c r="A1172" s="39"/>
      <c r="B1172" s="39"/>
      <c r="C1172" s="3"/>
      <c r="D1172" s="40"/>
      <c r="E1172" s="38"/>
      <c r="F1172" s="38"/>
      <c r="G1172" s="4"/>
      <c r="H1172" s="4"/>
      <c r="I1172" s="41"/>
      <c r="J1172" s="41"/>
      <c r="K1172" s="41"/>
      <c r="L1172" s="41"/>
      <c r="M1172" s="41"/>
      <c r="N1172" s="41"/>
      <c r="O1172" s="35"/>
      <c r="P1172" s="42"/>
    </row>
    <row r="1173">
      <c r="A1173" s="39"/>
      <c r="B1173" s="39"/>
      <c r="C1173" s="3"/>
      <c r="D1173" s="40"/>
      <c r="E1173" s="38"/>
      <c r="F1173" s="38"/>
      <c r="G1173" s="4"/>
      <c r="H1173" s="4"/>
      <c r="I1173" s="41"/>
      <c r="J1173" s="41"/>
      <c r="K1173" s="41"/>
      <c r="L1173" s="41"/>
      <c r="M1173" s="41"/>
      <c r="N1173" s="41"/>
      <c r="O1173" s="35"/>
      <c r="P1173" s="42"/>
    </row>
    <row r="1174">
      <c r="A1174" s="39"/>
      <c r="B1174" s="39"/>
      <c r="C1174" s="3"/>
      <c r="D1174" s="40"/>
      <c r="E1174" s="38"/>
      <c r="F1174" s="38"/>
      <c r="G1174" s="4"/>
      <c r="H1174" s="4"/>
      <c r="I1174" s="41"/>
      <c r="J1174" s="41"/>
      <c r="K1174" s="41"/>
      <c r="L1174" s="41"/>
      <c r="M1174" s="41"/>
      <c r="N1174" s="41"/>
      <c r="O1174" s="35"/>
      <c r="P1174" s="42"/>
    </row>
    <row r="1175">
      <c r="A1175" s="39"/>
      <c r="B1175" s="39"/>
      <c r="C1175" s="3"/>
      <c r="D1175" s="40"/>
      <c r="E1175" s="38"/>
      <c r="F1175" s="38"/>
      <c r="G1175" s="4"/>
      <c r="H1175" s="4"/>
      <c r="I1175" s="41"/>
      <c r="J1175" s="41"/>
      <c r="K1175" s="41"/>
      <c r="L1175" s="41"/>
      <c r="M1175" s="41"/>
      <c r="N1175" s="41"/>
      <c r="O1175" s="35"/>
      <c r="P1175" s="42"/>
    </row>
    <row r="1176">
      <c r="A1176" s="39"/>
      <c r="B1176" s="39"/>
      <c r="C1176" s="3"/>
      <c r="D1176" s="40"/>
      <c r="E1176" s="38"/>
      <c r="F1176" s="38"/>
      <c r="G1176" s="4"/>
      <c r="H1176" s="4"/>
      <c r="I1176" s="41"/>
      <c r="J1176" s="41"/>
      <c r="K1176" s="41"/>
      <c r="L1176" s="41"/>
      <c r="M1176" s="41"/>
      <c r="N1176" s="41"/>
      <c r="O1176" s="35"/>
      <c r="P1176" s="42"/>
    </row>
    <row r="1177">
      <c r="A1177" s="39"/>
      <c r="B1177" s="39"/>
      <c r="C1177" s="3"/>
      <c r="D1177" s="40"/>
      <c r="E1177" s="38"/>
      <c r="F1177" s="38"/>
      <c r="G1177" s="4"/>
      <c r="H1177" s="4"/>
      <c r="I1177" s="41"/>
      <c r="J1177" s="41"/>
      <c r="K1177" s="41"/>
      <c r="L1177" s="41"/>
      <c r="M1177" s="41"/>
      <c r="N1177" s="41"/>
      <c r="O1177" s="35"/>
      <c r="P1177" s="42"/>
    </row>
    <row r="1178">
      <c r="A1178" s="39"/>
      <c r="B1178" s="39"/>
      <c r="C1178" s="3"/>
      <c r="D1178" s="40"/>
      <c r="E1178" s="38"/>
      <c r="F1178" s="38"/>
      <c r="G1178" s="4"/>
      <c r="H1178" s="4"/>
      <c r="I1178" s="41"/>
      <c r="J1178" s="41"/>
      <c r="K1178" s="41"/>
      <c r="L1178" s="41"/>
      <c r="M1178" s="41"/>
      <c r="N1178" s="41"/>
      <c r="O1178" s="35"/>
      <c r="P1178" s="42"/>
    </row>
    <row r="1179">
      <c r="A1179" s="39"/>
      <c r="B1179" s="39"/>
      <c r="C1179" s="3"/>
      <c r="D1179" s="40"/>
      <c r="E1179" s="38"/>
      <c r="F1179" s="38"/>
      <c r="G1179" s="4"/>
      <c r="H1179" s="4"/>
      <c r="I1179" s="41"/>
      <c r="J1179" s="41"/>
      <c r="K1179" s="41"/>
      <c r="L1179" s="41"/>
      <c r="M1179" s="41"/>
      <c r="N1179" s="41"/>
      <c r="O1179" s="35"/>
      <c r="P1179" s="42"/>
    </row>
    <row r="1180">
      <c r="A1180" s="39"/>
      <c r="B1180" s="39"/>
      <c r="C1180" s="3"/>
      <c r="D1180" s="40"/>
      <c r="E1180" s="38"/>
      <c r="F1180" s="38"/>
      <c r="G1180" s="4"/>
      <c r="H1180" s="4"/>
      <c r="I1180" s="41"/>
      <c r="J1180" s="41"/>
      <c r="K1180" s="41"/>
      <c r="L1180" s="41"/>
      <c r="M1180" s="41"/>
      <c r="N1180" s="41"/>
      <c r="O1180" s="35"/>
      <c r="P1180" s="42"/>
    </row>
    <row r="1181">
      <c r="A1181" s="39"/>
      <c r="B1181" s="39"/>
      <c r="C1181" s="3"/>
      <c r="D1181" s="40"/>
      <c r="E1181" s="38"/>
      <c r="F1181" s="38"/>
      <c r="G1181" s="4"/>
      <c r="H1181" s="4"/>
      <c r="I1181" s="41"/>
      <c r="J1181" s="41"/>
      <c r="K1181" s="41"/>
      <c r="L1181" s="41"/>
      <c r="M1181" s="41"/>
      <c r="N1181" s="41"/>
      <c r="O1181" s="35"/>
      <c r="P1181" s="42"/>
    </row>
    <row r="1182">
      <c r="A1182" s="39"/>
      <c r="B1182" s="39"/>
      <c r="C1182" s="3"/>
      <c r="D1182" s="40"/>
      <c r="E1182" s="38"/>
      <c r="F1182" s="38"/>
      <c r="G1182" s="4"/>
      <c r="H1182" s="4"/>
      <c r="I1182" s="41"/>
      <c r="J1182" s="41"/>
      <c r="K1182" s="41"/>
      <c r="L1182" s="41"/>
      <c r="M1182" s="41"/>
      <c r="N1182" s="41"/>
      <c r="O1182" s="35"/>
      <c r="P1182" s="42"/>
    </row>
    <row r="1183">
      <c r="A1183" s="39"/>
      <c r="B1183" s="39"/>
      <c r="C1183" s="3"/>
      <c r="D1183" s="40"/>
      <c r="E1183" s="38"/>
      <c r="F1183" s="38"/>
      <c r="G1183" s="4"/>
      <c r="H1183" s="4"/>
      <c r="I1183" s="41"/>
      <c r="J1183" s="41"/>
      <c r="K1183" s="41"/>
      <c r="L1183" s="41"/>
      <c r="M1183" s="41"/>
      <c r="N1183" s="41"/>
      <c r="O1183" s="35"/>
      <c r="P1183" s="42"/>
    </row>
    <row r="1184">
      <c r="A1184" s="39"/>
      <c r="B1184" s="39"/>
      <c r="C1184" s="3"/>
      <c r="D1184" s="40"/>
      <c r="E1184" s="38"/>
      <c r="F1184" s="38"/>
      <c r="G1184" s="4"/>
      <c r="H1184" s="4"/>
      <c r="I1184" s="41"/>
      <c r="J1184" s="41"/>
      <c r="K1184" s="41"/>
      <c r="L1184" s="41"/>
      <c r="M1184" s="41"/>
      <c r="N1184" s="41"/>
      <c r="O1184" s="35"/>
      <c r="P1184" s="42"/>
    </row>
    <row r="1185">
      <c r="A1185" s="39"/>
      <c r="B1185" s="39"/>
      <c r="C1185" s="3"/>
      <c r="D1185" s="40"/>
      <c r="E1185" s="38"/>
      <c r="F1185" s="38"/>
      <c r="G1185" s="4"/>
      <c r="H1185" s="4"/>
      <c r="I1185" s="41"/>
      <c r="J1185" s="41"/>
      <c r="K1185" s="41"/>
      <c r="L1185" s="41"/>
      <c r="M1185" s="41"/>
      <c r="N1185" s="41"/>
      <c r="O1185" s="35"/>
      <c r="P1185" s="42"/>
    </row>
    <row r="1186">
      <c r="A1186" s="39"/>
      <c r="B1186" s="39"/>
      <c r="C1186" s="3"/>
      <c r="D1186" s="40"/>
      <c r="E1186" s="38"/>
      <c r="F1186" s="38"/>
      <c r="G1186" s="4"/>
      <c r="H1186" s="4"/>
      <c r="I1186" s="41"/>
      <c r="J1186" s="41"/>
      <c r="K1186" s="41"/>
      <c r="L1186" s="41"/>
      <c r="M1186" s="41"/>
      <c r="N1186" s="41"/>
      <c r="O1186" s="35"/>
      <c r="P1186" s="42"/>
    </row>
    <row r="1187">
      <c r="A1187" s="39"/>
      <c r="B1187" s="39"/>
      <c r="C1187" s="3"/>
      <c r="D1187" s="40"/>
      <c r="E1187" s="38"/>
      <c r="F1187" s="38"/>
      <c r="G1187" s="4"/>
      <c r="H1187" s="4"/>
      <c r="I1187" s="41"/>
      <c r="J1187" s="41"/>
      <c r="K1187" s="41"/>
      <c r="L1187" s="41"/>
      <c r="M1187" s="41"/>
      <c r="N1187" s="41"/>
      <c r="O1187" s="35"/>
      <c r="P1187" s="42"/>
    </row>
    <row r="1188">
      <c r="A1188" s="39"/>
      <c r="B1188" s="39"/>
      <c r="C1188" s="3"/>
      <c r="D1188" s="40"/>
      <c r="E1188" s="38"/>
      <c r="F1188" s="38"/>
      <c r="G1188" s="4"/>
      <c r="H1188" s="4"/>
      <c r="I1188" s="41"/>
      <c r="J1188" s="41"/>
      <c r="K1188" s="41"/>
      <c r="L1188" s="41"/>
      <c r="M1188" s="41"/>
      <c r="N1188" s="41"/>
      <c r="O1188" s="35"/>
      <c r="P1188" s="42"/>
    </row>
    <row r="1189">
      <c r="A1189" s="39"/>
      <c r="B1189" s="39"/>
      <c r="C1189" s="3"/>
      <c r="D1189" s="40"/>
      <c r="E1189" s="38"/>
      <c r="F1189" s="38"/>
      <c r="G1189" s="4"/>
      <c r="H1189" s="4"/>
      <c r="I1189" s="41"/>
      <c r="J1189" s="41"/>
      <c r="K1189" s="41"/>
      <c r="L1189" s="41"/>
      <c r="M1189" s="41"/>
      <c r="N1189" s="41"/>
      <c r="O1189" s="35"/>
      <c r="P1189" s="42"/>
    </row>
    <row r="1190">
      <c r="A1190" s="39"/>
      <c r="B1190" s="39"/>
      <c r="C1190" s="3"/>
      <c r="D1190" s="40"/>
      <c r="E1190" s="38"/>
      <c r="F1190" s="38"/>
      <c r="G1190" s="4"/>
      <c r="H1190" s="4"/>
      <c r="I1190" s="41"/>
      <c r="J1190" s="41"/>
      <c r="K1190" s="41"/>
      <c r="L1190" s="41"/>
      <c r="M1190" s="41"/>
      <c r="N1190" s="41"/>
      <c r="O1190" s="35"/>
      <c r="P1190" s="42"/>
    </row>
    <row r="1191">
      <c r="A1191" s="39"/>
      <c r="B1191" s="39"/>
      <c r="C1191" s="3"/>
      <c r="D1191" s="40"/>
      <c r="E1191" s="38"/>
      <c r="F1191" s="38"/>
      <c r="G1191" s="4"/>
      <c r="H1191" s="4"/>
      <c r="I1191" s="41"/>
      <c r="J1191" s="41"/>
      <c r="K1191" s="41"/>
      <c r="L1191" s="41"/>
      <c r="M1191" s="41"/>
      <c r="N1191" s="41"/>
      <c r="O1191" s="35"/>
      <c r="P1191" s="42"/>
    </row>
    <row r="1192">
      <c r="A1192" s="39"/>
      <c r="B1192" s="39"/>
      <c r="C1192" s="3"/>
      <c r="D1192" s="40"/>
      <c r="E1192" s="38"/>
      <c r="F1192" s="38"/>
      <c r="G1192" s="4"/>
      <c r="H1192" s="4"/>
      <c r="I1192" s="41"/>
      <c r="J1192" s="41"/>
      <c r="K1192" s="41"/>
      <c r="L1192" s="41"/>
      <c r="M1192" s="41"/>
      <c r="N1192" s="41"/>
      <c r="O1192" s="35"/>
      <c r="P1192" s="42"/>
    </row>
    <row r="1193">
      <c r="A1193" s="39"/>
      <c r="B1193" s="39"/>
      <c r="C1193" s="3"/>
      <c r="D1193" s="40"/>
      <c r="E1193" s="38"/>
      <c r="F1193" s="38"/>
      <c r="G1193" s="4"/>
      <c r="H1193" s="4"/>
      <c r="I1193" s="41"/>
      <c r="J1193" s="41"/>
      <c r="K1193" s="41"/>
      <c r="L1193" s="41"/>
      <c r="M1193" s="41"/>
      <c r="N1193" s="41"/>
      <c r="O1193" s="35"/>
      <c r="P1193" s="42"/>
    </row>
    <row r="1194">
      <c r="A1194" s="39"/>
      <c r="B1194" s="39"/>
      <c r="C1194" s="3"/>
      <c r="D1194" s="40"/>
      <c r="E1194" s="38"/>
      <c r="F1194" s="38"/>
      <c r="G1194" s="4"/>
      <c r="H1194" s="4"/>
      <c r="I1194" s="41"/>
      <c r="J1194" s="41"/>
      <c r="K1194" s="41"/>
      <c r="L1194" s="41"/>
      <c r="M1194" s="41"/>
      <c r="N1194" s="41"/>
      <c r="O1194" s="35"/>
      <c r="P1194" s="42"/>
    </row>
    <row r="1195">
      <c r="A1195" s="39"/>
      <c r="B1195" s="39"/>
      <c r="C1195" s="3"/>
      <c r="D1195" s="40"/>
      <c r="E1195" s="38"/>
      <c r="F1195" s="38"/>
      <c r="G1195" s="4"/>
      <c r="H1195" s="4"/>
      <c r="I1195" s="41"/>
      <c r="J1195" s="41"/>
      <c r="K1195" s="41"/>
      <c r="L1195" s="41"/>
      <c r="M1195" s="41"/>
      <c r="N1195" s="41"/>
      <c r="O1195" s="35"/>
      <c r="P1195" s="42"/>
    </row>
    <row r="1196">
      <c r="A1196" s="39"/>
      <c r="B1196" s="39"/>
      <c r="C1196" s="3"/>
      <c r="D1196" s="40"/>
      <c r="E1196" s="38"/>
      <c r="F1196" s="38"/>
      <c r="G1196" s="4"/>
      <c r="H1196" s="4"/>
      <c r="I1196" s="41"/>
      <c r="J1196" s="41"/>
      <c r="K1196" s="41"/>
      <c r="L1196" s="41"/>
      <c r="M1196" s="41"/>
      <c r="N1196" s="41"/>
      <c r="O1196" s="35"/>
      <c r="P1196" s="42"/>
    </row>
    <row r="1197">
      <c r="A1197" s="39"/>
      <c r="B1197" s="39"/>
      <c r="C1197" s="3"/>
      <c r="D1197" s="40"/>
      <c r="E1197" s="38"/>
      <c r="F1197" s="38"/>
      <c r="G1197" s="4"/>
      <c r="H1197" s="4"/>
      <c r="I1197" s="41"/>
      <c r="J1197" s="41"/>
      <c r="K1197" s="41"/>
      <c r="L1197" s="41"/>
      <c r="M1197" s="41"/>
      <c r="N1197" s="41"/>
      <c r="O1197" s="35"/>
      <c r="P1197" s="42"/>
    </row>
    <row r="1198">
      <c r="A1198" s="39"/>
      <c r="B1198" s="39"/>
      <c r="C1198" s="3"/>
      <c r="D1198" s="40"/>
      <c r="E1198" s="38"/>
      <c r="F1198" s="38"/>
      <c r="G1198" s="4"/>
      <c r="H1198" s="4"/>
      <c r="I1198" s="41"/>
      <c r="J1198" s="41"/>
      <c r="K1198" s="41"/>
      <c r="L1198" s="41"/>
      <c r="M1198" s="41"/>
      <c r="N1198" s="41"/>
      <c r="O1198" s="35"/>
      <c r="P1198" s="42"/>
    </row>
    <row r="1199">
      <c r="A1199" s="39"/>
      <c r="B1199" s="39"/>
      <c r="C1199" s="3"/>
      <c r="D1199" s="40"/>
      <c r="E1199" s="38"/>
      <c r="F1199" s="38"/>
      <c r="G1199" s="4"/>
      <c r="H1199" s="4"/>
      <c r="I1199" s="41"/>
      <c r="J1199" s="41"/>
      <c r="K1199" s="41"/>
      <c r="L1199" s="41"/>
      <c r="M1199" s="41"/>
      <c r="N1199" s="41"/>
      <c r="O1199" s="35"/>
      <c r="P1199" s="42"/>
    </row>
    <row r="1200">
      <c r="A1200" s="39"/>
      <c r="B1200" s="39"/>
      <c r="C1200" s="3"/>
      <c r="D1200" s="40"/>
      <c r="E1200" s="38"/>
      <c r="F1200" s="38"/>
      <c r="G1200" s="4"/>
      <c r="H1200" s="4"/>
      <c r="I1200" s="41"/>
      <c r="J1200" s="41"/>
      <c r="K1200" s="41"/>
      <c r="L1200" s="41"/>
      <c r="M1200" s="41"/>
      <c r="N1200" s="41"/>
      <c r="O1200" s="35"/>
      <c r="P1200" s="42"/>
    </row>
    <row r="1201">
      <c r="A1201" s="39"/>
      <c r="B1201" s="39"/>
      <c r="C1201" s="3"/>
      <c r="D1201" s="40"/>
      <c r="E1201" s="38"/>
      <c r="F1201" s="38"/>
      <c r="G1201" s="4"/>
      <c r="H1201" s="4"/>
      <c r="I1201" s="41"/>
      <c r="J1201" s="41"/>
      <c r="K1201" s="41"/>
      <c r="L1201" s="41"/>
      <c r="M1201" s="41"/>
      <c r="N1201" s="41"/>
      <c r="O1201" s="35"/>
      <c r="P1201" s="42"/>
    </row>
    <row r="1202">
      <c r="A1202" s="39"/>
      <c r="B1202" s="39"/>
      <c r="C1202" s="3"/>
      <c r="D1202" s="40"/>
      <c r="E1202" s="38"/>
      <c r="F1202" s="38"/>
      <c r="G1202" s="4"/>
      <c r="H1202" s="4"/>
      <c r="I1202" s="41"/>
      <c r="J1202" s="41"/>
      <c r="K1202" s="41"/>
      <c r="L1202" s="41"/>
      <c r="M1202" s="41"/>
      <c r="N1202" s="41"/>
      <c r="O1202" s="35"/>
      <c r="P1202" s="42"/>
    </row>
    <row r="1203">
      <c r="A1203" s="39"/>
      <c r="B1203" s="39"/>
      <c r="C1203" s="3"/>
      <c r="D1203" s="40"/>
      <c r="E1203" s="38"/>
      <c r="F1203" s="38"/>
      <c r="G1203" s="4"/>
      <c r="H1203" s="4"/>
      <c r="I1203" s="41"/>
      <c r="J1203" s="41"/>
      <c r="K1203" s="41"/>
      <c r="L1203" s="41"/>
      <c r="M1203" s="41"/>
      <c r="N1203" s="41"/>
      <c r="O1203" s="35"/>
      <c r="P1203" s="42"/>
    </row>
    <row r="1204">
      <c r="A1204" s="39"/>
      <c r="B1204" s="39"/>
      <c r="C1204" s="3"/>
      <c r="D1204" s="40"/>
      <c r="E1204" s="38"/>
      <c r="F1204" s="38"/>
      <c r="G1204" s="4"/>
      <c r="H1204" s="4"/>
      <c r="I1204" s="41"/>
      <c r="J1204" s="41"/>
      <c r="K1204" s="41"/>
      <c r="L1204" s="41"/>
      <c r="M1204" s="41"/>
      <c r="N1204" s="41"/>
      <c r="O1204" s="35"/>
      <c r="P1204" s="42"/>
    </row>
    <row r="1205">
      <c r="A1205" s="39"/>
      <c r="B1205" s="39"/>
      <c r="C1205" s="3"/>
      <c r="D1205" s="40"/>
      <c r="E1205" s="38"/>
      <c r="F1205" s="38"/>
      <c r="G1205" s="4"/>
      <c r="H1205" s="4"/>
      <c r="I1205" s="41"/>
      <c r="J1205" s="41"/>
      <c r="K1205" s="41"/>
      <c r="L1205" s="41"/>
      <c r="M1205" s="41"/>
      <c r="N1205" s="41"/>
      <c r="O1205" s="35"/>
      <c r="P1205" s="42"/>
    </row>
    <row r="1206">
      <c r="A1206" s="39"/>
      <c r="B1206" s="39"/>
      <c r="C1206" s="3"/>
      <c r="D1206" s="40"/>
      <c r="E1206" s="38"/>
      <c r="F1206" s="38"/>
      <c r="G1206" s="4"/>
      <c r="H1206" s="4"/>
      <c r="I1206" s="41"/>
      <c r="J1206" s="41"/>
      <c r="K1206" s="41"/>
      <c r="L1206" s="41"/>
      <c r="M1206" s="41"/>
      <c r="N1206" s="41"/>
      <c r="O1206" s="35"/>
      <c r="P1206" s="42"/>
    </row>
    <row r="1207">
      <c r="A1207" s="39"/>
      <c r="B1207" s="39"/>
      <c r="C1207" s="3"/>
      <c r="D1207" s="40"/>
      <c r="E1207" s="38"/>
      <c r="F1207" s="38"/>
      <c r="G1207" s="4"/>
      <c r="H1207" s="4"/>
      <c r="I1207" s="41"/>
      <c r="J1207" s="41"/>
      <c r="K1207" s="41"/>
      <c r="L1207" s="41"/>
      <c r="M1207" s="41"/>
      <c r="N1207" s="41"/>
      <c r="O1207" s="35"/>
      <c r="P1207" s="42"/>
    </row>
    <row r="1208">
      <c r="A1208" s="39"/>
      <c r="B1208" s="39"/>
      <c r="C1208" s="3"/>
      <c r="D1208" s="40"/>
      <c r="E1208" s="38"/>
      <c r="F1208" s="38"/>
      <c r="G1208" s="4"/>
      <c r="H1208" s="4"/>
      <c r="I1208" s="41"/>
      <c r="J1208" s="41"/>
      <c r="K1208" s="41"/>
      <c r="L1208" s="41"/>
      <c r="M1208" s="41"/>
      <c r="N1208" s="41"/>
      <c r="O1208" s="35"/>
      <c r="P1208" s="42"/>
    </row>
    <row r="1209">
      <c r="A1209" s="39"/>
      <c r="B1209" s="39"/>
      <c r="C1209" s="3"/>
      <c r="D1209" s="40"/>
      <c r="E1209" s="38"/>
      <c r="F1209" s="38"/>
      <c r="G1209" s="4"/>
      <c r="H1209" s="4"/>
      <c r="I1209" s="41"/>
      <c r="J1209" s="41"/>
      <c r="K1209" s="41"/>
      <c r="L1209" s="41"/>
      <c r="M1209" s="41"/>
      <c r="N1209" s="41"/>
      <c r="O1209" s="35"/>
      <c r="P1209" s="42"/>
    </row>
    <row r="1210">
      <c r="A1210" s="39"/>
      <c r="B1210" s="39"/>
      <c r="C1210" s="3"/>
      <c r="D1210" s="40"/>
      <c r="E1210" s="38"/>
      <c r="F1210" s="38"/>
      <c r="G1210" s="4"/>
      <c r="H1210" s="4"/>
      <c r="I1210" s="41"/>
      <c r="J1210" s="41"/>
      <c r="K1210" s="41"/>
      <c r="L1210" s="41"/>
      <c r="M1210" s="41"/>
      <c r="N1210" s="41"/>
      <c r="O1210" s="35"/>
      <c r="P1210" s="42"/>
    </row>
    <row r="1211">
      <c r="A1211" s="39"/>
      <c r="B1211" s="39"/>
      <c r="C1211" s="3"/>
      <c r="D1211" s="40"/>
      <c r="E1211" s="38"/>
      <c r="F1211" s="38"/>
      <c r="G1211" s="4"/>
      <c r="H1211" s="4"/>
      <c r="I1211" s="41"/>
      <c r="J1211" s="41"/>
      <c r="K1211" s="41"/>
      <c r="L1211" s="41"/>
      <c r="M1211" s="41"/>
      <c r="N1211" s="41"/>
      <c r="O1211" s="35"/>
      <c r="P1211" s="42"/>
    </row>
    <row r="1212">
      <c r="A1212" s="39"/>
      <c r="B1212" s="39"/>
      <c r="C1212" s="3"/>
      <c r="D1212" s="40"/>
      <c r="E1212" s="38"/>
      <c r="F1212" s="38"/>
      <c r="G1212" s="4"/>
      <c r="H1212" s="4"/>
      <c r="I1212" s="41"/>
      <c r="J1212" s="41"/>
      <c r="K1212" s="41"/>
      <c r="L1212" s="41"/>
      <c r="M1212" s="41"/>
      <c r="N1212" s="41"/>
      <c r="O1212" s="35"/>
      <c r="P1212" s="42"/>
    </row>
    <row r="1213">
      <c r="A1213" s="39"/>
      <c r="B1213" s="39"/>
      <c r="C1213" s="3"/>
      <c r="D1213" s="40"/>
      <c r="E1213" s="38"/>
      <c r="F1213" s="38"/>
      <c r="G1213" s="4"/>
      <c r="H1213" s="4"/>
      <c r="I1213" s="41"/>
      <c r="J1213" s="41"/>
      <c r="K1213" s="41"/>
      <c r="L1213" s="41"/>
      <c r="M1213" s="41"/>
      <c r="N1213" s="41"/>
      <c r="O1213" s="35"/>
      <c r="P1213" s="42"/>
    </row>
    <row r="1214">
      <c r="A1214" s="39"/>
      <c r="B1214" s="39"/>
      <c r="C1214" s="3"/>
      <c r="D1214" s="40"/>
      <c r="E1214" s="38"/>
      <c r="F1214" s="38"/>
      <c r="G1214" s="4"/>
      <c r="H1214" s="4"/>
      <c r="I1214" s="41"/>
      <c r="J1214" s="41"/>
      <c r="K1214" s="41"/>
      <c r="L1214" s="41"/>
      <c r="M1214" s="41"/>
      <c r="N1214" s="41"/>
      <c r="O1214" s="35"/>
      <c r="P1214" s="42"/>
    </row>
    <row r="1215">
      <c r="A1215" s="39"/>
      <c r="B1215" s="39"/>
      <c r="C1215" s="3"/>
      <c r="D1215" s="40"/>
      <c r="E1215" s="38"/>
      <c r="F1215" s="38"/>
      <c r="G1215" s="4"/>
      <c r="H1215" s="4"/>
      <c r="I1215" s="41"/>
      <c r="J1215" s="41"/>
      <c r="K1215" s="41"/>
      <c r="L1215" s="41"/>
      <c r="M1215" s="41"/>
      <c r="N1215" s="41"/>
      <c r="O1215" s="35"/>
      <c r="P1215" s="42"/>
    </row>
    <row r="1216">
      <c r="A1216" s="39"/>
      <c r="B1216" s="39"/>
      <c r="C1216" s="3"/>
      <c r="D1216" s="40"/>
      <c r="E1216" s="38"/>
      <c r="F1216" s="38"/>
      <c r="G1216" s="4"/>
      <c r="H1216" s="4"/>
      <c r="I1216" s="41"/>
      <c r="J1216" s="41"/>
      <c r="K1216" s="41"/>
      <c r="L1216" s="41"/>
      <c r="M1216" s="41"/>
      <c r="N1216" s="41"/>
      <c r="O1216" s="35"/>
      <c r="P1216" s="42"/>
    </row>
    <row r="1217">
      <c r="A1217" s="39"/>
      <c r="B1217" s="39"/>
      <c r="C1217" s="3"/>
      <c r="D1217" s="40"/>
      <c r="E1217" s="38"/>
      <c r="F1217" s="38"/>
      <c r="G1217" s="4"/>
      <c r="H1217" s="4"/>
      <c r="I1217" s="41"/>
      <c r="J1217" s="41"/>
      <c r="K1217" s="41"/>
      <c r="L1217" s="41"/>
      <c r="M1217" s="41"/>
      <c r="N1217" s="41"/>
      <c r="O1217" s="35"/>
      <c r="P1217" s="42"/>
    </row>
    <row r="1218">
      <c r="A1218" s="39"/>
      <c r="B1218" s="39"/>
      <c r="C1218" s="3"/>
      <c r="D1218" s="40"/>
      <c r="E1218" s="38"/>
      <c r="F1218" s="38"/>
      <c r="G1218" s="4"/>
      <c r="H1218" s="4"/>
      <c r="I1218" s="41"/>
      <c r="J1218" s="41"/>
      <c r="K1218" s="41"/>
      <c r="L1218" s="41"/>
      <c r="M1218" s="41"/>
      <c r="N1218" s="41"/>
      <c r="O1218" s="35"/>
      <c r="P1218" s="42"/>
    </row>
    <row r="1219">
      <c r="A1219" s="39"/>
      <c r="B1219" s="39"/>
      <c r="C1219" s="3"/>
      <c r="D1219" s="40"/>
      <c r="E1219" s="38"/>
      <c r="F1219" s="38"/>
      <c r="G1219" s="4"/>
      <c r="H1219" s="4"/>
      <c r="I1219" s="41"/>
      <c r="J1219" s="41"/>
      <c r="K1219" s="41"/>
      <c r="L1219" s="41"/>
      <c r="M1219" s="41"/>
      <c r="N1219" s="41"/>
      <c r="O1219" s="35"/>
      <c r="P1219" s="42"/>
    </row>
    <row r="1220">
      <c r="A1220" s="39"/>
      <c r="B1220" s="39"/>
      <c r="C1220" s="3"/>
      <c r="D1220" s="40"/>
      <c r="E1220" s="38"/>
      <c r="F1220" s="38"/>
      <c r="G1220" s="4"/>
      <c r="H1220" s="4"/>
      <c r="I1220" s="41"/>
      <c r="J1220" s="41"/>
      <c r="K1220" s="41"/>
      <c r="L1220" s="41"/>
      <c r="M1220" s="41"/>
      <c r="N1220" s="41"/>
      <c r="O1220" s="35"/>
      <c r="P1220" s="42"/>
    </row>
    <row r="1221">
      <c r="A1221" s="39"/>
      <c r="B1221" s="39"/>
      <c r="C1221" s="3"/>
      <c r="D1221" s="40"/>
      <c r="E1221" s="38"/>
      <c r="F1221" s="38"/>
      <c r="G1221" s="4"/>
      <c r="H1221" s="4"/>
      <c r="I1221" s="41"/>
      <c r="J1221" s="41"/>
      <c r="K1221" s="41"/>
      <c r="L1221" s="41"/>
      <c r="M1221" s="41"/>
      <c r="N1221" s="41"/>
      <c r="O1221" s="35"/>
      <c r="P1221" s="42"/>
    </row>
    <row r="1222">
      <c r="A1222" s="39"/>
      <c r="B1222" s="39"/>
      <c r="C1222" s="3"/>
      <c r="D1222" s="40"/>
      <c r="E1222" s="38"/>
      <c r="F1222" s="38"/>
      <c r="G1222" s="4"/>
      <c r="H1222" s="4"/>
      <c r="I1222" s="41"/>
      <c r="J1222" s="41"/>
      <c r="K1222" s="41"/>
      <c r="L1222" s="41"/>
      <c r="M1222" s="41"/>
      <c r="N1222" s="41"/>
      <c r="O1222" s="35"/>
      <c r="P1222" s="42"/>
    </row>
    <row r="1223">
      <c r="A1223" s="39"/>
      <c r="B1223" s="39"/>
      <c r="C1223" s="3"/>
      <c r="D1223" s="40"/>
      <c r="E1223" s="38"/>
      <c r="F1223" s="38"/>
      <c r="G1223" s="4"/>
      <c r="H1223" s="4"/>
      <c r="I1223" s="41"/>
      <c r="J1223" s="41"/>
      <c r="K1223" s="41"/>
      <c r="L1223" s="41"/>
      <c r="M1223" s="41"/>
      <c r="N1223" s="41"/>
      <c r="O1223" s="35"/>
      <c r="P1223" s="42"/>
    </row>
    <row r="1224">
      <c r="A1224" s="39"/>
      <c r="B1224" s="39"/>
      <c r="C1224" s="3"/>
      <c r="D1224" s="40"/>
      <c r="E1224" s="38"/>
      <c r="F1224" s="38"/>
      <c r="G1224" s="4"/>
      <c r="H1224" s="4"/>
      <c r="I1224" s="41"/>
      <c r="J1224" s="41"/>
      <c r="K1224" s="41"/>
      <c r="L1224" s="41"/>
      <c r="M1224" s="41"/>
      <c r="N1224" s="41"/>
      <c r="O1224" s="35"/>
      <c r="P1224" s="42"/>
    </row>
    <row r="1225">
      <c r="A1225" s="39"/>
      <c r="B1225" s="39"/>
      <c r="C1225" s="3"/>
      <c r="D1225" s="40"/>
      <c r="E1225" s="38"/>
      <c r="F1225" s="38"/>
      <c r="G1225" s="4"/>
      <c r="H1225" s="4"/>
      <c r="I1225" s="41"/>
      <c r="J1225" s="41"/>
      <c r="K1225" s="41"/>
      <c r="L1225" s="41"/>
      <c r="M1225" s="41"/>
      <c r="N1225" s="41"/>
      <c r="O1225" s="35"/>
      <c r="P1225" s="42"/>
    </row>
    <row r="1226">
      <c r="A1226" s="39"/>
      <c r="B1226" s="39"/>
      <c r="C1226" s="3"/>
      <c r="D1226" s="40"/>
      <c r="E1226" s="38"/>
      <c r="F1226" s="38"/>
      <c r="G1226" s="4"/>
      <c r="H1226" s="4"/>
      <c r="I1226" s="41"/>
      <c r="J1226" s="41"/>
      <c r="K1226" s="41"/>
      <c r="L1226" s="41"/>
      <c r="M1226" s="41"/>
      <c r="N1226" s="41"/>
      <c r="O1226" s="35"/>
      <c r="P1226" s="42"/>
    </row>
    <row r="1227">
      <c r="A1227" s="39"/>
      <c r="B1227" s="39"/>
      <c r="C1227" s="3"/>
      <c r="D1227" s="40"/>
      <c r="E1227" s="38"/>
      <c r="F1227" s="38"/>
      <c r="G1227" s="4"/>
      <c r="H1227" s="4"/>
      <c r="I1227" s="41"/>
      <c r="J1227" s="41"/>
      <c r="K1227" s="41"/>
      <c r="L1227" s="41"/>
      <c r="M1227" s="41"/>
      <c r="N1227" s="41"/>
      <c r="O1227" s="35"/>
      <c r="P1227" s="42"/>
    </row>
    <row r="1228">
      <c r="A1228" s="39"/>
      <c r="B1228" s="39"/>
      <c r="C1228" s="3"/>
      <c r="D1228" s="40"/>
      <c r="E1228" s="38"/>
      <c r="F1228" s="38"/>
      <c r="G1228" s="4"/>
      <c r="H1228" s="4"/>
      <c r="I1228" s="41"/>
      <c r="J1228" s="41"/>
      <c r="K1228" s="41"/>
      <c r="L1228" s="41"/>
      <c r="M1228" s="41"/>
      <c r="N1228" s="41"/>
      <c r="O1228" s="35"/>
      <c r="P1228" s="42"/>
    </row>
    <row r="1229">
      <c r="A1229" s="39"/>
      <c r="B1229" s="39"/>
      <c r="C1229" s="3"/>
      <c r="D1229" s="40"/>
      <c r="E1229" s="38"/>
      <c r="F1229" s="38"/>
      <c r="G1229" s="4"/>
      <c r="H1229" s="4"/>
      <c r="I1229" s="41"/>
      <c r="J1229" s="41"/>
      <c r="K1229" s="41"/>
      <c r="L1229" s="41"/>
      <c r="M1229" s="41"/>
      <c r="N1229" s="41"/>
      <c r="O1229" s="35"/>
      <c r="P1229" s="42"/>
    </row>
    <row r="1230">
      <c r="A1230" s="39"/>
      <c r="B1230" s="39"/>
      <c r="C1230" s="3"/>
      <c r="D1230" s="40"/>
      <c r="E1230" s="38"/>
      <c r="F1230" s="38"/>
      <c r="G1230" s="4"/>
      <c r="H1230" s="4"/>
      <c r="I1230" s="41"/>
      <c r="J1230" s="41"/>
      <c r="K1230" s="41"/>
      <c r="L1230" s="41"/>
      <c r="M1230" s="41"/>
      <c r="N1230" s="41"/>
      <c r="O1230" s="35"/>
      <c r="P1230" s="42"/>
    </row>
    <row r="1231">
      <c r="A1231" s="39"/>
      <c r="B1231" s="39"/>
      <c r="C1231" s="3"/>
      <c r="D1231" s="40"/>
      <c r="E1231" s="38"/>
      <c r="F1231" s="38"/>
      <c r="G1231" s="4"/>
      <c r="H1231" s="4"/>
      <c r="I1231" s="41"/>
      <c r="J1231" s="41"/>
      <c r="K1231" s="41"/>
      <c r="L1231" s="41"/>
      <c r="M1231" s="41"/>
      <c r="N1231" s="41"/>
      <c r="O1231" s="35"/>
      <c r="P1231" s="42"/>
    </row>
    <row r="1232">
      <c r="A1232" s="39"/>
      <c r="B1232" s="39"/>
      <c r="C1232" s="3"/>
      <c r="D1232" s="40"/>
      <c r="E1232" s="38"/>
      <c r="F1232" s="38"/>
      <c r="G1232" s="4"/>
      <c r="H1232" s="4"/>
      <c r="I1232" s="41"/>
      <c r="J1232" s="41"/>
      <c r="K1232" s="41"/>
      <c r="L1232" s="41"/>
      <c r="M1232" s="41"/>
      <c r="N1232" s="41"/>
      <c r="O1232" s="35"/>
      <c r="P1232" s="42"/>
    </row>
    <row r="1233">
      <c r="A1233" s="39"/>
      <c r="B1233" s="39"/>
      <c r="C1233" s="3"/>
      <c r="D1233" s="40"/>
      <c r="E1233" s="38"/>
      <c r="F1233" s="38"/>
      <c r="G1233" s="4"/>
      <c r="H1233" s="4"/>
      <c r="I1233" s="41"/>
      <c r="J1233" s="41"/>
      <c r="K1233" s="41"/>
      <c r="L1233" s="41"/>
      <c r="M1233" s="41"/>
      <c r="N1233" s="41"/>
      <c r="O1233" s="35"/>
      <c r="P1233" s="42"/>
    </row>
    <row r="1234">
      <c r="A1234" s="39"/>
      <c r="B1234" s="39"/>
      <c r="C1234" s="3"/>
      <c r="D1234" s="40"/>
      <c r="E1234" s="38"/>
      <c r="F1234" s="38"/>
      <c r="G1234" s="4"/>
      <c r="H1234" s="4"/>
      <c r="I1234" s="41"/>
      <c r="J1234" s="41"/>
      <c r="K1234" s="41"/>
      <c r="L1234" s="41"/>
      <c r="M1234" s="41"/>
      <c r="N1234" s="41"/>
      <c r="O1234" s="35"/>
      <c r="P1234" s="42"/>
    </row>
    <row r="1235">
      <c r="A1235" s="39"/>
      <c r="B1235" s="39"/>
      <c r="C1235" s="3"/>
      <c r="D1235" s="40"/>
      <c r="E1235" s="38"/>
      <c r="F1235" s="38"/>
      <c r="G1235" s="4"/>
      <c r="H1235" s="4"/>
      <c r="I1235" s="41"/>
      <c r="J1235" s="41"/>
      <c r="K1235" s="41"/>
      <c r="L1235" s="41"/>
      <c r="M1235" s="41"/>
      <c r="N1235" s="41"/>
      <c r="O1235" s="35"/>
      <c r="P1235" s="42"/>
    </row>
    <row r="1236">
      <c r="A1236" s="39"/>
      <c r="B1236" s="39"/>
      <c r="C1236" s="3"/>
      <c r="D1236" s="40"/>
      <c r="E1236" s="38"/>
      <c r="F1236" s="38"/>
      <c r="G1236" s="4"/>
      <c r="H1236" s="4"/>
      <c r="I1236" s="41"/>
      <c r="J1236" s="41"/>
      <c r="K1236" s="41"/>
      <c r="L1236" s="41"/>
      <c r="M1236" s="41"/>
      <c r="N1236" s="41"/>
      <c r="O1236" s="35"/>
      <c r="P1236" s="42"/>
    </row>
    <row r="1237">
      <c r="A1237" s="39"/>
      <c r="B1237" s="39"/>
      <c r="C1237" s="3"/>
      <c r="D1237" s="40"/>
      <c r="E1237" s="38"/>
      <c r="F1237" s="38"/>
      <c r="G1237" s="4"/>
      <c r="H1237" s="4"/>
      <c r="I1237" s="41"/>
      <c r="J1237" s="41"/>
      <c r="K1237" s="41"/>
      <c r="L1237" s="41"/>
      <c r="M1237" s="41"/>
      <c r="N1237" s="41"/>
      <c r="O1237" s="35"/>
      <c r="P1237" s="42"/>
    </row>
    <row r="1238">
      <c r="A1238" s="39"/>
      <c r="B1238" s="39"/>
      <c r="C1238" s="3"/>
      <c r="D1238" s="40"/>
      <c r="E1238" s="38"/>
      <c r="F1238" s="38"/>
      <c r="G1238" s="4"/>
      <c r="H1238" s="4"/>
      <c r="I1238" s="41"/>
      <c r="J1238" s="41"/>
      <c r="K1238" s="41"/>
      <c r="L1238" s="41"/>
      <c r="M1238" s="41"/>
      <c r="N1238" s="41"/>
      <c r="O1238" s="35"/>
      <c r="P1238" s="42"/>
    </row>
    <row r="1239">
      <c r="A1239" s="39"/>
      <c r="B1239" s="39"/>
      <c r="C1239" s="3"/>
      <c r="D1239" s="40"/>
      <c r="E1239" s="38"/>
      <c r="F1239" s="38"/>
      <c r="G1239" s="4"/>
      <c r="H1239" s="4"/>
      <c r="I1239" s="41"/>
      <c r="J1239" s="41"/>
      <c r="K1239" s="41"/>
      <c r="L1239" s="41"/>
      <c r="M1239" s="41"/>
      <c r="N1239" s="41"/>
      <c r="O1239" s="35"/>
      <c r="P1239" s="42"/>
    </row>
    <row r="1240">
      <c r="A1240" s="39"/>
      <c r="B1240" s="39"/>
      <c r="C1240" s="3"/>
      <c r="D1240" s="40"/>
      <c r="E1240" s="38"/>
      <c r="F1240" s="38"/>
      <c r="G1240" s="4"/>
      <c r="H1240" s="4"/>
      <c r="I1240" s="41"/>
      <c r="J1240" s="41"/>
      <c r="K1240" s="41"/>
      <c r="L1240" s="41"/>
      <c r="M1240" s="41"/>
      <c r="N1240" s="41"/>
      <c r="O1240" s="35"/>
      <c r="P1240" s="42"/>
    </row>
    <row r="1241">
      <c r="A1241" s="39"/>
      <c r="B1241" s="39"/>
      <c r="C1241" s="3"/>
      <c r="D1241" s="40"/>
      <c r="E1241" s="38"/>
      <c r="F1241" s="38"/>
      <c r="G1241" s="4"/>
      <c r="H1241" s="4"/>
      <c r="I1241" s="41"/>
      <c r="J1241" s="41"/>
      <c r="K1241" s="41"/>
      <c r="L1241" s="41"/>
      <c r="M1241" s="41"/>
      <c r="N1241" s="41"/>
      <c r="O1241" s="35"/>
      <c r="P1241" s="42"/>
    </row>
    <row r="1242">
      <c r="A1242" s="39"/>
      <c r="B1242" s="39"/>
      <c r="C1242" s="3"/>
      <c r="D1242" s="40"/>
      <c r="E1242" s="38"/>
      <c r="F1242" s="38"/>
      <c r="G1242" s="4"/>
      <c r="H1242" s="4"/>
      <c r="I1242" s="41"/>
      <c r="J1242" s="41"/>
      <c r="K1242" s="41"/>
      <c r="L1242" s="41"/>
      <c r="M1242" s="41"/>
      <c r="N1242" s="41"/>
      <c r="O1242" s="35"/>
      <c r="P1242" s="42"/>
    </row>
    <row r="1243">
      <c r="A1243" s="39"/>
      <c r="B1243" s="39"/>
      <c r="C1243" s="3"/>
      <c r="D1243" s="40"/>
      <c r="E1243" s="38"/>
      <c r="F1243" s="38"/>
      <c r="G1243" s="4"/>
      <c r="H1243" s="4"/>
      <c r="I1243" s="41"/>
      <c r="J1243" s="41"/>
      <c r="K1243" s="41"/>
      <c r="L1243" s="41"/>
      <c r="M1243" s="41"/>
      <c r="N1243" s="41"/>
      <c r="O1243" s="35"/>
      <c r="P1243" s="42"/>
    </row>
    <row r="1244">
      <c r="A1244" s="39"/>
      <c r="B1244" s="39"/>
      <c r="C1244" s="3"/>
      <c r="D1244" s="40"/>
      <c r="E1244" s="38"/>
      <c r="F1244" s="38"/>
      <c r="G1244" s="4"/>
      <c r="H1244" s="4"/>
      <c r="I1244" s="41"/>
      <c r="J1244" s="41"/>
      <c r="K1244" s="41"/>
      <c r="L1244" s="41"/>
      <c r="M1244" s="41"/>
      <c r="N1244" s="41"/>
      <c r="O1244" s="35"/>
      <c r="P1244" s="42"/>
    </row>
    <row r="1245">
      <c r="A1245" s="39"/>
      <c r="B1245" s="39"/>
      <c r="C1245" s="3"/>
      <c r="D1245" s="40"/>
      <c r="E1245" s="38"/>
      <c r="F1245" s="38"/>
      <c r="G1245" s="4"/>
      <c r="H1245" s="4"/>
      <c r="I1245" s="41"/>
      <c r="J1245" s="41"/>
      <c r="K1245" s="41"/>
      <c r="L1245" s="41"/>
      <c r="M1245" s="41"/>
      <c r="N1245" s="41"/>
      <c r="O1245" s="35"/>
      <c r="P1245" s="42"/>
    </row>
    <row r="1246">
      <c r="A1246" s="39"/>
      <c r="B1246" s="39"/>
      <c r="C1246" s="3"/>
      <c r="D1246" s="40"/>
      <c r="E1246" s="38"/>
      <c r="F1246" s="38"/>
      <c r="G1246" s="4"/>
      <c r="H1246" s="4"/>
      <c r="I1246" s="41"/>
      <c r="J1246" s="41"/>
      <c r="K1246" s="41"/>
      <c r="L1246" s="41"/>
      <c r="M1246" s="41"/>
      <c r="N1246" s="41"/>
      <c r="O1246" s="35"/>
      <c r="P1246" s="42"/>
    </row>
    <row r="1247">
      <c r="A1247" s="39"/>
      <c r="B1247" s="39"/>
      <c r="C1247" s="3"/>
      <c r="D1247" s="40"/>
      <c r="E1247" s="38"/>
      <c r="F1247" s="38"/>
      <c r="G1247" s="4"/>
      <c r="H1247" s="4"/>
      <c r="I1247" s="41"/>
      <c r="J1247" s="41"/>
      <c r="K1247" s="41"/>
      <c r="L1247" s="41"/>
      <c r="M1247" s="41"/>
      <c r="N1247" s="41"/>
      <c r="O1247" s="35"/>
      <c r="P1247" s="42"/>
    </row>
    <row r="1248">
      <c r="A1248" s="39"/>
      <c r="B1248" s="39"/>
      <c r="C1248" s="3"/>
      <c r="D1248" s="40"/>
      <c r="E1248" s="38"/>
      <c r="F1248" s="38"/>
      <c r="G1248" s="4"/>
      <c r="H1248" s="4"/>
      <c r="I1248" s="41"/>
      <c r="J1248" s="41"/>
      <c r="K1248" s="41"/>
      <c r="L1248" s="41"/>
      <c r="M1248" s="41"/>
      <c r="N1248" s="41"/>
      <c r="O1248" s="35"/>
      <c r="P1248" s="42"/>
    </row>
    <row r="1249">
      <c r="A1249" s="39"/>
      <c r="B1249" s="39"/>
      <c r="C1249" s="3"/>
      <c r="D1249" s="40"/>
      <c r="E1249" s="38"/>
      <c r="F1249" s="38"/>
      <c r="G1249" s="4"/>
      <c r="H1249" s="4"/>
      <c r="I1249" s="41"/>
      <c r="J1249" s="41"/>
      <c r="K1249" s="41"/>
      <c r="L1249" s="41"/>
      <c r="M1249" s="41"/>
      <c r="N1249" s="41"/>
      <c r="O1249" s="35"/>
      <c r="P1249" s="42"/>
    </row>
    <row r="1250">
      <c r="A1250" s="39"/>
      <c r="B1250" s="39"/>
      <c r="C1250" s="3"/>
      <c r="D1250" s="40"/>
      <c r="E1250" s="38"/>
      <c r="F1250" s="38"/>
      <c r="G1250" s="4"/>
      <c r="H1250" s="4"/>
      <c r="I1250" s="41"/>
      <c r="J1250" s="41"/>
      <c r="K1250" s="41"/>
      <c r="L1250" s="41"/>
      <c r="M1250" s="41"/>
      <c r="N1250" s="41"/>
      <c r="O1250" s="35"/>
      <c r="P1250" s="42"/>
    </row>
    <row r="1251">
      <c r="A1251" s="39"/>
      <c r="B1251" s="39"/>
      <c r="C1251" s="3"/>
      <c r="D1251" s="40"/>
      <c r="E1251" s="38"/>
      <c r="F1251" s="38"/>
      <c r="G1251" s="4"/>
      <c r="H1251" s="4"/>
      <c r="I1251" s="41"/>
      <c r="J1251" s="41"/>
      <c r="K1251" s="41"/>
      <c r="L1251" s="41"/>
      <c r="M1251" s="41"/>
      <c r="N1251" s="41"/>
      <c r="O1251" s="35"/>
      <c r="P1251" s="42"/>
    </row>
    <row r="1252">
      <c r="A1252" s="39"/>
      <c r="B1252" s="39"/>
      <c r="C1252" s="3"/>
      <c r="D1252" s="40"/>
      <c r="E1252" s="38"/>
      <c r="F1252" s="38"/>
      <c r="G1252" s="4"/>
      <c r="H1252" s="4"/>
      <c r="I1252" s="41"/>
      <c r="J1252" s="41"/>
      <c r="K1252" s="41"/>
      <c r="L1252" s="41"/>
      <c r="M1252" s="41"/>
      <c r="N1252" s="41"/>
      <c r="O1252" s="35"/>
      <c r="P1252" s="42"/>
    </row>
    <row r="1253">
      <c r="A1253" s="39"/>
      <c r="B1253" s="39"/>
      <c r="C1253" s="3"/>
      <c r="D1253" s="40"/>
      <c r="E1253" s="38"/>
      <c r="F1253" s="38"/>
      <c r="G1253" s="4"/>
      <c r="H1253" s="4"/>
      <c r="I1253" s="41"/>
      <c r="J1253" s="41"/>
      <c r="K1253" s="41"/>
      <c r="L1253" s="41"/>
      <c r="M1253" s="41"/>
      <c r="N1253" s="41"/>
      <c r="O1253" s="35"/>
      <c r="P1253" s="42"/>
    </row>
    <row r="1254">
      <c r="A1254" s="39"/>
      <c r="B1254" s="39"/>
      <c r="C1254" s="3"/>
      <c r="D1254" s="40"/>
      <c r="E1254" s="38"/>
      <c r="F1254" s="38"/>
      <c r="G1254" s="4"/>
      <c r="H1254" s="4"/>
      <c r="I1254" s="41"/>
      <c r="J1254" s="41"/>
      <c r="K1254" s="41"/>
      <c r="L1254" s="41"/>
      <c r="M1254" s="41"/>
      <c r="N1254" s="41"/>
      <c r="O1254" s="35"/>
      <c r="P1254" s="42"/>
    </row>
    <row r="1255">
      <c r="A1255" s="39"/>
      <c r="B1255" s="39"/>
      <c r="C1255" s="3"/>
      <c r="D1255" s="40"/>
      <c r="E1255" s="38"/>
      <c r="F1255" s="38"/>
      <c r="G1255" s="4"/>
      <c r="H1255" s="4"/>
      <c r="I1255" s="41"/>
      <c r="J1255" s="41"/>
      <c r="K1255" s="41"/>
      <c r="L1255" s="41"/>
      <c r="M1255" s="41"/>
      <c r="N1255" s="41"/>
      <c r="O1255" s="35"/>
      <c r="P1255" s="42"/>
    </row>
    <row r="1256">
      <c r="A1256" s="39"/>
      <c r="B1256" s="39"/>
      <c r="C1256" s="3"/>
      <c r="D1256" s="40"/>
      <c r="E1256" s="38"/>
      <c r="F1256" s="38"/>
      <c r="G1256" s="4"/>
      <c r="H1256" s="4"/>
      <c r="I1256" s="41"/>
      <c r="J1256" s="41"/>
      <c r="K1256" s="41"/>
      <c r="L1256" s="41"/>
      <c r="M1256" s="41"/>
      <c r="N1256" s="41"/>
      <c r="O1256" s="35"/>
      <c r="P1256" s="42"/>
    </row>
    <row r="1257">
      <c r="A1257" s="39"/>
      <c r="B1257" s="39"/>
      <c r="C1257" s="3"/>
      <c r="D1257" s="40"/>
      <c r="E1257" s="38"/>
      <c r="F1257" s="38"/>
      <c r="G1257" s="4"/>
      <c r="H1257" s="4"/>
      <c r="I1257" s="41"/>
      <c r="J1257" s="41"/>
      <c r="K1257" s="41"/>
      <c r="L1257" s="41"/>
      <c r="M1257" s="41"/>
      <c r="N1257" s="41"/>
      <c r="O1257" s="35"/>
      <c r="P1257" s="42"/>
    </row>
    <row r="1258">
      <c r="A1258" s="39"/>
      <c r="B1258" s="39"/>
      <c r="C1258" s="3"/>
      <c r="D1258" s="40"/>
      <c r="E1258" s="38"/>
      <c r="F1258" s="38"/>
      <c r="G1258" s="4"/>
      <c r="H1258" s="4"/>
      <c r="I1258" s="41"/>
      <c r="J1258" s="41"/>
      <c r="K1258" s="41"/>
      <c r="L1258" s="41"/>
      <c r="M1258" s="41"/>
      <c r="N1258" s="41"/>
      <c r="O1258" s="35"/>
      <c r="P1258" s="42"/>
    </row>
    <row r="1259">
      <c r="A1259" s="39"/>
      <c r="B1259" s="39"/>
      <c r="C1259" s="3"/>
      <c r="D1259" s="40"/>
      <c r="E1259" s="38"/>
      <c r="F1259" s="38"/>
      <c r="G1259" s="4"/>
      <c r="H1259" s="4"/>
      <c r="I1259" s="41"/>
      <c r="J1259" s="41"/>
      <c r="K1259" s="41"/>
      <c r="L1259" s="41"/>
      <c r="M1259" s="41"/>
      <c r="N1259" s="41"/>
      <c r="O1259" s="35"/>
      <c r="P1259" s="42"/>
    </row>
    <row r="1260">
      <c r="A1260" s="39"/>
      <c r="B1260" s="39"/>
      <c r="C1260" s="3"/>
      <c r="D1260" s="40"/>
      <c r="E1260" s="38"/>
      <c r="F1260" s="38"/>
      <c r="G1260" s="4"/>
      <c r="H1260" s="4"/>
      <c r="I1260" s="41"/>
      <c r="J1260" s="41"/>
      <c r="K1260" s="41"/>
      <c r="L1260" s="41"/>
      <c r="M1260" s="41"/>
      <c r="N1260" s="41"/>
      <c r="O1260" s="35"/>
      <c r="P1260" s="42"/>
    </row>
    <row r="1261">
      <c r="A1261" s="39"/>
      <c r="B1261" s="39"/>
      <c r="C1261" s="3"/>
      <c r="D1261" s="40"/>
      <c r="E1261" s="38"/>
      <c r="F1261" s="38"/>
      <c r="G1261" s="4"/>
      <c r="H1261" s="4"/>
      <c r="I1261" s="41"/>
      <c r="J1261" s="41"/>
      <c r="K1261" s="41"/>
      <c r="L1261" s="41"/>
      <c r="M1261" s="41"/>
      <c r="N1261" s="41"/>
      <c r="O1261" s="35"/>
      <c r="P1261" s="42"/>
    </row>
    <row r="1262">
      <c r="A1262" s="39"/>
      <c r="B1262" s="39"/>
      <c r="C1262" s="3"/>
      <c r="D1262" s="40"/>
      <c r="E1262" s="38"/>
      <c r="F1262" s="38"/>
      <c r="G1262" s="4"/>
      <c r="H1262" s="4"/>
      <c r="I1262" s="41"/>
      <c r="J1262" s="41"/>
      <c r="K1262" s="41"/>
      <c r="L1262" s="41"/>
      <c r="M1262" s="41"/>
      <c r="N1262" s="41"/>
      <c r="O1262" s="35"/>
      <c r="P1262" s="42"/>
    </row>
    <row r="1263">
      <c r="A1263" s="39"/>
      <c r="B1263" s="39"/>
      <c r="C1263" s="3"/>
      <c r="D1263" s="40"/>
      <c r="E1263" s="38"/>
      <c r="F1263" s="38"/>
      <c r="G1263" s="4"/>
      <c r="H1263" s="4"/>
      <c r="I1263" s="41"/>
      <c r="J1263" s="41"/>
      <c r="K1263" s="41"/>
      <c r="L1263" s="41"/>
      <c r="M1263" s="41"/>
      <c r="N1263" s="41"/>
      <c r="O1263" s="35"/>
      <c r="P1263" s="42"/>
    </row>
    <row r="1264">
      <c r="A1264" s="39"/>
      <c r="B1264" s="39"/>
      <c r="C1264" s="3"/>
      <c r="D1264" s="40"/>
      <c r="E1264" s="38"/>
      <c r="F1264" s="38"/>
      <c r="G1264" s="4"/>
      <c r="H1264" s="4"/>
      <c r="I1264" s="41"/>
      <c r="J1264" s="41"/>
      <c r="K1264" s="41"/>
      <c r="L1264" s="41"/>
      <c r="M1264" s="41"/>
      <c r="N1264" s="41"/>
      <c r="O1264" s="35"/>
      <c r="P1264" s="42"/>
    </row>
    <row r="1265">
      <c r="A1265" s="39"/>
      <c r="B1265" s="39"/>
      <c r="C1265" s="3"/>
      <c r="D1265" s="40"/>
      <c r="E1265" s="38"/>
      <c r="F1265" s="38"/>
      <c r="G1265" s="4"/>
      <c r="H1265" s="4"/>
      <c r="I1265" s="41"/>
      <c r="J1265" s="41"/>
      <c r="K1265" s="41"/>
      <c r="L1265" s="41"/>
      <c r="M1265" s="41"/>
      <c r="N1265" s="41"/>
      <c r="O1265" s="35"/>
      <c r="P1265" s="42"/>
    </row>
    <row r="1266">
      <c r="A1266" s="39"/>
      <c r="B1266" s="39"/>
      <c r="C1266" s="3"/>
      <c r="D1266" s="40"/>
      <c r="E1266" s="38"/>
      <c r="F1266" s="38"/>
      <c r="G1266" s="4"/>
      <c r="H1266" s="4"/>
      <c r="I1266" s="41"/>
      <c r="J1266" s="41"/>
      <c r="K1266" s="41"/>
      <c r="L1266" s="41"/>
      <c r="M1266" s="41"/>
      <c r="N1266" s="41"/>
      <c r="O1266" s="35"/>
      <c r="P1266" s="42"/>
    </row>
    <row r="1267">
      <c r="A1267" s="39"/>
      <c r="B1267" s="39"/>
      <c r="C1267" s="3"/>
      <c r="D1267" s="40"/>
      <c r="E1267" s="38"/>
      <c r="F1267" s="38"/>
      <c r="G1267" s="4"/>
      <c r="H1267" s="4"/>
      <c r="I1267" s="41"/>
      <c r="J1267" s="41"/>
      <c r="K1267" s="41"/>
      <c r="L1267" s="41"/>
      <c r="M1267" s="41"/>
      <c r="N1267" s="41"/>
      <c r="O1267" s="35"/>
      <c r="P1267" s="42"/>
    </row>
    <row r="1268">
      <c r="A1268" s="39"/>
      <c r="B1268" s="39"/>
      <c r="C1268" s="3"/>
      <c r="D1268" s="40"/>
      <c r="E1268" s="38"/>
      <c r="F1268" s="38"/>
      <c r="G1268" s="4"/>
      <c r="H1268" s="4"/>
      <c r="I1268" s="41"/>
      <c r="J1268" s="41"/>
      <c r="K1268" s="41"/>
      <c r="L1268" s="41"/>
      <c r="M1268" s="41"/>
      <c r="N1268" s="41"/>
      <c r="O1268" s="35"/>
      <c r="P1268" s="42"/>
    </row>
    <row r="1269">
      <c r="A1269" s="39"/>
      <c r="B1269" s="39"/>
      <c r="C1269" s="3"/>
      <c r="D1269" s="40"/>
      <c r="E1269" s="38"/>
      <c r="F1269" s="38"/>
      <c r="G1269" s="4"/>
      <c r="H1269" s="4"/>
      <c r="I1269" s="41"/>
      <c r="J1269" s="41"/>
      <c r="K1269" s="41"/>
      <c r="L1269" s="41"/>
      <c r="M1269" s="41"/>
      <c r="N1269" s="41"/>
      <c r="O1269" s="35"/>
      <c r="P1269" s="42"/>
    </row>
    <row r="1270">
      <c r="A1270" s="39"/>
      <c r="B1270" s="39"/>
      <c r="C1270" s="3"/>
      <c r="D1270" s="40"/>
      <c r="E1270" s="38"/>
      <c r="F1270" s="38"/>
      <c r="G1270" s="4"/>
      <c r="H1270" s="4"/>
      <c r="I1270" s="41"/>
      <c r="J1270" s="41"/>
      <c r="K1270" s="41"/>
      <c r="L1270" s="41"/>
      <c r="M1270" s="41"/>
      <c r="N1270" s="41"/>
      <c r="O1270" s="35"/>
      <c r="P1270" s="42"/>
    </row>
    <row r="1271">
      <c r="A1271" s="39"/>
      <c r="B1271" s="39"/>
      <c r="C1271" s="3"/>
      <c r="D1271" s="40"/>
      <c r="E1271" s="38"/>
      <c r="F1271" s="38"/>
      <c r="G1271" s="4"/>
      <c r="H1271" s="4"/>
      <c r="I1271" s="41"/>
      <c r="J1271" s="41"/>
      <c r="K1271" s="41"/>
      <c r="L1271" s="41"/>
      <c r="M1271" s="41"/>
      <c r="N1271" s="41"/>
      <c r="O1271" s="35"/>
      <c r="P1271" s="42"/>
    </row>
    <row r="1272">
      <c r="A1272" s="39"/>
      <c r="B1272" s="39"/>
      <c r="C1272" s="3"/>
      <c r="D1272" s="40"/>
      <c r="E1272" s="38"/>
      <c r="F1272" s="38"/>
      <c r="G1272" s="4"/>
      <c r="H1272" s="4"/>
      <c r="I1272" s="41"/>
      <c r="J1272" s="41"/>
      <c r="K1272" s="41"/>
      <c r="L1272" s="41"/>
      <c r="M1272" s="41"/>
      <c r="N1272" s="41"/>
      <c r="O1272" s="35"/>
      <c r="P1272" s="42"/>
    </row>
    <row r="1273">
      <c r="A1273" s="39"/>
      <c r="B1273" s="39"/>
      <c r="C1273" s="3"/>
      <c r="D1273" s="40"/>
      <c r="E1273" s="38"/>
      <c r="F1273" s="38"/>
      <c r="G1273" s="4"/>
      <c r="H1273" s="4"/>
      <c r="I1273" s="41"/>
      <c r="J1273" s="41"/>
      <c r="K1273" s="41"/>
      <c r="L1273" s="41"/>
      <c r="M1273" s="41"/>
      <c r="N1273" s="41"/>
      <c r="O1273" s="35"/>
      <c r="P1273" s="42"/>
    </row>
    <row r="1274">
      <c r="A1274" s="39"/>
      <c r="B1274" s="39"/>
      <c r="C1274" s="3"/>
      <c r="D1274" s="40"/>
      <c r="E1274" s="38"/>
      <c r="F1274" s="38"/>
      <c r="G1274" s="4"/>
      <c r="H1274" s="4"/>
      <c r="I1274" s="41"/>
      <c r="J1274" s="41"/>
      <c r="K1274" s="41"/>
      <c r="L1274" s="41"/>
      <c r="M1274" s="41"/>
      <c r="N1274" s="41"/>
      <c r="O1274" s="35"/>
      <c r="P1274" s="42"/>
    </row>
    <row r="1275">
      <c r="A1275" s="39"/>
      <c r="B1275" s="39"/>
      <c r="C1275" s="3"/>
      <c r="D1275" s="40"/>
      <c r="E1275" s="38"/>
      <c r="F1275" s="38"/>
      <c r="G1275" s="4"/>
      <c r="H1275" s="4"/>
      <c r="I1275" s="41"/>
      <c r="J1275" s="41"/>
      <c r="K1275" s="41"/>
      <c r="L1275" s="41"/>
      <c r="M1275" s="41"/>
      <c r="N1275" s="41"/>
      <c r="O1275" s="35"/>
      <c r="P1275" s="42"/>
    </row>
    <row r="1276">
      <c r="A1276" s="39"/>
      <c r="B1276" s="39"/>
      <c r="C1276" s="3"/>
      <c r="D1276" s="40"/>
      <c r="E1276" s="38"/>
      <c r="F1276" s="38"/>
      <c r="G1276" s="4"/>
      <c r="H1276" s="4"/>
      <c r="I1276" s="41"/>
      <c r="J1276" s="41"/>
      <c r="K1276" s="41"/>
      <c r="L1276" s="41"/>
      <c r="M1276" s="41"/>
      <c r="N1276" s="41"/>
      <c r="O1276" s="35"/>
      <c r="P1276" s="42"/>
    </row>
    <row r="1277">
      <c r="A1277" s="39"/>
      <c r="B1277" s="39"/>
      <c r="C1277" s="3"/>
      <c r="D1277" s="40"/>
      <c r="E1277" s="38"/>
      <c r="F1277" s="38"/>
      <c r="G1277" s="4"/>
      <c r="H1277" s="4"/>
      <c r="I1277" s="41"/>
      <c r="J1277" s="41"/>
      <c r="K1277" s="41"/>
      <c r="L1277" s="41"/>
      <c r="M1277" s="41"/>
      <c r="N1277" s="41"/>
      <c r="O1277" s="35"/>
      <c r="P1277" s="42"/>
    </row>
    <row r="1278">
      <c r="A1278" s="39"/>
      <c r="B1278" s="39"/>
      <c r="C1278" s="3"/>
      <c r="D1278" s="40"/>
      <c r="E1278" s="38"/>
      <c r="F1278" s="38"/>
      <c r="G1278" s="4"/>
      <c r="H1278" s="4"/>
      <c r="I1278" s="41"/>
      <c r="J1278" s="41"/>
      <c r="K1278" s="41"/>
      <c r="L1278" s="41"/>
      <c r="M1278" s="41"/>
      <c r="N1278" s="41"/>
      <c r="O1278" s="35"/>
      <c r="P1278" s="42"/>
    </row>
    <row r="1279">
      <c r="A1279" s="39"/>
      <c r="B1279" s="39"/>
      <c r="C1279" s="3"/>
      <c r="D1279" s="40"/>
      <c r="E1279" s="38"/>
      <c r="F1279" s="38"/>
      <c r="G1279" s="4"/>
      <c r="H1279" s="4"/>
      <c r="I1279" s="41"/>
      <c r="J1279" s="41"/>
      <c r="K1279" s="41"/>
      <c r="L1279" s="41"/>
      <c r="M1279" s="41"/>
      <c r="N1279" s="41"/>
      <c r="O1279" s="35"/>
      <c r="P1279" s="42"/>
    </row>
    <row r="1280">
      <c r="A1280" s="39"/>
      <c r="B1280" s="39"/>
      <c r="C1280" s="3"/>
      <c r="D1280" s="40"/>
      <c r="E1280" s="38"/>
      <c r="F1280" s="38"/>
      <c r="G1280" s="4"/>
      <c r="H1280" s="4"/>
      <c r="I1280" s="41"/>
      <c r="J1280" s="41"/>
      <c r="K1280" s="41"/>
      <c r="L1280" s="41"/>
      <c r="M1280" s="41"/>
      <c r="N1280" s="41"/>
      <c r="O1280" s="35"/>
      <c r="P1280" s="42"/>
    </row>
    <row r="1281">
      <c r="A1281" s="39"/>
      <c r="B1281" s="39"/>
      <c r="C1281" s="3"/>
      <c r="D1281" s="40"/>
      <c r="E1281" s="38"/>
      <c r="F1281" s="38"/>
      <c r="G1281" s="4"/>
      <c r="H1281" s="4"/>
      <c r="I1281" s="41"/>
      <c r="J1281" s="41"/>
      <c r="K1281" s="41"/>
      <c r="L1281" s="41"/>
      <c r="M1281" s="41"/>
      <c r="N1281" s="41"/>
      <c r="O1281" s="35"/>
      <c r="P1281" s="42"/>
    </row>
    <row r="1282">
      <c r="A1282" s="39"/>
      <c r="B1282" s="39"/>
      <c r="C1282" s="3"/>
      <c r="D1282" s="40"/>
      <c r="E1282" s="38"/>
      <c r="F1282" s="38"/>
      <c r="G1282" s="4"/>
      <c r="H1282" s="4"/>
      <c r="I1282" s="41"/>
      <c r="J1282" s="41"/>
      <c r="K1282" s="41"/>
      <c r="L1282" s="41"/>
      <c r="M1282" s="41"/>
      <c r="N1282" s="41"/>
      <c r="O1282" s="35"/>
      <c r="P1282" s="42"/>
    </row>
    <row r="1283">
      <c r="A1283" s="39"/>
      <c r="B1283" s="39"/>
      <c r="C1283" s="3"/>
      <c r="D1283" s="40"/>
      <c r="E1283" s="38"/>
      <c r="F1283" s="38"/>
      <c r="G1283" s="4"/>
      <c r="H1283" s="4"/>
      <c r="I1283" s="41"/>
      <c r="J1283" s="41"/>
      <c r="K1283" s="41"/>
      <c r="L1283" s="41"/>
      <c r="M1283" s="41"/>
      <c r="N1283" s="41"/>
      <c r="O1283" s="35"/>
      <c r="P1283" s="42"/>
    </row>
    <row r="1284">
      <c r="A1284" s="39"/>
      <c r="B1284" s="39"/>
      <c r="C1284" s="3"/>
      <c r="D1284" s="40"/>
      <c r="E1284" s="38"/>
      <c r="F1284" s="38"/>
      <c r="G1284" s="4"/>
      <c r="H1284" s="4"/>
      <c r="I1284" s="41"/>
      <c r="J1284" s="41"/>
      <c r="K1284" s="41"/>
      <c r="L1284" s="41"/>
      <c r="M1284" s="41"/>
      <c r="N1284" s="41"/>
      <c r="O1284" s="35"/>
      <c r="P1284" s="42"/>
    </row>
    <row r="1285">
      <c r="A1285" s="39"/>
      <c r="B1285" s="39"/>
      <c r="C1285" s="3"/>
      <c r="D1285" s="40"/>
      <c r="E1285" s="38"/>
      <c r="F1285" s="38"/>
      <c r="G1285" s="4"/>
      <c r="H1285" s="4"/>
      <c r="I1285" s="41"/>
      <c r="J1285" s="41"/>
      <c r="K1285" s="41"/>
      <c r="L1285" s="41"/>
      <c r="M1285" s="41"/>
      <c r="N1285" s="41"/>
      <c r="O1285" s="35"/>
      <c r="P1285" s="42"/>
    </row>
    <row r="1286">
      <c r="A1286" s="39"/>
      <c r="B1286" s="39"/>
      <c r="C1286" s="3"/>
      <c r="D1286" s="40"/>
      <c r="E1286" s="38"/>
      <c r="F1286" s="38"/>
      <c r="G1286" s="4"/>
      <c r="H1286" s="4"/>
      <c r="I1286" s="41"/>
      <c r="J1286" s="41"/>
      <c r="K1286" s="41"/>
      <c r="L1286" s="41"/>
      <c r="M1286" s="41"/>
      <c r="N1286" s="41"/>
      <c r="O1286" s="35"/>
      <c r="P1286" s="42"/>
    </row>
    <row r="1287">
      <c r="A1287" s="39"/>
      <c r="B1287" s="39"/>
      <c r="C1287" s="3"/>
      <c r="D1287" s="40"/>
      <c r="E1287" s="38"/>
      <c r="F1287" s="38"/>
      <c r="G1287" s="4"/>
      <c r="H1287" s="4"/>
      <c r="I1287" s="41"/>
      <c r="J1287" s="41"/>
      <c r="K1287" s="41"/>
      <c r="L1287" s="41"/>
      <c r="M1287" s="41"/>
      <c r="N1287" s="41"/>
      <c r="O1287" s="35"/>
      <c r="P1287" s="42"/>
    </row>
    <row r="1288">
      <c r="A1288" s="39"/>
      <c r="B1288" s="39"/>
      <c r="C1288" s="3"/>
      <c r="D1288" s="40"/>
      <c r="E1288" s="38"/>
      <c r="F1288" s="38"/>
      <c r="G1288" s="4"/>
      <c r="H1288" s="4"/>
      <c r="I1288" s="41"/>
      <c r="J1288" s="41"/>
      <c r="K1288" s="41"/>
      <c r="L1288" s="41"/>
      <c r="M1288" s="41"/>
      <c r="N1288" s="41"/>
      <c r="O1288" s="35"/>
      <c r="P1288" s="42"/>
    </row>
    <row r="1289">
      <c r="A1289" s="39"/>
      <c r="B1289" s="39"/>
      <c r="C1289" s="3"/>
      <c r="D1289" s="40"/>
      <c r="E1289" s="38"/>
      <c r="F1289" s="38"/>
      <c r="G1289" s="4"/>
      <c r="H1289" s="4"/>
      <c r="I1289" s="41"/>
      <c r="J1289" s="41"/>
      <c r="K1289" s="41"/>
      <c r="L1289" s="41"/>
      <c r="M1289" s="41"/>
      <c r="N1289" s="41"/>
      <c r="O1289" s="35"/>
      <c r="P1289" s="42"/>
    </row>
    <row r="1290">
      <c r="A1290" s="39"/>
      <c r="B1290" s="39"/>
      <c r="C1290" s="3"/>
      <c r="D1290" s="40"/>
      <c r="E1290" s="38"/>
      <c r="F1290" s="38"/>
      <c r="G1290" s="4"/>
      <c r="H1290" s="4"/>
      <c r="I1290" s="41"/>
      <c r="J1290" s="41"/>
      <c r="K1290" s="41"/>
      <c r="L1290" s="41"/>
      <c r="M1290" s="41"/>
      <c r="N1290" s="41"/>
      <c r="O1290" s="35"/>
      <c r="P1290" s="42"/>
    </row>
    <row r="1291">
      <c r="A1291" s="39"/>
      <c r="B1291" s="39"/>
      <c r="C1291" s="3"/>
      <c r="D1291" s="40"/>
      <c r="E1291" s="38"/>
      <c r="F1291" s="38"/>
      <c r="G1291" s="4"/>
      <c r="H1291" s="4"/>
      <c r="I1291" s="41"/>
      <c r="J1291" s="41"/>
      <c r="K1291" s="41"/>
      <c r="L1291" s="41"/>
      <c r="M1291" s="41"/>
      <c r="N1291" s="41"/>
      <c r="O1291" s="35"/>
      <c r="P1291" s="42"/>
    </row>
    <row r="1292">
      <c r="A1292" s="39"/>
      <c r="B1292" s="39"/>
      <c r="C1292" s="3"/>
      <c r="D1292" s="40"/>
      <c r="E1292" s="38"/>
      <c r="F1292" s="38"/>
      <c r="G1292" s="4"/>
      <c r="H1292" s="4"/>
      <c r="I1292" s="41"/>
      <c r="J1292" s="41"/>
      <c r="K1292" s="41"/>
      <c r="L1292" s="41"/>
      <c r="M1292" s="41"/>
      <c r="N1292" s="41"/>
      <c r="O1292" s="35"/>
      <c r="P1292" s="42"/>
    </row>
    <row r="1293">
      <c r="A1293" s="39"/>
      <c r="B1293" s="39"/>
      <c r="C1293" s="3"/>
      <c r="D1293" s="40"/>
      <c r="E1293" s="38"/>
      <c r="F1293" s="38"/>
      <c r="G1293" s="4"/>
      <c r="H1293" s="4"/>
      <c r="I1293" s="41"/>
      <c r="J1293" s="41"/>
      <c r="K1293" s="41"/>
      <c r="L1293" s="41"/>
      <c r="M1293" s="41"/>
      <c r="N1293" s="41"/>
      <c r="O1293" s="35"/>
      <c r="P1293" s="42"/>
    </row>
    <row r="1294">
      <c r="A1294" s="39"/>
      <c r="B1294" s="39"/>
      <c r="C1294" s="3"/>
      <c r="D1294" s="40"/>
      <c r="E1294" s="38"/>
      <c r="F1294" s="38"/>
      <c r="G1294" s="4"/>
      <c r="H1294" s="4"/>
      <c r="I1294" s="41"/>
      <c r="J1294" s="41"/>
      <c r="K1294" s="41"/>
      <c r="L1294" s="41"/>
      <c r="M1294" s="41"/>
      <c r="N1294" s="41"/>
      <c r="O1294" s="35"/>
      <c r="P1294" s="42"/>
    </row>
    <row r="1295">
      <c r="A1295" s="39"/>
      <c r="B1295" s="39"/>
      <c r="C1295" s="3"/>
      <c r="D1295" s="40"/>
      <c r="E1295" s="38"/>
      <c r="F1295" s="38"/>
      <c r="G1295" s="4"/>
      <c r="H1295" s="4"/>
      <c r="I1295" s="41"/>
      <c r="J1295" s="41"/>
      <c r="K1295" s="41"/>
      <c r="L1295" s="41"/>
      <c r="M1295" s="41"/>
      <c r="N1295" s="41"/>
      <c r="O1295" s="35"/>
      <c r="P1295" s="42"/>
    </row>
    <row r="1296">
      <c r="A1296" s="39"/>
      <c r="B1296" s="39"/>
      <c r="C1296" s="3"/>
      <c r="D1296" s="40"/>
      <c r="E1296" s="38"/>
      <c r="F1296" s="38"/>
      <c r="G1296" s="4"/>
      <c r="H1296" s="4"/>
      <c r="I1296" s="41"/>
      <c r="J1296" s="41"/>
      <c r="K1296" s="41"/>
      <c r="L1296" s="41"/>
      <c r="M1296" s="41"/>
      <c r="N1296" s="41"/>
      <c r="O1296" s="35"/>
      <c r="P1296" s="42"/>
    </row>
    <row r="1297">
      <c r="A1297" s="39"/>
      <c r="B1297" s="39"/>
      <c r="C1297" s="3"/>
      <c r="D1297" s="40"/>
      <c r="E1297" s="38"/>
      <c r="F1297" s="38"/>
      <c r="G1297" s="4"/>
      <c r="H1297" s="4"/>
      <c r="I1297" s="41"/>
      <c r="J1297" s="41"/>
      <c r="K1297" s="41"/>
      <c r="L1297" s="41"/>
      <c r="M1297" s="41"/>
      <c r="N1297" s="41"/>
      <c r="O1297" s="35"/>
      <c r="P1297" s="42"/>
    </row>
    <row r="1298">
      <c r="A1298" s="39"/>
      <c r="B1298" s="39"/>
      <c r="C1298" s="3"/>
      <c r="D1298" s="40"/>
      <c r="E1298" s="38"/>
      <c r="F1298" s="38"/>
      <c r="G1298" s="4"/>
      <c r="H1298" s="4"/>
      <c r="I1298" s="41"/>
      <c r="J1298" s="41"/>
      <c r="K1298" s="41"/>
      <c r="L1298" s="41"/>
      <c r="M1298" s="41"/>
      <c r="N1298" s="41"/>
      <c r="O1298" s="35"/>
      <c r="P1298" s="42"/>
    </row>
    <row r="1299">
      <c r="A1299" s="39"/>
      <c r="B1299" s="39"/>
      <c r="C1299" s="3"/>
      <c r="D1299" s="40"/>
      <c r="E1299" s="38"/>
      <c r="F1299" s="38"/>
      <c r="G1299" s="4"/>
      <c r="H1299" s="4"/>
      <c r="I1299" s="41"/>
      <c r="J1299" s="41"/>
      <c r="K1299" s="41"/>
      <c r="L1299" s="41"/>
      <c r="M1299" s="41"/>
      <c r="N1299" s="41"/>
      <c r="O1299" s="35"/>
      <c r="P1299" s="42"/>
    </row>
    <row r="1300">
      <c r="A1300" s="39"/>
      <c r="B1300" s="39"/>
      <c r="C1300" s="3"/>
      <c r="D1300" s="40"/>
      <c r="E1300" s="38"/>
      <c r="F1300" s="38"/>
      <c r="G1300" s="4"/>
      <c r="H1300" s="4"/>
      <c r="I1300" s="41"/>
      <c r="J1300" s="41"/>
      <c r="K1300" s="41"/>
      <c r="L1300" s="41"/>
      <c r="M1300" s="41"/>
      <c r="N1300" s="41"/>
      <c r="O1300" s="35"/>
      <c r="P1300" s="42"/>
    </row>
    <row r="1301">
      <c r="A1301" s="39"/>
      <c r="B1301" s="39"/>
      <c r="C1301" s="3"/>
      <c r="D1301" s="40"/>
      <c r="E1301" s="38"/>
      <c r="F1301" s="38"/>
      <c r="G1301" s="4"/>
      <c r="H1301" s="4"/>
      <c r="I1301" s="41"/>
      <c r="J1301" s="41"/>
      <c r="K1301" s="41"/>
      <c r="L1301" s="41"/>
      <c r="M1301" s="41"/>
      <c r="N1301" s="41"/>
      <c r="O1301" s="35"/>
      <c r="P1301" s="42"/>
    </row>
    <row r="1302">
      <c r="A1302" s="39"/>
      <c r="B1302" s="39"/>
      <c r="C1302" s="3"/>
      <c r="D1302" s="40"/>
      <c r="E1302" s="38"/>
      <c r="F1302" s="38"/>
      <c r="G1302" s="4"/>
      <c r="H1302" s="4"/>
      <c r="I1302" s="41"/>
      <c r="J1302" s="41"/>
      <c r="K1302" s="41"/>
      <c r="L1302" s="41"/>
      <c r="M1302" s="41"/>
      <c r="N1302" s="41"/>
      <c r="O1302" s="35"/>
      <c r="P1302" s="42"/>
    </row>
    <row r="1303">
      <c r="A1303" s="39"/>
      <c r="B1303" s="39"/>
      <c r="C1303" s="3"/>
      <c r="D1303" s="40"/>
      <c r="E1303" s="38"/>
      <c r="F1303" s="38"/>
      <c r="G1303" s="4"/>
      <c r="H1303" s="4"/>
      <c r="I1303" s="41"/>
      <c r="J1303" s="41"/>
      <c r="K1303" s="41"/>
      <c r="L1303" s="41"/>
      <c r="M1303" s="41"/>
      <c r="N1303" s="41"/>
      <c r="O1303" s="35"/>
      <c r="P1303" s="42"/>
    </row>
    <row r="1304">
      <c r="A1304" s="39"/>
      <c r="B1304" s="39"/>
      <c r="C1304" s="3"/>
      <c r="D1304" s="40"/>
      <c r="E1304" s="38"/>
      <c r="F1304" s="38"/>
      <c r="G1304" s="4"/>
      <c r="H1304" s="4"/>
      <c r="I1304" s="41"/>
      <c r="J1304" s="41"/>
      <c r="K1304" s="41"/>
      <c r="L1304" s="41"/>
      <c r="M1304" s="41"/>
      <c r="N1304" s="41"/>
      <c r="O1304" s="35"/>
      <c r="P1304" s="42"/>
    </row>
    <row r="1305">
      <c r="A1305" s="39"/>
      <c r="B1305" s="39"/>
      <c r="C1305" s="3"/>
      <c r="D1305" s="40"/>
      <c r="E1305" s="38"/>
      <c r="F1305" s="38"/>
      <c r="G1305" s="4"/>
      <c r="H1305" s="4"/>
      <c r="I1305" s="41"/>
      <c r="J1305" s="41"/>
      <c r="K1305" s="41"/>
      <c r="L1305" s="41"/>
      <c r="M1305" s="41"/>
      <c r="N1305" s="41"/>
      <c r="O1305" s="35"/>
      <c r="P1305" s="42"/>
    </row>
    <row r="1306">
      <c r="A1306" s="39"/>
      <c r="B1306" s="39"/>
      <c r="C1306" s="3"/>
      <c r="D1306" s="40"/>
      <c r="E1306" s="38"/>
      <c r="F1306" s="38"/>
      <c r="G1306" s="4"/>
      <c r="H1306" s="4"/>
      <c r="I1306" s="41"/>
      <c r="J1306" s="41"/>
      <c r="K1306" s="41"/>
      <c r="L1306" s="41"/>
      <c r="M1306" s="41"/>
      <c r="N1306" s="41"/>
      <c r="O1306" s="35"/>
      <c r="P1306" s="42"/>
    </row>
    <row r="1307">
      <c r="A1307" s="39"/>
      <c r="B1307" s="39"/>
      <c r="C1307" s="3"/>
      <c r="D1307" s="40"/>
      <c r="E1307" s="38"/>
      <c r="F1307" s="38"/>
      <c r="G1307" s="4"/>
      <c r="H1307" s="4"/>
      <c r="I1307" s="41"/>
      <c r="J1307" s="41"/>
      <c r="K1307" s="41"/>
      <c r="L1307" s="41"/>
      <c r="M1307" s="41"/>
      <c r="N1307" s="41"/>
      <c r="O1307" s="35"/>
      <c r="P1307" s="42"/>
    </row>
    <row r="1308">
      <c r="A1308" s="39"/>
      <c r="B1308" s="39"/>
      <c r="C1308" s="3"/>
      <c r="D1308" s="40"/>
      <c r="E1308" s="38"/>
      <c r="F1308" s="38"/>
      <c r="G1308" s="4"/>
      <c r="H1308" s="4"/>
      <c r="I1308" s="41"/>
      <c r="J1308" s="41"/>
      <c r="K1308" s="41"/>
      <c r="L1308" s="41"/>
      <c r="M1308" s="41"/>
      <c r="N1308" s="41"/>
      <c r="O1308" s="35"/>
      <c r="P1308" s="42"/>
    </row>
    <row r="1309">
      <c r="A1309" s="39"/>
      <c r="B1309" s="39"/>
      <c r="C1309" s="3"/>
      <c r="D1309" s="40"/>
      <c r="E1309" s="38"/>
      <c r="F1309" s="38"/>
      <c r="G1309" s="4"/>
      <c r="H1309" s="4"/>
      <c r="I1309" s="41"/>
      <c r="J1309" s="41"/>
      <c r="K1309" s="41"/>
      <c r="L1309" s="41"/>
      <c r="M1309" s="41"/>
      <c r="N1309" s="41"/>
      <c r="O1309" s="35"/>
      <c r="P1309" s="42"/>
    </row>
    <row r="1310">
      <c r="A1310" s="39"/>
      <c r="B1310" s="39"/>
      <c r="C1310" s="3"/>
      <c r="D1310" s="40"/>
      <c r="E1310" s="38"/>
      <c r="F1310" s="38"/>
      <c r="G1310" s="4"/>
      <c r="H1310" s="4"/>
      <c r="I1310" s="41"/>
      <c r="J1310" s="41"/>
      <c r="K1310" s="41"/>
      <c r="L1310" s="41"/>
      <c r="M1310" s="41"/>
      <c r="N1310" s="41"/>
      <c r="O1310" s="35"/>
      <c r="P1310" s="42"/>
    </row>
    <row r="1311">
      <c r="A1311" s="39"/>
      <c r="B1311" s="39"/>
      <c r="C1311" s="3"/>
      <c r="D1311" s="40"/>
      <c r="E1311" s="38"/>
      <c r="F1311" s="38"/>
      <c r="G1311" s="4"/>
      <c r="H1311" s="4"/>
      <c r="I1311" s="41"/>
      <c r="J1311" s="41"/>
      <c r="K1311" s="41"/>
      <c r="L1311" s="41"/>
      <c r="M1311" s="41"/>
      <c r="N1311" s="41"/>
      <c r="O1311" s="35"/>
      <c r="P1311" s="42"/>
    </row>
    <row r="1312">
      <c r="A1312" s="39"/>
      <c r="B1312" s="39"/>
      <c r="C1312" s="3"/>
      <c r="D1312" s="40"/>
      <c r="E1312" s="38"/>
      <c r="F1312" s="38"/>
      <c r="G1312" s="4"/>
      <c r="H1312" s="4"/>
      <c r="I1312" s="41"/>
      <c r="J1312" s="41"/>
      <c r="K1312" s="41"/>
      <c r="L1312" s="41"/>
      <c r="M1312" s="41"/>
      <c r="N1312" s="41"/>
      <c r="O1312" s="35"/>
      <c r="P1312" s="42"/>
    </row>
    <row r="1313">
      <c r="A1313" s="39"/>
      <c r="B1313" s="39"/>
      <c r="C1313" s="3"/>
      <c r="D1313" s="40"/>
      <c r="E1313" s="38"/>
      <c r="F1313" s="38"/>
      <c r="G1313" s="4"/>
      <c r="H1313" s="4"/>
      <c r="I1313" s="41"/>
      <c r="J1313" s="41"/>
      <c r="K1313" s="41"/>
      <c r="L1313" s="41"/>
      <c r="M1313" s="41"/>
      <c r="N1313" s="41"/>
      <c r="O1313" s="35"/>
      <c r="P1313" s="42"/>
    </row>
    <row r="1314">
      <c r="A1314" s="39"/>
      <c r="B1314" s="39"/>
      <c r="C1314" s="3"/>
      <c r="D1314" s="40"/>
      <c r="E1314" s="38"/>
      <c r="F1314" s="38"/>
      <c r="G1314" s="4"/>
      <c r="H1314" s="4"/>
      <c r="I1314" s="41"/>
      <c r="J1314" s="41"/>
      <c r="K1314" s="41"/>
      <c r="L1314" s="41"/>
      <c r="M1314" s="41"/>
      <c r="N1314" s="41"/>
      <c r="O1314" s="35"/>
      <c r="P1314" s="42"/>
    </row>
    <row r="1315">
      <c r="A1315" s="39"/>
      <c r="B1315" s="39"/>
      <c r="C1315" s="3"/>
      <c r="D1315" s="40"/>
      <c r="E1315" s="38"/>
      <c r="F1315" s="38"/>
      <c r="G1315" s="4"/>
      <c r="H1315" s="4"/>
      <c r="I1315" s="41"/>
      <c r="J1315" s="41"/>
      <c r="K1315" s="41"/>
      <c r="L1315" s="41"/>
      <c r="M1315" s="41"/>
      <c r="N1315" s="41"/>
      <c r="O1315" s="35"/>
      <c r="P1315" s="42"/>
    </row>
    <row r="1316">
      <c r="A1316" s="39"/>
      <c r="B1316" s="39"/>
      <c r="C1316" s="3"/>
      <c r="D1316" s="40"/>
      <c r="E1316" s="38"/>
      <c r="F1316" s="38"/>
      <c r="G1316" s="4"/>
      <c r="H1316" s="4"/>
      <c r="I1316" s="41"/>
      <c r="J1316" s="41"/>
      <c r="K1316" s="41"/>
      <c r="L1316" s="41"/>
      <c r="M1316" s="41"/>
      <c r="N1316" s="41"/>
      <c r="O1316" s="35"/>
      <c r="P1316" s="42"/>
    </row>
    <row r="1317">
      <c r="A1317" s="39"/>
      <c r="B1317" s="39"/>
      <c r="C1317" s="3"/>
      <c r="D1317" s="40"/>
      <c r="E1317" s="38"/>
      <c r="F1317" s="38"/>
      <c r="G1317" s="4"/>
      <c r="H1317" s="4"/>
      <c r="I1317" s="41"/>
      <c r="J1317" s="41"/>
      <c r="K1317" s="41"/>
      <c r="L1317" s="41"/>
      <c r="M1317" s="41"/>
      <c r="N1317" s="41"/>
      <c r="O1317" s="35"/>
      <c r="P1317" s="42"/>
    </row>
    <row r="1318">
      <c r="A1318" s="39"/>
      <c r="B1318" s="39"/>
      <c r="C1318" s="3"/>
      <c r="D1318" s="40"/>
      <c r="E1318" s="38"/>
      <c r="F1318" s="38"/>
      <c r="G1318" s="4"/>
      <c r="H1318" s="4"/>
      <c r="I1318" s="41"/>
      <c r="J1318" s="41"/>
      <c r="K1318" s="41"/>
      <c r="L1318" s="41"/>
      <c r="M1318" s="41"/>
      <c r="N1318" s="41"/>
      <c r="O1318" s="35"/>
      <c r="P1318" s="42"/>
    </row>
    <row r="1319">
      <c r="A1319" s="39"/>
      <c r="B1319" s="39"/>
      <c r="C1319" s="3"/>
      <c r="D1319" s="40"/>
      <c r="E1319" s="38"/>
      <c r="F1319" s="38"/>
      <c r="G1319" s="4"/>
      <c r="H1319" s="4"/>
      <c r="I1319" s="41"/>
      <c r="J1319" s="41"/>
      <c r="K1319" s="41"/>
      <c r="L1319" s="41"/>
      <c r="M1319" s="41"/>
      <c r="N1319" s="41"/>
      <c r="O1319" s="35"/>
      <c r="P1319" s="42"/>
    </row>
    <row r="1320">
      <c r="A1320" s="39"/>
      <c r="B1320" s="39"/>
      <c r="C1320" s="3"/>
      <c r="D1320" s="40"/>
      <c r="E1320" s="38"/>
      <c r="F1320" s="38"/>
      <c r="G1320" s="4"/>
      <c r="H1320" s="4"/>
      <c r="I1320" s="41"/>
      <c r="J1320" s="41"/>
      <c r="K1320" s="41"/>
      <c r="L1320" s="41"/>
      <c r="M1320" s="41"/>
      <c r="N1320" s="41"/>
      <c r="O1320" s="35"/>
      <c r="P1320" s="42"/>
    </row>
    <row r="1321">
      <c r="A1321" s="39"/>
      <c r="B1321" s="39"/>
      <c r="C1321" s="3"/>
      <c r="D1321" s="40"/>
      <c r="E1321" s="38"/>
      <c r="F1321" s="38"/>
      <c r="G1321" s="4"/>
      <c r="H1321" s="4"/>
      <c r="I1321" s="41"/>
      <c r="J1321" s="41"/>
      <c r="K1321" s="41"/>
      <c r="L1321" s="41"/>
      <c r="M1321" s="41"/>
      <c r="N1321" s="41"/>
      <c r="O1321" s="35"/>
      <c r="P1321" s="42"/>
    </row>
    <row r="1322">
      <c r="A1322" s="39"/>
      <c r="B1322" s="39"/>
      <c r="C1322" s="3"/>
      <c r="D1322" s="40"/>
      <c r="E1322" s="38"/>
      <c r="F1322" s="38"/>
      <c r="G1322" s="4"/>
      <c r="H1322" s="4"/>
      <c r="I1322" s="41"/>
      <c r="J1322" s="41"/>
      <c r="K1322" s="41"/>
      <c r="L1322" s="41"/>
      <c r="M1322" s="41"/>
      <c r="N1322" s="41"/>
      <c r="O1322" s="35"/>
      <c r="P1322" s="42"/>
    </row>
    <row r="1323">
      <c r="A1323" s="39"/>
      <c r="B1323" s="39"/>
      <c r="C1323" s="3"/>
      <c r="D1323" s="40"/>
      <c r="E1323" s="38"/>
      <c r="F1323" s="38"/>
      <c r="G1323" s="4"/>
      <c r="H1323" s="4"/>
      <c r="I1323" s="41"/>
      <c r="J1323" s="41"/>
      <c r="K1323" s="41"/>
      <c r="L1323" s="41"/>
      <c r="M1323" s="41"/>
      <c r="N1323" s="41"/>
      <c r="O1323" s="35"/>
      <c r="P1323" s="42"/>
    </row>
    <row r="1324">
      <c r="A1324" s="39"/>
      <c r="B1324" s="39"/>
      <c r="C1324" s="3"/>
      <c r="D1324" s="40"/>
      <c r="E1324" s="38"/>
      <c r="F1324" s="38"/>
      <c r="G1324" s="4"/>
      <c r="H1324" s="4"/>
      <c r="I1324" s="41"/>
      <c r="J1324" s="41"/>
      <c r="K1324" s="41"/>
      <c r="L1324" s="41"/>
      <c r="M1324" s="41"/>
      <c r="N1324" s="41"/>
      <c r="O1324" s="35"/>
      <c r="P1324" s="42"/>
    </row>
    <row r="1325">
      <c r="A1325" s="39"/>
      <c r="B1325" s="39"/>
      <c r="C1325" s="3"/>
      <c r="D1325" s="40"/>
      <c r="E1325" s="38"/>
      <c r="F1325" s="38"/>
      <c r="G1325" s="4"/>
      <c r="H1325" s="4"/>
      <c r="I1325" s="41"/>
      <c r="J1325" s="41"/>
      <c r="K1325" s="41"/>
      <c r="L1325" s="41"/>
      <c r="M1325" s="41"/>
      <c r="N1325" s="41"/>
      <c r="O1325" s="35"/>
      <c r="P1325" s="42"/>
    </row>
    <row r="1326">
      <c r="A1326" s="39"/>
      <c r="B1326" s="39"/>
      <c r="C1326" s="3"/>
      <c r="D1326" s="40"/>
      <c r="E1326" s="38"/>
      <c r="F1326" s="38"/>
      <c r="G1326" s="4"/>
      <c r="H1326" s="4"/>
      <c r="I1326" s="41"/>
      <c r="J1326" s="41"/>
      <c r="K1326" s="41"/>
      <c r="L1326" s="41"/>
      <c r="M1326" s="41"/>
      <c r="N1326" s="41"/>
      <c r="O1326" s="35"/>
      <c r="P1326" s="42"/>
    </row>
    <row r="1327">
      <c r="A1327" s="39"/>
      <c r="B1327" s="39"/>
      <c r="C1327" s="3"/>
      <c r="D1327" s="40"/>
      <c r="E1327" s="38"/>
      <c r="F1327" s="38"/>
      <c r="G1327" s="4"/>
      <c r="H1327" s="4"/>
      <c r="I1327" s="41"/>
      <c r="J1327" s="41"/>
      <c r="K1327" s="41"/>
      <c r="L1327" s="41"/>
      <c r="M1327" s="41"/>
      <c r="N1327" s="41"/>
      <c r="O1327" s="35"/>
      <c r="P1327" s="42"/>
    </row>
    <row r="1328">
      <c r="A1328" s="39"/>
      <c r="B1328" s="39"/>
      <c r="C1328" s="3"/>
      <c r="D1328" s="40"/>
      <c r="E1328" s="38"/>
      <c r="F1328" s="38"/>
      <c r="G1328" s="4"/>
      <c r="H1328" s="4"/>
      <c r="I1328" s="41"/>
      <c r="J1328" s="41"/>
      <c r="K1328" s="41"/>
      <c r="L1328" s="41"/>
      <c r="M1328" s="41"/>
      <c r="N1328" s="41"/>
      <c r="O1328" s="35"/>
      <c r="P1328" s="42"/>
    </row>
    <row r="1329">
      <c r="A1329" s="39"/>
      <c r="B1329" s="39"/>
      <c r="C1329" s="3"/>
      <c r="D1329" s="40"/>
      <c r="E1329" s="38"/>
      <c r="F1329" s="38"/>
      <c r="G1329" s="4"/>
      <c r="H1329" s="4"/>
      <c r="I1329" s="41"/>
      <c r="J1329" s="41"/>
      <c r="K1329" s="41"/>
      <c r="L1329" s="41"/>
      <c r="M1329" s="41"/>
      <c r="N1329" s="41"/>
      <c r="O1329" s="35"/>
      <c r="P1329" s="42"/>
    </row>
    <row r="1330">
      <c r="A1330" s="39"/>
      <c r="B1330" s="39"/>
      <c r="C1330" s="3"/>
      <c r="D1330" s="40"/>
      <c r="E1330" s="38"/>
      <c r="F1330" s="38"/>
      <c r="G1330" s="4"/>
      <c r="H1330" s="4"/>
      <c r="I1330" s="41"/>
      <c r="J1330" s="41"/>
      <c r="K1330" s="41"/>
      <c r="L1330" s="41"/>
      <c r="M1330" s="41"/>
      <c r="N1330" s="41"/>
      <c r="O1330" s="35"/>
      <c r="P1330" s="42"/>
    </row>
    <row r="1331">
      <c r="A1331" s="39"/>
      <c r="B1331" s="39"/>
      <c r="C1331" s="3"/>
      <c r="D1331" s="40"/>
      <c r="E1331" s="38"/>
      <c r="F1331" s="38"/>
      <c r="G1331" s="4"/>
      <c r="H1331" s="4"/>
      <c r="I1331" s="41"/>
      <c r="J1331" s="41"/>
      <c r="K1331" s="41"/>
      <c r="L1331" s="41"/>
      <c r="M1331" s="41"/>
      <c r="N1331" s="41"/>
      <c r="O1331" s="35"/>
      <c r="P1331" s="42"/>
    </row>
    <row r="1332">
      <c r="A1332" s="39"/>
      <c r="B1332" s="39"/>
      <c r="C1332" s="3"/>
      <c r="D1332" s="40"/>
      <c r="E1332" s="38"/>
      <c r="F1332" s="38"/>
      <c r="G1332" s="4"/>
      <c r="H1332" s="4"/>
      <c r="I1332" s="41"/>
      <c r="J1332" s="41"/>
      <c r="K1332" s="41"/>
      <c r="L1332" s="41"/>
      <c r="M1332" s="41"/>
      <c r="N1332" s="41"/>
      <c r="O1332" s="35"/>
      <c r="P1332" s="42"/>
    </row>
    <row r="1333">
      <c r="A1333" s="39"/>
      <c r="B1333" s="39"/>
      <c r="C1333" s="3"/>
      <c r="D1333" s="40"/>
      <c r="E1333" s="38"/>
      <c r="F1333" s="38"/>
      <c r="G1333" s="4"/>
      <c r="H1333" s="4"/>
      <c r="I1333" s="41"/>
      <c r="J1333" s="41"/>
      <c r="K1333" s="41"/>
      <c r="L1333" s="41"/>
      <c r="M1333" s="41"/>
      <c r="N1333" s="41"/>
      <c r="O1333" s="35"/>
      <c r="P1333" s="42"/>
    </row>
    <row r="1334">
      <c r="A1334" s="39"/>
      <c r="B1334" s="39"/>
      <c r="C1334" s="3"/>
      <c r="D1334" s="40"/>
      <c r="E1334" s="38"/>
      <c r="F1334" s="38"/>
      <c r="G1334" s="4"/>
      <c r="H1334" s="4"/>
      <c r="I1334" s="41"/>
      <c r="J1334" s="41"/>
      <c r="K1334" s="41"/>
      <c r="L1334" s="41"/>
      <c r="M1334" s="41"/>
      <c r="N1334" s="41"/>
      <c r="O1334" s="35"/>
      <c r="P1334" s="42"/>
    </row>
    <row r="1335">
      <c r="A1335" s="39"/>
      <c r="B1335" s="39"/>
      <c r="C1335" s="3"/>
      <c r="D1335" s="40"/>
      <c r="E1335" s="38"/>
      <c r="F1335" s="38"/>
      <c r="G1335" s="4"/>
      <c r="H1335" s="4"/>
      <c r="I1335" s="41"/>
      <c r="J1335" s="41"/>
      <c r="K1335" s="41"/>
      <c r="L1335" s="41"/>
      <c r="M1335" s="41"/>
      <c r="N1335" s="41"/>
      <c r="O1335" s="35"/>
      <c r="P1335" s="42"/>
    </row>
    <row r="1336">
      <c r="A1336" s="39"/>
      <c r="B1336" s="39"/>
      <c r="C1336" s="3"/>
      <c r="D1336" s="40"/>
      <c r="E1336" s="38"/>
      <c r="F1336" s="38"/>
      <c r="G1336" s="4"/>
      <c r="H1336" s="4"/>
      <c r="I1336" s="41"/>
      <c r="J1336" s="41"/>
      <c r="K1336" s="41"/>
      <c r="L1336" s="41"/>
      <c r="M1336" s="41"/>
      <c r="N1336" s="41"/>
      <c r="O1336" s="35"/>
      <c r="P1336" s="42"/>
    </row>
    <row r="1337">
      <c r="A1337" s="39"/>
      <c r="B1337" s="39"/>
      <c r="C1337" s="3"/>
      <c r="D1337" s="40"/>
      <c r="E1337" s="38"/>
      <c r="F1337" s="38"/>
      <c r="G1337" s="4"/>
      <c r="H1337" s="4"/>
      <c r="I1337" s="41"/>
      <c r="J1337" s="41"/>
      <c r="K1337" s="41"/>
      <c r="L1337" s="41"/>
      <c r="M1337" s="41"/>
      <c r="N1337" s="41"/>
      <c r="O1337" s="35"/>
      <c r="P1337" s="42"/>
    </row>
    <row r="1338">
      <c r="A1338" s="39"/>
      <c r="B1338" s="39"/>
      <c r="C1338" s="3"/>
      <c r="D1338" s="40"/>
      <c r="E1338" s="38"/>
      <c r="F1338" s="38"/>
      <c r="G1338" s="4"/>
      <c r="H1338" s="4"/>
      <c r="I1338" s="41"/>
      <c r="J1338" s="41"/>
      <c r="K1338" s="41"/>
      <c r="L1338" s="41"/>
      <c r="M1338" s="41"/>
      <c r="N1338" s="41"/>
      <c r="O1338" s="35"/>
      <c r="P1338" s="42"/>
    </row>
    <row r="1339">
      <c r="A1339" s="39"/>
      <c r="B1339" s="39"/>
      <c r="C1339" s="3"/>
      <c r="D1339" s="40"/>
      <c r="E1339" s="38"/>
      <c r="F1339" s="38"/>
      <c r="G1339" s="4"/>
      <c r="H1339" s="4"/>
      <c r="I1339" s="41"/>
      <c r="J1339" s="41"/>
      <c r="K1339" s="41"/>
      <c r="L1339" s="41"/>
      <c r="M1339" s="41"/>
      <c r="N1339" s="41"/>
      <c r="O1339" s="35"/>
      <c r="P1339" s="42"/>
    </row>
    <row r="1340">
      <c r="A1340" s="39"/>
      <c r="B1340" s="39"/>
      <c r="C1340" s="3"/>
      <c r="D1340" s="40"/>
      <c r="E1340" s="38"/>
      <c r="F1340" s="38"/>
      <c r="G1340" s="4"/>
      <c r="H1340" s="4"/>
      <c r="I1340" s="41"/>
      <c r="J1340" s="41"/>
      <c r="K1340" s="41"/>
      <c r="L1340" s="41"/>
      <c r="M1340" s="41"/>
      <c r="N1340" s="41"/>
      <c r="O1340" s="35"/>
      <c r="P1340" s="42"/>
    </row>
    <row r="1341">
      <c r="A1341" s="39"/>
      <c r="B1341" s="39"/>
      <c r="C1341" s="3"/>
      <c r="D1341" s="40"/>
      <c r="E1341" s="38"/>
      <c r="F1341" s="38"/>
      <c r="G1341" s="4"/>
      <c r="H1341" s="4"/>
      <c r="I1341" s="41"/>
      <c r="J1341" s="41"/>
      <c r="K1341" s="41"/>
      <c r="L1341" s="41"/>
      <c r="M1341" s="41"/>
      <c r="N1341" s="41"/>
      <c r="O1341" s="35"/>
      <c r="P1341" s="42"/>
    </row>
    <row r="1342">
      <c r="A1342" s="39"/>
      <c r="B1342" s="39"/>
      <c r="C1342" s="3"/>
      <c r="D1342" s="40"/>
      <c r="E1342" s="38"/>
      <c r="F1342" s="38"/>
      <c r="G1342" s="4"/>
      <c r="H1342" s="4"/>
      <c r="I1342" s="41"/>
      <c r="J1342" s="41"/>
      <c r="K1342" s="41"/>
      <c r="L1342" s="41"/>
      <c r="M1342" s="41"/>
      <c r="N1342" s="41"/>
      <c r="O1342" s="35"/>
      <c r="P1342" s="42"/>
    </row>
    <row r="1343">
      <c r="A1343" s="39"/>
      <c r="B1343" s="39"/>
      <c r="C1343" s="3"/>
      <c r="D1343" s="40"/>
      <c r="E1343" s="38"/>
      <c r="F1343" s="38"/>
      <c r="G1343" s="4"/>
      <c r="H1343" s="4"/>
      <c r="I1343" s="41"/>
      <c r="J1343" s="41"/>
      <c r="K1343" s="41"/>
      <c r="L1343" s="41"/>
      <c r="M1343" s="41"/>
      <c r="N1343" s="41"/>
      <c r="O1343" s="35"/>
      <c r="P1343" s="42"/>
    </row>
    <row r="1344">
      <c r="A1344" s="39"/>
      <c r="B1344" s="39"/>
      <c r="C1344" s="3"/>
      <c r="D1344" s="40"/>
      <c r="E1344" s="38"/>
      <c r="F1344" s="38"/>
      <c r="G1344" s="4"/>
      <c r="H1344" s="4"/>
      <c r="I1344" s="41"/>
      <c r="J1344" s="41"/>
      <c r="K1344" s="41"/>
      <c r="L1344" s="41"/>
      <c r="M1344" s="41"/>
      <c r="N1344" s="41"/>
      <c r="O1344" s="35"/>
      <c r="P1344" s="42"/>
    </row>
    <row r="1345">
      <c r="A1345" s="39"/>
      <c r="B1345" s="39"/>
      <c r="C1345" s="3"/>
      <c r="D1345" s="40"/>
      <c r="E1345" s="38"/>
      <c r="F1345" s="38"/>
      <c r="G1345" s="4"/>
      <c r="H1345" s="4"/>
      <c r="I1345" s="41"/>
      <c r="J1345" s="41"/>
      <c r="K1345" s="41"/>
      <c r="L1345" s="41"/>
      <c r="M1345" s="41"/>
      <c r="N1345" s="41"/>
      <c r="O1345" s="35"/>
      <c r="P1345" s="42"/>
    </row>
    <row r="1346">
      <c r="A1346" s="39"/>
      <c r="B1346" s="39"/>
      <c r="C1346" s="3"/>
      <c r="D1346" s="40"/>
      <c r="E1346" s="38"/>
      <c r="F1346" s="38"/>
      <c r="G1346" s="4"/>
      <c r="H1346" s="4"/>
      <c r="I1346" s="41"/>
      <c r="J1346" s="41"/>
      <c r="K1346" s="41"/>
      <c r="L1346" s="41"/>
      <c r="M1346" s="41"/>
      <c r="N1346" s="41"/>
      <c r="O1346" s="35"/>
      <c r="P1346" s="42"/>
    </row>
    <row r="1347">
      <c r="A1347" s="39"/>
      <c r="B1347" s="39"/>
      <c r="C1347" s="3"/>
      <c r="D1347" s="40"/>
      <c r="E1347" s="38"/>
      <c r="F1347" s="38"/>
      <c r="G1347" s="4"/>
      <c r="H1347" s="4"/>
      <c r="I1347" s="41"/>
      <c r="J1347" s="41"/>
      <c r="K1347" s="41"/>
      <c r="L1347" s="41"/>
      <c r="M1347" s="41"/>
      <c r="N1347" s="41"/>
      <c r="O1347" s="35"/>
      <c r="P1347" s="42"/>
    </row>
    <row r="1348">
      <c r="A1348" s="39"/>
      <c r="B1348" s="39"/>
      <c r="C1348" s="3"/>
      <c r="D1348" s="40"/>
      <c r="E1348" s="38"/>
      <c r="F1348" s="38"/>
      <c r="G1348" s="4"/>
      <c r="H1348" s="4"/>
      <c r="I1348" s="41"/>
      <c r="J1348" s="41"/>
      <c r="K1348" s="41"/>
      <c r="L1348" s="41"/>
      <c r="M1348" s="41"/>
      <c r="N1348" s="41"/>
      <c r="O1348" s="35"/>
      <c r="P1348" s="42"/>
    </row>
    <row r="1349">
      <c r="A1349" s="39"/>
      <c r="B1349" s="39"/>
      <c r="C1349" s="3"/>
      <c r="D1349" s="40"/>
      <c r="E1349" s="38"/>
      <c r="F1349" s="38"/>
      <c r="G1349" s="4"/>
      <c r="H1349" s="4"/>
      <c r="I1349" s="41"/>
      <c r="J1349" s="41"/>
      <c r="K1349" s="41"/>
      <c r="L1349" s="41"/>
      <c r="M1349" s="41"/>
      <c r="N1349" s="41"/>
      <c r="O1349" s="35"/>
      <c r="P1349" s="42"/>
    </row>
    <row r="1350">
      <c r="A1350" s="39"/>
      <c r="B1350" s="39"/>
      <c r="C1350" s="3"/>
      <c r="D1350" s="40"/>
      <c r="E1350" s="38"/>
      <c r="F1350" s="38"/>
      <c r="G1350" s="4"/>
      <c r="H1350" s="4"/>
      <c r="I1350" s="41"/>
      <c r="J1350" s="41"/>
      <c r="K1350" s="41"/>
      <c r="L1350" s="41"/>
      <c r="M1350" s="41"/>
      <c r="N1350" s="41"/>
      <c r="O1350" s="35"/>
      <c r="P1350" s="42"/>
    </row>
    <row r="1351">
      <c r="A1351" s="39"/>
      <c r="B1351" s="39"/>
      <c r="C1351" s="3"/>
      <c r="D1351" s="40"/>
      <c r="E1351" s="38"/>
      <c r="F1351" s="38"/>
      <c r="G1351" s="4"/>
      <c r="H1351" s="4"/>
      <c r="I1351" s="41"/>
      <c r="J1351" s="41"/>
      <c r="K1351" s="41"/>
      <c r="L1351" s="41"/>
      <c r="M1351" s="41"/>
      <c r="N1351" s="41"/>
      <c r="O1351" s="35"/>
      <c r="P1351" s="42"/>
    </row>
    <row r="1352">
      <c r="A1352" s="39"/>
      <c r="B1352" s="39"/>
      <c r="C1352" s="3"/>
      <c r="D1352" s="40"/>
      <c r="E1352" s="38"/>
      <c r="F1352" s="38"/>
      <c r="G1352" s="4"/>
      <c r="H1352" s="4"/>
      <c r="I1352" s="41"/>
      <c r="J1352" s="41"/>
      <c r="K1352" s="41"/>
      <c r="L1352" s="41"/>
      <c r="M1352" s="41"/>
      <c r="N1352" s="41"/>
      <c r="O1352" s="35"/>
      <c r="P1352" s="42"/>
    </row>
    <row r="1353">
      <c r="A1353" s="39"/>
      <c r="B1353" s="39"/>
      <c r="C1353" s="3"/>
      <c r="D1353" s="40"/>
      <c r="E1353" s="38"/>
      <c r="F1353" s="38"/>
      <c r="G1353" s="4"/>
      <c r="H1353" s="4"/>
      <c r="I1353" s="41"/>
      <c r="J1353" s="41"/>
      <c r="K1353" s="41"/>
      <c r="L1353" s="41"/>
      <c r="M1353" s="41"/>
      <c r="N1353" s="41"/>
      <c r="O1353" s="35"/>
      <c r="P1353" s="42"/>
    </row>
    <row r="1354">
      <c r="A1354" s="39"/>
      <c r="B1354" s="39"/>
      <c r="C1354" s="3"/>
      <c r="D1354" s="40"/>
      <c r="E1354" s="38"/>
      <c r="F1354" s="38"/>
      <c r="G1354" s="4"/>
      <c r="H1354" s="4"/>
      <c r="I1354" s="41"/>
      <c r="J1354" s="41"/>
      <c r="K1354" s="41"/>
      <c r="L1354" s="41"/>
      <c r="M1354" s="41"/>
      <c r="N1354" s="41"/>
      <c r="O1354" s="35"/>
      <c r="P1354" s="42"/>
    </row>
    <row r="1355">
      <c r="A1355" s="39"/>
      <c r="B1355" s="39"/>
      <c r="C1355" s="3"/>
      <c r="D1355" s="40"/>
      <c r="E1355" s="38"/>
      <c r="F1355" s="38"/>
      <c r="G1355" s="4"/>
      <c r="H1355" s="4"/>
      <c r="I1355" s="41"/>
      <c r="J1355" s="41"/>
      <c r="K1355" s="41"/>
      <c r="L1355" s="41"/>
      <c r="M1355" s="41"/>
      <c r="N1355" s="41"/>
      <c r="O1355" s="35"/>
      <c r="P1355" s="42"/>
    </row>
    <row r="1356">
      <c r="A1356" s="39"/>
      <c r="B1356" s="39"/>
      <c r="C1356" s="3"/>
      <c r="D1356" s="40"/>
      <c r="E1356" s="38"/>
      <c r="F1356" s="38"/>
      <c r="G1356" s="4"/>
      <c r="H1356" s="4"/>
      <c r="I1356" s="41"/>
      <c r="J1356" s="41"/>
      <c r="K1356" s="41"/>
      <c r="L1356" s="41"/>
      <c r="M1356" s="41"/>
      <c r="N1356" s="41"/>
      <c r="O1356" s="35"/>
      <c r="P1356" s="42"/>
    </row>
    <row r="1357">
      <c r="A1357" s="39"/>
      <c r="B1357" s="39"/>
      <c r="C1357" s="3"/>
      <c r="D1357" s="40"/>
      <c r="E1357" s="38"/>
      <c r="F1357" s="38"/>
      <c r="G1357" s="4"/>
      <c r="H1357" s="4"/>
      <c r="I1357" s="41"/>
      <c r="J1357" s="41"/>
      <c r="K1357" s="41"/>
      <c r="L1357" s="41"/>
      <c r="M1357" s="41"/>
      <c r="N1357" s="41"/>
      <c r="O1357" s="35"/>
      <c r="P1357" s="42"/>
    </row>
    <row r="1358">
      <c r="A1358" s="39"/>
      <c r="B1358" s="39"/>
      <c r="C1358" s="3"/>
      <c r="D1358" s="40"/>
      <c r="E1358" s="38"/>
      <c r="F1358" s="38"/>
      <c r="G1358" s="4"/>
      <c r="H1358" s="4"/>
      <c r="I1358" s="41"/>
      <c r="J1358" s="41"/>
      <c r="K1358" s="41"/>
      <c r="L1358" s="41"/>
      <c r="M1358" s="41"/>
      <c r="N1358" s="41"/>
      <c r="O1358" s="35"/>
      <c r="P1358" s="42"/>
    </row>
    <row r="1359">
      <c r="A1359" s="39"/>
      <c r="B1359" s="39"/>
      <c r="C1359" s="3"/>
      <c r="D1359" s="40"/>
      <c r="E1359" s="38"/>
      <c r="F1359" s="38"/>
      <c r="G1359" s="4"/>
      <c r="H1359" s="4"/>
      <c r="I1359" s="41"/>
      <c r="J1359" s="41"/>
      <c r="K1359" s="41"/>
      <c r="L1359" s="41"/>
      <c r="M1359" s="41"/>
      <c r="N1359" s="41"/>
      <c r="O1359" s="35"/>
      <c r="P1359" s="42"/>
    </row>
    <row r="1360">
      <c r="A1360" s="39"/>
      <c r="B1360" s="39"/>
      <c r="C1360" s="3"/>
      <c r="D1360" s="40"/>
      <c r="E1360" s="38"/>
      <c r="F1360" s="38"/>
      <c r="G1360" s="4"/>
      <c r="H1360" s="4"/>
      <c r="I1360" s="41"/>
      <c r="J1360" s="41"/>
      <c r="K1360" s="41"/>
      <c r="L1360" s="41"/>
      <c r="M1360" s="41"/>
      <c r="N1360" s="41"/>
      <c r="O1360" s="35"/>
      <c r="P1360" s="42"/>
    </row>
    <row r="1361">
      <c r="A1361" s="39"/>
      <c r="B1361" s="39"/>
      <c r="C1361" s="3"/>
      <c r="D1361" s="40"/>
      <c r="E1361" s="38"/>
      <c r="F1361" s="38"/>
      <c r="G1361" s="4"/>
      <c r="H1361" s="4"/>
      <c r="I1361" s="41"/>
      <c r="J1361" s="41"/>
      <c r="K1361" s="41"/>
      <c r="L1361" s="41"/>
      <c r="M1361" s="41"/>
      <c r="N1361" s="41"/>
      <c r="O1361" s="35"/>
      <c r="P1361" s="42"/>
    </row>
    <row r="1362">
      <c r="A1362" s="39"/>
      <c r="B1362" s="39"/>
      <c r="C1362" s="3"/>
      <c r="D1362" s="40"/>
      <c r="E1362" s="38"/>
      <c r="F1362" s="38"/>
      <c r="G1362" s="4"/>
      <c r="H1362" s="4"/>
      <c r="I1362" s="41"/>
      <c r="J1362" s="41"/>
      <c r="K1362" s="41"/>
      <c r="L1362" s="41"/>
      <c r="M1362" s="41"/>
      <c r="N1362" s="41"/>
      <c r="O1362" s="35"/>
      <c r="P1362" s="42"/>
    </row>
    <row r="1363">
      <c r="A1363" s="39"/>
      <c r="B1363" s="39"/>
      <c r="C1363" s="3"/>
      <c r="D1363" s="40"/>
      <c r="E1363" s="38"/>
      <c r="F1363" s="38"/>
      <c r="G1363" s="4"/>
      <c r="H1363" s="4"/>
      <c r="I1363" s="41"/>
      <c r="J1363" s="41"/>
      <c r="K1363" s="41"/>
      <c r="L1363" s="41"/>
      <c r="M1363" s="41"/>
      <c r="N1363" s="41"/>
      <c r="O1363" s="35"/>
      <c r="P1363" s="42"/>
    </row>
    <row r="1364">
      <c r="A1364" s="39"/>
      <c r="B1364" s="39"/>
      <c r="C1364" s="3"/>
      <c r="D1364" s="40"/>
      <c r="E1364" s="38"/>
      <c r="F1364" s="38"/>
      <c r="G1364" s="4"/>
      <c r="H1364" s="4"/>
      <c r="I1364" s="41"/>
      <c r="J1364" s="41"/>
      <c r="K1364" s="41"/>
      <c r="L1364" s="41"/>
      <c r="M1364" s="41"/>
      <c r="N1364" s="41"/>
      <c r="O1364" s="35"/>
      <c r="P1364" s="42"/>
    </row>
    <row r="1365">
      <c r="A1365" s="39"/>
      <c r="B1365" s="39"/>
      <c r="C1365" s="3"/>
      <c r="D1365" s="40"/>
      <c r="E1365" s="38"/>
      <c r="F1365" s="38"/>
      <c r="G1365" s="4"/>
      <c r="H1365" s="4"/>
      <c r="I1365" s="41"/>
      <c r="J1365" s="41"/>
      <c r="K1365" s="41"/>
      <c r="L1365" s="41"/>
      <c r="M1365" s="41"/>
      <c r="N1365" s="41"/>
      <c r="O1365" s="35"/>
      <c r="P1365" s="42"/>
    </row>
    <row r="1366">
      <c r="A1366" s="39"/>
      <c r="B1366" s="39"/>
      <c r="C1366" s="3"/>
      <c r="D1366" s="40"/>
      <c r="E1366" s="38"/>
      <c r="F1366" s="38"/>
      <c r="G1366" s="4"/>
      <c r="H1366" s="4"/>
      <c r="I1366" s="41"/>
      <c r="J1366" s="41"/>
      <c r="K1366" s="41"/>
      <c r="L1366" s="41"/>
      <c r="M1366" s="41"/>
      <c r="N1366" s="41"/>
      <c r="O1366" s="35"/>
      <c r="P1366" s="42"/>
    </row>
    <row r="1367">
      <c r="A1367" s="39"/>
      <c r="B1367" s="39"/>
      <c r="C1367" s="3"/>
      <c r="D1367" s="40"/>
      <c r="E1367" s="38"/>
      <c r="F1367" s="38"/>
      <c r="G1367" s="4"/>
      <c r="H1367" s="4"/>
      <c r="I1367" s="41"/>
      <c r="J1367" s="41"/>
      <c r="K1367" s="41"/>
      <c r="L1367" s="41"/>
      <c r="M1367" s="41"/>
      <c r="N1367" s="41"/>
      <c r="O1367" s="35"/>
      <c r="P1367" s="42"/>
    </row>
    <row r="1368">
      <c r="A1368" s="39"/>
      <c r="B1368" s="39"/>
      <c r="C1368" s="3"/>
      <c r="D1368" s="40"/>
      <c r="E1368" s="38"/>
      <c r="F1368" s="38"/>
      <c r="G1368" s="4"/>
      <c r="H1368" s="4"/>
      <c r="I1368" s="41"/>
      <c r="J1368" s="41"/>
      <c r="K1368" s="41"/>
      <c r="L1368" s="41"/>
      <c r="M1368" s="41"/>
      <c r="N1368" s="41"/>
      <c r="O1368" s="35"/>
      <c r="P1368" s="42"/>
    </row>
    <row r="1369">
      <c r="A1369" s="39"/>
      <c r="B1369" s="39"/>
      <c r="C1369" s="3"/>
      <c r="D1369" s="40"/>
      <c r="E1369" s="38"/>
      <c r="F1369" s="38"/>
      <c r="G1369" s="4"/>
      <c r="H1369" s="4"/>
      <c r="I1369" s="41"/>
      <c r="J1369" s="41"/>
      <c r="K1369" s="41"/>
      <c r="L1369" s="41"/>
      <c r="M1369" s="41"/>
      <c r="N1369" s="41"/>
      <c r="O1369" s="35"/>
      <c r="P1369" s="42"/>
    </row>
    <row r="1370">
      <c r="A1370" s="39"/>
      <c r="B1370" s="39"/>
      <c r="C1370" s="3"/>
      <c r="D1370" s="40"/>
      <c r="E1370" s="38"/>
      <c r="F1370" s="38"/>
      <c r="G1370" s="4"/>
      <c r="H1370" s="4"/>
      <c r="I1370" s="41"/>
      <c r="J1370" s="41"/>
      <c r="K1370" s="41"/>
      <c r="L1370" s="41"/>
      <c r="M1370" s="41"/>
      <c r="N1370" s="41"/>
      <c r="O1370" s="35"/>
      <c r="P1370" s="42"/>
    </row>
    <row r="1371">
      <c r="A1371" s="39"/>
      <c r="B1371" s="39"/>
      <c r="C1371" s="3"/>
      <c r="D1371" s="40"/>
      <c r="E1371" s="38"/>
      <c r="F1371" s="38"/>
      <c r="G1371" s="4"/>
      <c r="H1371" s="4"/>
      <c r="I1371" s="41"/>
      <c r="J1371" s="41"/>
      <c r="K1371" s="41"/>
      <c r="L1371" s="41"/>
      <c r="M1371" s="41"/>
      <c r="N1371" s="41"/>
      <c r="O1371" s="35"/>
      <c r="P1371" s="42"/>
    </row>
    <row r="1372">
      <c r="A1372" s="39"/>
      <c r="B1372" s="39"/>
      <c r="C1372" s="3"/>
      <c r="D1372" s="40"/>
      <c r="E1372" s="38"/>
      <c r="F1372" s="38"/>
      <c r="G1372" s="4"/>
      <c r="H1372" s="4"/>
      <c r="I1372" s="41"/>
      <c r="J1372" s="41"/>
      <c r="K1372" s="41"/>
      <c r="L1372" s="41"/>
      <c r="M1372" s="41"/>
      <c r="N1372" s="41"/>
      <c r="O1372" s="35"/>
      <c r="P1372" s="42"/>
    </row>
    <row r="1373">
      <c r="A1373" s="39"/>
      <c r="B1373" s="39"/>
      <c r="C1373" s="3"/>
      <c r="D1373" s="40"/>
      <c r="E1373" s="38"/>
      <c r="F1373" s="38"/>
      <c r="G1373" s="4"/>
      <c r="H1373" s="4"/>
      <c r="I1373" s="41"/>
      <c r="J1373" s="41"/>
      <c r="K1373" s="41"/>
      <c r="L1373" s="41"/>
      <c r="M1373" s="41"/>
      <c r="N1373" s="41"/>
      <c r="O1373" s="35"/>
      <c r="P1373" s="42"/>
    </row>
    <row r="1374">
      <c r="A1374" s="39"/>
      <c r="B1374" s="39"/>
      <c r="C1374" s="3"/>
      <c r="D1374" s="40"/>
      <c r="E1374" s="38"/>
      <c r="F1374" s="38"/>
      <c r="G1374" s="4"/>
      <c r="H1374" s="4"/>
      <c r="I1374" s="41"/>
      <c r="J1374" s="41"/>
      <c r="K1374" s="41"/>
      <c r="L1374" s="41"/>
      <c r="M1374" s="41"/>
      <c r="N1374" s="41"/>
      <c r="O1374" s="35"/>
      <c r="P1374" s="42"/>
    </row>
    <row r="1375">
      <c r="A1375" s="39"/>
      <c r="B1375" s="39"/>
      <c r="C1375" s="3"/>
      <c r="D1375" s="40"/>
      <c r="E1375" s="38"/>
      <c r="F1375" s="38"/>
      <c r="G1375" s="4"/>
      <c r="H1375" s="4"/>
      <c r="I1375" s="41"/>
      <c r="J1375" s="41"/>
      <c r="K1375" s="41"/>
      <c r="L1375" s="41"/>
      <c r="M1375" s="41"/>
      <c r="N1375" s="41"/>
      <c r="O1375" s="35"/>
      <c r="P1375" s="42"/>
    </row>
    <row r="1376">
      <c r="A1376" s="39"/>
      <c r="B1376" s="39"/>
      <c r="C1376" s="3"/>
      <c r="D1376" s="40"/>
      <c r="E1376" s="38"/>
      <c r="F1376" s="38"/>
      <c r="G1376" s="4"/>
      <c r="H1376" s="4"/>
      <c r="I1376" s="41"/>
      <c r="J1376" s="41"/>
      <c r="K1376" s="41"/>
      <c r="L1376" s="41"/>
      <c r="M1376" s="41"/>
      <c r="N1376" s="41"/>
      <c r="O1376" s="35"/>
      <c r="P1376" s="42"/>
    </row>
    <row r="1377">
      <c r="A1377" s="39"/>
      <c r="B1377" s="39"/>
      <c r="C1377" s="3"/>
      <c r="D1377" s="40"/>
      <c r="E1377" s="38"/>
      <c r="F1377" s="38"/>
      <c r="G1377" s="4"/>
      <c r="H1377" s="4"/>
      <c r="I1377" s="41"/>
      <c r="J1377" s="41"/>
      <c r="K1377" s="41"/>
      <c r="L1377" s="41"/>
      <c r="M1377" s="41"/>
      <c r="N1377" s="41"/>
      <c r="O1377" s="35"/>
      <c r="P1377" s="42"/>
    </row>
    <row r="1378">
      <c r="A1378" s="39"/>
      <c r="B1378" s="39"/>
      <c r="C1378" s="3"/>
      <c r="D1378" s="40"/>
      <c r="E1378" s="38"/>
      <c r="F1378" s="38"/>
      <c r="G1378" s="4"/>
      <c r="H1378" s="4"/>
      <c r="I1378" s="41"/>
      <c r="J1378" s="41"/>
      <c r="K1378" s="41"/>
      <c r="L1378" s="41"/>
      <c r="M1378" s="41"/>
      <c r="N1378" s="41"/>
      <c r="O1378" s="35"/>
      <c r="P1378" s="42"/>
    </row>
    <row r="1379">
      <c r="A1379" s="39"/>
      <c r="B1379" s="39"/>
      <c r="C1379" s="3"/>
      <c r="D1379" s="40"/>
      <c r="E1379" s="38"/>
      <c r="F1379" s="38"/>
      <c r="G1379" s="4"/>
      <c r="H1379" s="4"/>
      <c r="I1379" s="41"/>
      <c r="J1379" s="41"/>
      <c r="K1379" s="41"/>
      <c r="L1379" s="41"/>
      <c r="M1379" s="41"/>
      <c r="N1379" s="41"/>
      <c r="O1379" s="35"/>
      <c r="P1379" s="42"/>
    </row>
    <row r="1380">
      <c r="A1380" s="39"/>
      <c r="B1380" s="39"/>
      <c r="C1380" s="3"/>
      <c r="D1380" s="40"/>
      <c r="E1380" s="38"/>
      <c r="F1380" s="38"/>
      <c r="G1380" s="4"/>
      <c r="H1380" s="4"/>
      <c r="I1380" s="41"/>
      <c r="J1380" s="41"/>
      <c r="K1380" s="41"/>
      <c r="L1380" s="41"/>
      <c r="M1380" s="41"/>
      <c r="N1380" s="41"/>
      <c r="O1380" s="35"/>
      <c r="P1380" s="42"/>
    </row>
    <row r="1381">
      <c r="A1381" s="39"/>
      <c r="B1381" s="39"/>
      <c r="C1381" s="3"/>
      <c r="D1381" s="40"/>
      <c r="E1381" s="38"/>
      <c r="F1381" s="38"/>
      <c r="G1381" s="4"/>
      <c r="H1381" s="4"/>
      <c r="I1381" s="41"/>
      <c r="J1381" s="41"/>
      <c r="K1381" s="41"/>
      <c r="L1381" s="41"/>
      <c r="M1381" s="41"/>
      <c r="N1381" s="41"/>
      <c r="O1381" s="35"/>
      <c r="P1381" s="42"/>
    </row>
    <row r="1382">
      <c r="A1382" s="39"/>
      <c r="B1382" s="39"/>
      <c r="C1382" s="3"/>
      <c r="D1382" s="40"/>
      <c r="E1382" s="38"/>
      <c r="F1382" s="38"/>
      <c r="G1382" s="4"/>
      <c r="H1382" s="4"/>
      <c r="I1382" s="41"/>
      <c r="J1382" s="41"/>
      <c r="K1382" s="41"/>
      <c r="L1382" s="41"/>
      <c r="M1382" s="41"/>
      <c r="N1382" s="41"/>
      <c r="O1382" s="35"/>
      <c r="P1382" s="42"/>
    </row>
    <row r="1383">
      <c r="A1383" s="39"/>
      <c r="B1383" s="39"/>
      <c r="C1383" s="3"/>
      <c r="D1383" s="40"/>
      <c r="E1383" s="38"/>
      <c r="F1383" s="38"/>
      <c r="G1383" s="4"/>
      <c r="H1383" s="4"/>
      <c r="I1383" s="41"/>
      <c r="J1383" s="41"/>
      <c r="K1383" s="41"/>
      <c r="L1383" s="41"/>
      <c r="M1383" s="41"/>
      <c r="N1383" s="41"/>
      <c r="O1383" s="35"/>
      <c r="P1383" s="42"/>
    </row>
    <row r="1384">
      <c r="A1384" s="39"/>
      <c r="B1384" s="39"/>
      <c r="C1384" s="3"/>
      <c r="D1384" s="40"/>
      <c r="E1384" s="38"/>
      <c r="F1384" s="38"/>
      <c r="G1384" s="4"/>
      <c r="H1384" s="4"/>
      <c r="I1384" s="41"/>
      <c r="J1384" s="41"/>
      <c r="K1384" s="41"/>
      <c r="L1384" s="41"/>
      <c r="M1384" s="41"/>
      <c r="N1384" s="41"/>
      <c r="O1384" s="35"/>
      <c r="P1384" s="42"/>
    </row>
    <row r="1385">
      <c r="A1385" s="39"/>
      <c r="B1385" s="39"/>
      <c r="C1385" s="3"/>
      <c r="D1385" s="40"/>
      <c r="E1385" s="38"/>
      <c r="F1385" s="38"/>
      <c r="G1385" s="4"/>
      <c r="H1385" s="4"/>
      <c r="I1385" s="41"/>
      <c r="J1385" s="41"/>
      <c r="K1385" s="41"/>
      <c r="L1385" s="41"/>
      <c r="M1385" s="41"/>
      <c r="N1385" s="41"/>
      <c r="O1385" s="35"/>
      <c r="P1385" s="42"/>
    </row>
    <row r="1386">
      <c r="A1386" s="39"/>
      <c r="B1386" s="39"/>
      <c r="C1386" s="3"/>
      <c r="D1386" s="40"/>
      <c r="E1386" s="38"/>
      <c r="F1386" s="38"/>
      <c r="G1386" s="4"/>
      <c r="H1386" s="4"/>
      <c r="I1386" s="41"/>
      <c r="J1386" s="41"/>
      <c r="K1386" s="41"/>
      <c r="L1386" s="41"/>
      <c r="M1386" s="41"/>
      <c r="N1386" s="41"/>
      <c r="O1386" s="35"/>
      <c r="P1386" s="42"/>
    </row>
    <row r="1387">
      <c r="A1387" s="39"/>
      <c r="B1387" s="39"/>
      <c r="C1387" s="3"/>
      <c r="D1387" s="40"/>
      <c r="E1387" s="38"/>
      <c r="F1387" s="38"/>
      <c r="G1387" s="4"/>
      <c r="H1387" s="4"/>
      <c r="I1387" s="41"/>
      <c r="J1387" s="41"/>
      <c r="K1387" s="41"/>
      <c r="L1387" s="41"/>
      <c r="M1387" s="41"/>
      <c r="N1387" s="41"/>
      <c r="O1387" s="35"/>
      <c r="P1387" s="42"/>
    </row>
    <row r="1388">
      <c r="A1388" s="39"/>
      <c r="B1388" s="39"/>
      <c r="C1388" s="3"/>
      <c r="D1388" s="40"/>
      <c r="E1388" s="38"/>
      <c r="F1388" s="38"/>
      <c r="G1388" s="4"/>
      <c r="H1388" s="4"/>
      <c r="I1388" s="41"/>
      <c r="J1388" s="41"/>
      <c r="K1388" s="41"/>
      <c r="L1388" s="41"/>
      <c r="M1388" s="41"/>
      <c r="N1388" s="41"/>
      <c r="O1388" s="35"/>
      <c r="P1388" s="42"/>
    </row>
    <row r="1389">
      <c r="A1389" s="39"/>
      <c r="B1389" s="39"/>
      <c r="C1389" s="3"/>
      <c r="D1389" s="40"/>
      <c r="E1389" s="38"/>
      <c r="F1389" s="38"/>
      <c r="G1389" s="4"/>
      <c r="H1389" s="4"/>
      <c r="I1389" s="41"/>
      <c r="J1389" s="41"/>
      <c r="K1389" s="41"/>
      <c r="L1389" s="41"/>
      <c r="M1389" s="41"/>
      <c r="N1389" s="41"/>
      <c r="O1389" s="35"/>
      <c r="P1389" s="42"/>
    </row>
    <row r="1390">
      <c r="A1390" s="39"/>
      <c r="B1390" s="39"/>
      <c r="C1390" s="3"/>
      <c r="D1390" s="40"/>
      <c r="E1390" s="38"/>
      <c r="F1390" s="38"/>
      <c r="G1390" s="4"/>
      <c r="H1390" s="4"/>
      <c r="I1390" s="41"/>
      <c r="J1390" s="41"/>
      <c r="K1390" s="41"/>
      <c r="L1390" s="41"/>
      <c r="M1390" s="41"/>
      <c r="N1390" s="41"/>
      <c r="O1390" s="35"/>
      <c r="P1390" s="42"/>
    </row>
    <row r="1391">
      <c r="A1391" s="39"/>
      <c r="B1391" s="39"/>
      <c r="C1391" s="3"/>
      <c r="D1391" s="40"/>
      <c r="E1391" s="38"/>
      <c r="F1391" s="38"/>
      <c r="G1391" s="4"/>
      <c r="H1391" s="4"/>
      <c r="I1391" s="41"/>
      <c r="J1391" s="41"/>
      <c r="K1391" s="41"/>
      <c r="L1391" s="41"/>
      <c r="M1391" s="41"/>
      <c r="N1391" s="41"/>
      <c r="O1391" s="35"/>
      <c r="P1391" s="42"/>
    </row>
    <row r="1392">
      <c r="A1392" s="39"/>
      <c r="B1392" s="39"/>
      <c r="C1392" s="3"/>
      <c r="D1392" s="40"/>
      <c r="E1392" s="38"/>
      <c r="F1392" s="38"/>
      <c r="G1392" s="4"/>
      <c r="H1392" s="4"/>
      <c r="I1392" s="41"/>
      <c r="J1392" s="41"/>
      <c r="K1392" s="41"/>
      <c r="L1392" s="41"/>
      <c r="M1392" s="41"/>
      <c r="N1392" s="41"/>
      <c r="O1392" s="35"/>
      <c r="P1392" s="42"/>
    </row>
    <row r="1393">
      <c r="A1393" s="39"/>
      <c r="B1393" s="39"/>
      <c r="C1393" s="3"/>
      <c r="D1393" s="40"/>
      <c r="E1393" s="38"/>
      <c r="F1393" s="38"/>
      <c r="G1393" s="4"/>
      <c r="H1393" s="4"/>
      <c r="I1393" s="41"/>
      <c r="J1393" s="41"/>
      <c r="K1393" s="41"/>
      <c r="L1393" s="41"/>
      <c r="M1393" s="41"/>
      <c r="N1393" s="41"/>
      <c r="O1393" s="35"/>
      <c r="P1393" s="42"/>
    </row>
    <row r="1394">
      <c r="A1394" s="39"/>
      <c r="B1394" s="39"/>
      <c r="C1394" s="3"/>
      <c r="D1394" s="40"/>
      <c r="E1394" s="38"/>
      <c r="F1394" s="38"/>
      <c r="G1394" s="4"/>
      <c r="H1394" s="4"/>
      <c r="I1394" s="41"/>
      <c r="J1394" s="41"/>
      <c r="K1394" s="41"/>
      <c r="L1394" s="41"/>
      <c r="M1394" s="41"/>
      <c r="N1394" s="41"/>
      <c r="O1394" s="35"/>
      <c r="P1394" s="42"/>
    </row>
    <row r="1395">
      <c r="A1395" s="39"/>
      <c r="B1395" s="39"/>
      <c r="C1395" s="3"/>
      <c r="D1395" s="40"/>
      <c r="E1395" s="38"/>
      <c r="F1395" s="38"/>
      <c r="G1395" s="4"/>
      <c r="H1395" s="4"/>
      <c r="I1395" s="41"/>
      <c r="J1395" s="41"/>
      <c r="K1395" s="41"/>
      <c r="L1395" s="41"/>
      <c r="M1395" s="41"/>
      <c r="N1395" s="41"/>
      <c r="O1395" s="35"/>
      <c r="P1395" s="42"/>
    </row>
    <row r="1396">
      <c r="A1396" s="39"/>
      <c r="B1396" s="39"/>
      <c r="C1396" s="3"/>
      <c r="D1396" s="40"/>
      <c r="E1396" s="38"/>
      <c r="F1396" s="38"/>
      <c r="G1396" s="4"/>
      <c r="H1396" s="4"/>
      <c r="I1396" s="41"/>
      <c r="J1396" s="41"/>
      <c r="K1396" s="41"/>
      <c r="L1396" s="41"/>
      <c r="M1396" s="41"/>
      <c r="N1396" s="41"/>
      <c r="O1396" s="35"/>
      <c r="P1396" s="42"/>
    </row>
    <row r="1397">
      <c r="A1397" s="39"/>
      <c r="B1397" s="39"/>
      <c r="C1397" s="3"/>
      <c r="D1397" s="40"/>
      <c r="E1397" s="38"/>
      <c r="F1397" s="38"/>
      <c r="G1397" s="4"/>
      <c r="H1397" s="4"/>
      <c r="I1397" s="41"/>
      <c r="J1397" s="41"/>
      <c r="K1397" s="41"/>
      <c r="L1397" s="41"/>
      <c r="M1397" s="41"/>
      <c r="N1397" s="41"/>
      <c r="O1397" s="35"/>
      <c r="P1397" s="42"/>
    </row>
    <row r="1398">
      <c r="A1398" s="39"/>
      <c r="B1398" s="39"/>
      <c r="C1398" s="3"/>
      <c r="D1398" s="40"/>
      <c r="E1398" s="38"/>
      <c r="F1398" s="38"/>
      <c r="G1398" s="4"/>
      <c r="H1398" s="4"/>
      <c r="I1398" s="41"/>
      <c r="J1398" s="41"/>
      <c r="K1398" s="41"/>
      <c r="L1398" s="41"/>
      <c r="M1398" s="41"/>
      <c r="N1398" s="41"/>
      <c r="O1398" s="35"/>
      <c r="P1398" s="42"/>
    </row>
    <row r="1399">
      <c r="A1399" s="39"/>
      <c r="B1399" s="39"/>
      <c r="C1399" s="3"/>
      <c r="D1399" s="40"/>
      <c r="E1399" s="38"/>
      <c r="F1399" s="38"/>
      <c r="G1399" s="4"/>
      <c r="H1399" s="4"/>
      <c r="I1399" s="41"/>
      <c r="J1399" s="41"/>
      <c r="K1399" s="41"/>
      <c r="L1399" s="41"/>
      <c r="M1399" s="41"/>
      <c r="N1399" s="41"/>
      <c r="O1399" s="35"/>
      <c r="P1399" s="42"/>
    </row>
    <row r="1400">
      <c r="A1400" s="39"/>
      <c r="B1400" s="39"/>
      <c r="C1400" s="3"/>
      <c r="D1400" s="40"/>
      <c r="E1400" s="38"/>
      <c r="F1400" s="38"/>
      <c r="G1400" s="4"/>
      <c r="H1400" s="4"/>
      <c r="I1400" s="41"/>
      <c r="J1400" s="41"/>
      <c r="K1400" s="41"/>
      <c r="L1400" s="41"/>
      <c r="M1400" s="41"/>
      <c r="N1400" s="41"/>
      <c r="O1400" s="35"/>
      <c r="P1400" s="42"/>
    </row>
    <row r="1401">
      <c r="A1401" s="39"/>
      <c r="B1401" s="39"/>
      <c r="C1401" s="3"/>
      <c r="D1401" s="40"/>
      <c r="E1401" s="38"/>
      <c r="F1401" s="38"/>
      <c r="G1401" s="4"/>
      <c r="H1401" s="4"/>
      <c r="I1401" s="41"/>
      <c r="J1401" s="41"/>
      <c r="K1401" s="41"/>
      <c r="L1401" s="41"/>
      <c r="M1401" s="41"/>
      <c r="N1401" s="41"/>
      <c r="O1401" s="35"/>
      <c r="P1401" s="42"/>
    </row>
    <row r="1402">
      <c r="A1402" s="39"/>
      <c r="B1402" s="39"/>
      <c r="C1402" s="3"/>
      <c r="D1402" s="40"/>
      <c r="E1402" s="38"/>
      <c r="F1402" s="38"/>
      <c r="G1402" s="4"/>
      <c r="H1402" s="4"/>
      <c r="I1402" s="41"/>
      <c r="J1402" s="41"/>
      <c r="K1402" s="41"/>
      <c r="L1402" s="41"/>
      <c r="M1402" s="41"/>
      <c r="N1402" s="41"/>
      <c r="O1402" s="35"/>
      <c r="P1402" s="42"/>
    </row>
    <row r="1403">
      <c r="A1403" s="39"/>
      <c r="B1403" s="39"/>
      <c r="C1403" s="3"/>
      <c r="D1403" s="40"/>
      <c r="E1403" s="38"/>
      <c r="F1403" s="38"/>
      <c r="G1403" s="4"/>
      <c r="H1403" s="4"/>
      <c r="I1403" s="41"/>
      <c r="J1403" s="41"/>
      <c r="K1403" s="41"/>
      <c r="L1403" s="41"/>
      <c r="M1403" s="41"/>
      <c r="N1403" s="41"/>
      <c r="O1403" s="35"/>
      <c r="P1403" s="42"/>
    </row>
    <row r="1404">
      <c r="A1404" s="39"/>
      <c r="B1404" s="39"/>
      <c r="C1404" s="3"/>
      <c r="D1404" s="40"/>
      <c r="E1404" s="38"/>
      <c r="F1404" s="38"/>
      <c r="G1404" s="4"/>
      <c r="H1404" s="4"/>
      <c r="I1404" s="41"/>
      <c r="J1404" s="41"/>
      <c r="K1404" s="41"/>
      <c r="L1404" s="41"/>
      <c r="M1404" s="41"/>
      <c r="N1404" s="41"/>
      <c r="O1404" s="35"/>
      <c r="P1404" s="42"/>
    </row>
    <row r="1405">
      <c r="A1405" s="39"/>
      <c r="B1405" s="39"/>
      <c r="C1405" s="3"/>
      <c r="D1405" s="40"/>
      <c r="E1405" s="38"/>
      <c r="F1405" s="38"/>
      <c r="G1405" s="4"/>
      <c r="H1405" s="4"/>
      <c r="I1405" s="41"/>
      <c r="J1405" s="41"/>
      <c r="K1405" s="41"/>
      <c r="L1405" s="41"/>
      <c r="M1405" s="41"/>
      <c r="N1405" s="41"/>
      <c r="O1405" s="35"/>
      <c r="P1405" s="42"/>
    </row>
    <row r="1406">
      <c r="A1406" s="39"/>
      <c r="B1406" s="39"/>
      <c r="C1406" s="3"/>
      <c r="D1406" s="40"/>
      <c r="E1406" s="38"/>
      <c r="F1406" s="38"/>
      <c r="G1406" s="4"/>
      <c r="H1406" s="4"/>
      <c r="I1406" s="41"/>
      <c r="J1406" s="41"/>
      <c r="K1406" s="41"/>
      <c r="L1406" s="41"/>
      <c r="M1406" s="41"/>
      <c r="N1406" s="41"/>
      <c r="O1406" s="35"/>
      <c r="P1406" s="42"/>
    </row>
    <row r="1407">
      <c r="A1407" s="39"/>
      <c r="B1407" s="39"/>
      <c r="C1407" s="3"/>
      <c r="D1407" s="40"/>
      <c r="E1407" s="38"/>
      <c r="F1407" s="38"/>
      <c r="G1407" s="4"/>
      <c r="H1407" s="4"/>
      <c r="I1407" s="41"/>
      <c r="J1407" s="41"/>
      <c r="K1407" s="41"/>
      <c r="L1407" s="41"/>
      <c r="M1407" s="41"/>
      <c r="N1407" s="41"/>
      <c r="O1407" s="35"/>
      <c r="P1407" s="42"/>
    </row>
    <row r="1408">
      <c r="A1408" s="39"/>
      <c r="B1408" s="39"/>
      <c r="C1408" s="3"/>
      <c r="D1408" s="40"/>
      <c r="E1408" s="38"/>
      <c r="F1408" s="38"/>
      <c r="G1408" s="4"/>
      <c r="H1408" s="4"/>
      <c r="I1408" s="41"/>
      <c r="J1408" s="41"/>
      <c r="K1408" s="41"/>
      <c r="L1408" s="41"/>
      <c r="M1408" s="41"/>
      <c r="N1408" s="41"/>
      <c r="O1408" s="35"/>
      <c r="P1408" s="42"/>
    </row>
    <row r="1409">
      <c r="A1409" s="39"/>
      <c r="B1409" s="39"/>
      <c r="C1409" s="3"/>
      <c r="D1409" s="40"/>
      <c r="E1409" s="38"/>
      <c r="F1409" s="38"/>
      <c r="G1409" s="4"/>
      <c r="H1409" s="4"/>
      <c r="I1409" s="41"/>
      <c r="J1409" s="41"/>
      <c r="K1409" s="41"/>
      <c r="L1409" s="41"/>
      <c r="M1409" s="41"/>
      <c r="N1409" s="41"/>
      <c r="O1409" s="35"/>
      <c r="P1409" s="42"/>
    </row>
    <row r="1410">
      <c r="A1410" s="39"/>
      <c r="B1410" s="39"/>
      <c r="C1410" s="3"/>
      <c r="D1410" s="40"/>
      <c r="E1410" s="38"/>
      <c r="F1410" s="38"/>
      <c r="G1410" s="4"/>
      <c r="H1410" s="4"/>
      <c r="I1410" s="41"/>
      <c r="J1410" s="41"/>
      <c r="K1410" s="41"/>
      <c r="L1410" s="41"/>
      <c r="M1410" s="41"/>
      <c r="N1410" s="41"/>
      <c r="O1410" s="35"/>
      <c r="P1410" s="42"/>
    </row>
    <row r="1411">
      <c r="A1411" s="39"/>
      <c r="B1411" s="39"/>
      <c r="C1411" s="3"/>
      <c r="D1411" s="40"/>
      <c r="E1411" s="38"/>
      <c r="F1411" s="38"/>
      <c r="G1411" s="4"/>
      <c r="H1411" s="4"/>
      <c r="I1411" s="41"/>
      <c r="J1411" s="41"/>
      <c r="K1411" s="41"/>
      <c r="L1411" s="41"/>
      <c r="M1411" s="41"/>
      <c r="N1411" s="41"/>
      <c r="O1411" s="35"/>
      <c r="P1411" s="42"/>
    </row>
    <row r="1412">
      <c r="A1412" s="39"/>
      <c r="B1412" s="39"/>
      <c r="C1412" s="3"/>
      <c r="D1412" s="40"/>
      <c r="E1412" s="38"/>
      <c r="F1412" s="38"/>
      <c r="G1412" s="4"/>
      <c r="H1412" s="4"/>
      <c r="I1412" s="41"/>
      <c r="J1412" s="41"/>
      <c r="K1412" s="41"/>
      <c r="L1412" s="41"/>
      <c r="M1412" s="41"/>
      <c r="N1412" s="41"/>
      <c r="O1412" s="35"/>
      <c r="P1412" s="42"/>
    </row>
    <row r="1413">
      <c r="A1413" s="39"/>
      <c r="B1413" s="39"/>
      <c r="C1413" s="3"/>
      <c r="D1413" s="40"/>
      <c r="E1413" s="38"/>
      <c r="F1413" s="38"/>
      <c r="G1413" s="4"/>
      <c r="H1413" s="4"/>
      <c r="I1413" s="41"/>
      <c r="J1413" s="41"/>
      <c r="K1413" s="41"/>
      <c r="L1413" s="41"/>
      <c r="M1413" s="41"/>
      <c r="N1413" s="41"/>
      <c r="O1413" s="35"/>
      <c r="P1413" s="42"/>
    </row>
    <row r="1414">
      <c r="A1414" s="39"/>
      <c r="B1414" s="39"/>
      <c r="C1414" s="3"/>
      <c r="D1414" s="40"/>
      <c r="E1414" s="38"/>
      <c r="F1414" s="38"/>
      <c r="G1414" s="4"/>
      <c r="H1414" s="4"/>
      <c r="I1414" s="41"/>
      <c r="J1414" s="41"/>
      <c r="K1414" s="41"/>
      <c r="L1414" s="41"/>
      <c r="M1414" s="41"/>
      <c r="N1414" s="41"/>
      <c r="O1414" s="35"/>
      <c r="P1414" s="42"/>
    </row>
    <row r="1415">
      <c r="A1415" s="39"/>
      <c r="B1415" s="39"/>
      <c r="C1415" s="3"/>
      <c r="D1415" s="40"/>
      <c r="E1415" s="38"/>
      <c r="F1415" s="38"/>
      <c r="G1415" s="4"/>
      <c r="H1415" s="4"/>
      <c r="I1415" s="41"/>
      <c r="J1415" s="41"/>
      <c r="K1415" s="41"/>
      <c r="L1415" s="41"/>
      <c r="M1415" s="41"/>
      <c r="N1415" s="41"/>
      <c r="O1415" s="35"/>
      <c r="P1415" s="42"/>
    </row>
    <row r="1416">
      <c r="A1416" s="39"/>
      <c r="B1416" s="39"/>
      <c r="C1416" s="3"/>
      <c r="D1416" s="40"/>
      <c r="E1416" s="38"/>
      <c r="F1416" s="38"/>
      <c r="G1416" s="4"/>
      <c r="H1416" s="4"/>
      <c r="I1416" s="41"/>
      <c r="J1416" s="41"/>
      <c r="K1416" s="41"/>
      <c r="L1416" s="41"/>
      <c r="M1416" s="41"/>
      <c r="N1416" s="41"/>
      <c r="O1416" s="35"/>
      <c r="P1416" s="42"/>
    </row>
    <row r="1417">
      <c r="A1417" s="39"/>
      <c r="B1417" s="39"/>
      <c r="C1417" s="3"/>
      <c r="D1417" s="40"/>
      <c r="E1417" s="38"/>
      <c r="F1417" s="38"/>
      <c r="G1417" s="4"/>
      <c r="H1417" s="4"/>
      <c r="I1417" s="41"/>
      <c r="J1417" s="41"/>
      <c r="K1417" s="41"/>
      <c r="L1417" s="41"/>
      <c r="M1417" s="41"/>
      <c r="N1417" s="41"/>
      <c r="O1417" s="35"/>
      <c r="P1417" s="42"/>
    </row>
    <row r="1418">
      <c r="A1418" s="39"/>
      <c r="B1418" s="39"/>
      <c r="C1418" s="3"/>
      <c r="D1418" s="40"/>
      <c r="E1418" s="38"/>
      <c r="F1418" s="38"/>
      <c r="G1418" s="4"/>
      <c r="H1418" s="4"/>
      <c r="I1418" s="41"/>
      <c r="J1418" s="41"/>
      <c r="K1418" s="41"/>
      <c r="L1418" s="41"/>
      <c r="M1418" s="41"/>
      <c r="N1418" s="41"/>
      <c r="O1418" s="35"/>
      <c r="P1418" s="42"/>
    </row>
    <row r="1419">
      <c r="A1419" s="39"/>
      <c r="B1419" s="39"/>
      <c r="C1419" s="3"/>
      <c r="D1419" s="40"/>
      <c r="E1419" s="38"/>
      <c r="F1419" s="38"/>
      <c r="G1419" s="4"/>
      <c r="H1419" s="4"/>
      <c r="I1419" s="41"/>
      <c r="J1419" s="41"/>
      <c r="K1419" s="41"/>
      <c r="L1419" s="41"/>
      <c r="M1419" s="41"/>
      <c r="N1419" s="41"/>
      <c r="O1419" s="35"/>
      <c r="P1419" s="42"/>
    </row>
    <row r="1420">
      <c r="A1420" s="39"/>
      <c r="B1420" s="39"/>
      <c r="C1420" s="3"/>
      <c r="D1420" s="40"/>
      <c r="E1420" s="38"/>
      <c r="F1420" s="38"/>
      <c r="G1420" s="4"/>
      <c r="H1420" s="4"/>
      <c r="I1420" s="41"/>
      <c r="J1420" s="41"/>
      <c r="K1420" s="41"/>
      <c r="L1420" s="41"/>
      <c r="M1420" s="41"/>
      <c r="N1420" s="41"/>
      <c r="O1420" s="35"/>
      <c r="P1420" s="42"/>
    </row>
    <row r="1421">
      <c r="A1421" s="39"/>
      <c r="B1421" s="39"/>
      <c r="C1421" s="3"/>
      <c r="D1421" s="40"/>
      <c r="E1421" s="38"/>
      <c r="F1421" s="38"/>
      <c r="G1421" s="4"/>
      <c r="H1421" s="4"/>
      <c r="I1421" s="41"/>
      <c r="J1421" s="41"/>
      <c r="K1421" s="41"/>
      <c r="L1421" s="41"/>
      <c r="M1421" s="41"/>
      <c r="N1421" s="41"/>
      <c r="O1421" s="35"/>
      <c r="P1421" s="42"/>
    </row>
    <row r="1422">
      <c r="A1422" s="39"/>
      <c r="B1422" s="39"/>
      <c r="C1422" s="3"/>
      <c r="D1422" s="40"/>
      <c r="E1422" s="38"/>
      <c r="F1422" s="38"/>
      <c r="G1422" s="4"/>
      <c r="H1422" s="4"/>
      <c r="I1422" s="41"/>
      <c r="J1422" s="41"/>
      <c r="K1422" s="41"/>
      <c r="L1422" s="41"/>
      <c r="M1422" s="41"/>
      <c r="N1422" s="41"/>
      <c r="O1422" s="35"/>
      <c r="P1422" s="42"/>
    </row>
    <row r="1423">
      <c r="A1423" s="39"/>
      <c r="B1423" s="39"/>
      <c r="C1423" s="3"/>
      <c r="D1423" s="40"/>
      <c r="E1423" s="38"/>
      <c r="F1423" s="38"/>
      <c r="G1423" s="4"/>
      <c r="H1423" s="4"/>
      <c r="I1423" s="41"/>
      <c r="J1423" s="41"/>
      <c r="K1423" s="41"/>
      <c r="L1423" s="41"/>
      <c r="M1423" s="41"/>
      <c r="N1423" s="41"/>
      <c r="O1423" s="35"/>
      <c r="P1423" s="42"/>
    </row>
    <row r="1424">
      <c r="A1424" s="39"/>
      <c r="B1424" s="39"/>
      <c r="C1424" s="3"/>
      <c r="D1424" s="40"/>
      <c r="E1424" s="38"/>
      <c r="F1424" s="38"/>
      <c r="G1424" s="4"/>
      <c r="H1424" s="4"/>
      <c r="I1424" s="41"/>
      <c r="J1424" s="41"/>
      <c r="K1424" s="41"/>
      <c r="L1424" s="41"/>
      <c r="M1424" s="41"/>
      <c r="N1424" s="41"/>
      <c r="O1424" s="35"/>
      <c r="P1424" s="42"/>
    </row>
    <row r="1425">
      <c r="A1425" s="39"/>
      <c r="B1425" s="39"/>
      <c r="C1425" s="3"/>
      <c r="D1425" s="40"/>
      <c r="E1425" s="38"/>
      <c r="F1425" s="38"/>
      <c r="G1425" s="4"/>
      <c r="H1425" s="4"/>
      <c r="I1425" s="41"/>
      <c r="J1425" s="41"/>
      <c r="K1425" s="41"/>
      <c r="L1425" s="41"/>
      <c r="M1425" s="41"/>
      <c r="N1425" s="41"/>
      <c r="O1425" s="35"/>
      <c r="P1425" s="42"/>
    </row>
    <row r="1426">
      <c r="A1426" s="39"/>
      <c r="B1426" s="39"/>
      <c r="C1426" s="3"/>
      <c r="D1426" s="40"/>
      <c r="E1426" s="38"/>
      <c r="F1426" s="38"/>
      <c r="G1426" s="4"/>
      <c r="H1426" s="4"/>
      <c r="I1426" s="41"/>
      <c r="J1426" s="41"/>
      <c r="K1426" s="41"/>
      <c r="L1426" s="41"/>
      <c r="M1426" s="41"/>
      <c r="N1426" s="41"/>
      <c r="O1426" s="35"/>
      <c r="P1426" s="42"/>
    </row>
    <row r="1427">
      <c r="A1427" s="39"/>
      <c r="B1427" s="39"/>
      <c r="C1427" s="3"/>
      <c r="D1427" s="40"/>
      <c r="E1427" s="38"/>
      <c r="F1427" s="38"/>
      <c r="G1427" s="4"/>
      <c r="H1427" s="4"/>
      <c r="I1427" s="41"/>
      <c r="J1427" s="41"/>
      <c r="K1427" s="41"/>
      <c r="L1427" s="41"/>
      <c r="M1427" s="41"/>
      <c r="N1427" s="41"/>
      <c r="O1427" s="35"/>
      <c r="P1427" s="42"/>
    </row>
    <row r="1428">
      <c r="A1428" s="39"/>
      <c r="B1428" s="39"/>
      <c r="C1428" s="3"/>
      <c r="D1428" s="40"/>
      <c r="E1428" s="38"/>
      <c r="F1428" s="38"/>
      <c r="G1428" s="4"/>
      <c r="H1428" s="4"/>
      <c r="I1428" s="41"/>
      <c r="J1428" s="41"/>
      <c r="K1428" s="41"/>
      <c r="L1428" s="41"/>
      <c r="M1428" s="41"/>
      <c r="N1428" s="41"/>
      <c r="O1428" s="35"/>
      <c r="P1428" s="42"/>
    </row>
    <row r="1429">
      <c r="A1429" s="39"/>
      <c r="B1429" s="39"/>
      <c r="C1429" s="3"/>
      <c r="D1429" s="40"/>
      <c r="E1429" s="38"/>
      <c r="F1429" s="38"/>
      <c r="G1429" s="4"/>
      <c r="H1429" s="4"/>
      <c r="I1429" s="41"/>
      <c r="J1429" s="41"/>
      <c r="K1429" s="41"/>
      <c r="L1429" s="41"/>
      <c r="M1429" s="41"/>
      <c r="N1429" s="41"/>
      <c r="O1429" s="35"/>
      <c r="P1429" s="42"/>
    </row>
    <row r="1430">
      <c r="A1430" s="39"/>
      <c r="B1430" s="39"/>
      <c r="C1430" s="3"/>
      <c r="D1430" s="40"/>
      <c r="E1430" s="38"/>
      <c r="F1430" s="38"/>
      <c r="G1430" s="4"/>
      <c r="H1430" s="4"/>
      <c r="I1430" s="41"/>
      <c r="J1430" s="41"/>
      <c r="K1430" s="41"/>
      <c r="L1430" s="41"/>
      <c r="M1430" s="41"/>
      <c r="N1430" s="41"/>
      <c r="O1430" s="35"/>
      <c r="P1430" s="42"/>
    </row>
    <row r="1431">
      <c r="A1431" s="39"/>
      <c r="B1431" s="39"/>
      <c r="C1431" s="3"/>
      <c r="D1431" s="40"/>
      <c r="E1431" s="38"/>
      <c r="F1431" s="38"/>
      <c r="G1431" s="4"/>
      <c r="H1431" s="4"/>
      <c r="I1431" s="41"/>
      <c r="J1431" s="41"/>
      <c r="K1431" s="41"/>
      <c r="L1431" s="41"/>
      <c r="M1431" s="41"/>
      <c r="N1431" s="41"/>
      <c r="O1431" s="35"/>
      <c r="P1431" s="42"/>
    </row>
    <row r="1432">
      <c r="A1432" s="39"/>
      <c r="B1432" s="39"/>
      <c r="C1432" s="3"/>
      <c r="D1432" s="40"/>
      <c r="E1432" s="38"/>
      <c r="F1432" s="38"/>
      <c r="G1432" s="4"/>
      <c r="H1432" s="4"/>
      <c r="I1432" s="41"/>
      <c r="J1432" s="41"/>
      <c r="K1432" s="41"/>
      <c r="L1432" s="41"/>
      <c r="M1432" s="41"/>
      <c r="N1432" s="41"/>
      <c r="O1432" s="35"/>
      <c r="P1432" s="42"/>
    </row>
    <row r="1433">
      <c r="A1433" s="39"/>
      <c r="B1433" s="39"/>
      <c r="C1433" s="3"/>
      <c r="D1433" s="40"/>
      <c r="E1433" s="38"/>
      <c r="F1433" s="38"/>
      <c r="G1433" s="4"/>
      <c r="H1433" s="4"/>
      <c r="I1433" s="41"/>
      <c r="J1433" s="41"/>
      <c r="K1433" s="41"/>
      <c r="L1433" s="41"/>
      <c r="M1433" s="41"/>
      <c r="N1433" s="41"/>
      <c r="O1433" s="35"/>
      <c r="P1433" s="42"/>
    </row>
    <row r="1434">
      <c r="A1434" s="39"/>
      <c r="B1434" s="39"/>
      <c r="C1434" s="3"/>
      <c r="D1434" s="40"/>
      <c r="E1434" s="38"/>
      <c r="F1434" s="38"/>
      <c r="G1434" s="4"/>
      <c r="H1434" s="4"/>
      <c r="I1434" s="41"/>
      <c r="J1434" s="41"/>
      <c r="K1434" s="41"/>
      <c r="L1434" s="41"/>
      <c r="M1434" s="41"/>
      <c r="N1434" s="41"/>
      <c r="O1434" s="35"/>
      <c r="P1434" s="42"/>
    </row>
    <row r="1435">
      <c r="A1435" s="39"/>
      <c r="B1435" s="39"/>
      <c r="C1435" s="3"/>
      <c r="D1435" s="40"/>
      <c r="E1435" s="38"/>
      <c r="F1435" s="38"/>
      <c r="G1435" s="4"/>
      <c r="H1435" s="4"/>
      <c r="I1435" s="41"/>
      <c r="J1435" s="41"/>
      <c r="K1435" s="41"/>
      <c r="L1435" s="41"/>
      <c r="M1435" s="41"/>
      <c r="N1435" s="41"/>
      <c r="O1435" s="35"/>
      <c r="P1435" s="42"/>
    </row>
    <row r="1436">
      <c r="A1436" s="39"/>
      <c r="B1436" s="39"/>
      <c r="C1436" s="3"/>
      <c r="D1436" s="40"/>
      <c r="E1436" s="38"/>
      <c r="F1436" s="38"/>
      <c r="G1436" s="4"/>
      <c r="H1436" s="4"/>
      <c r="I1436" s="41"/>
      <c r="J1436" s="41"/>
      <c r="K1436" s="41"/>
      <c r="L1436" s="41"/>
      <c r="M1436" s="41"/>
      <c r="N1436" s="41"/>
      <c r="O1436" s="35"/>
      <c r="P1436" s="42"/>
    </row>
    <row r="1437">
      <c r="A1437" s="39"/>
      <c r="B1437" s="39"/>
      <c r="C1437" s="3"/>
      <c r="D1437" s="40"/>
      <c r="E1437" s="38"/>
      <c r="F1437" s="38"/>
      <c r="G1437" s="4"/>
      <c r="H1437" s="4"/>
      <c r="I1437" s="41"/>
      <c r="J1437" s="41"/>
      <c r="K1437" s="41"/>
      <c r="L1437" s="41"/>
      <c r="M1437" s="41"/>
      <c r="N1437" s="41"/>
      <c r="O1437" s="35"/>
      <c r="P1437" s="42"/>
    </row>
    <row r="1438">
      <c r="A1438" s="39"/>
      <c r="B1438" s="39"/>
      <c r="C1438" s="3"/>
      <c r="D1438" s="40"/>
      <c r="E1438" s="38"/>
      <c r="F1438" s="38"/>
      <c r="G1438" s="4"/>
      <c r="H1438" s="4"/>
      <c r="I1438" s="41"/>
      <c r="J1438" s="41"/>
      <c r="K1438" s="41"/>
      <c r="L1438" s="41"/>
      <c r="M1438" s="41"/>
      <c r="N1438" s="41"/>
      <c r="O1438" s="35"/>
      <c r="P1438" s="42"/>
    </row>
    <row r="1439">
      <c r="A1439" s="39"/>
      <c r="B1439" s="39"/>
      <c r="C1439" s="3"/>
      <c r="D1439" s="40"/>
      <c r="E1439" s="38"/>
      <c r="F1439" s="38"/>
      <c r="G1439" s="4"/>
      <c r="H1439" s="4"/>
      <c r="I1439" s="41"/>
      <c r="J1439" s="41"/>
      <c r="K1439" s="41"/>
      <c r="L1439" s="41"/>
      <c r="M1439" s="41"/>
      <c r="N1439" s="41"/>
      <c r="O1439" s="35"/>
      <c r="P1439" s="42"/>
    </row>
    <row r="1440">
      <c r="A1440" s="39"/>
      <c r="B1440" s="39"/>
      <c r="C1440" s="3"/>
      <c r="D1440" s="40"/>
      <c r="E1440" s="38"/>
      <c r="F1440" s="38"/>
      <c r="G1440" s="4"/>
      <c r="H1440" s="4"/>
      <c r="I1440" s="41"/>
      <c r="J1440" s="41"/>
      <c r="K1440" s="41"/>
      <c r="L1440" s="41"/>
      <c r="M1440" s="41"/>
      <c r="N1440" s="41"/>
      <c r="O1440" s="35"/>
      <c r="P1440" s="42"/>
    </row>
    <row r="1441">
      <c r="A1441" s="39"/>
      <c r="B1441" s="39"/>
      <c r="C1441" s="3"/>
      <c r="D1441" s="40"/>
      <c r="E1441" s="38"/>
      <c r="F1441" s="38"/>
      <c r="G1441" s="4"/>
      <c r="H1441" s="4"/>
      <c r="I1441" s="41"/>
      <c r="J1441" s="41"/>
      <c r="K1441" s="41"/>
      <c r="L1441" s="41"/>
      <c r="M1441" s="41"/>
      <c r="N1441" s="41"/>
      <c r="O1441" s="35"/>
      <c r="P1441" s="42"/>
    </row>
    <row r="1442">
      <c r="A1442" s="39"/>
      <c r="B1442" s="39"/>
      <c r="C1442" s="3"/>
      <c r="D1442" s="40"/>
      <c r="E1442" s="38"/>
      <c r="F1442" s="38"/>
      <c r="G1442" s="4"/>
      <c r="H1442" s="4"/>
      <c r="I1442" s="41"/>
      <c r="J1442" s="41"/>
      <c r="K1442" s="41"/>
      <c r="L1442" s="41"/>
      <c r="M1442" s="41"/>
      <c r="N1442" s="41"/>
      <c r="O1442" s="35"/>
      <c r="P1442" s="42"/>
    </row>
    <row r="1443">
      <c r="A1443" s="39"/>
      <c r="B1443" s="39"/>
      <c r="C1443" s="3"/>
      <c r="D1443" s="40"/>
      <c r="E1443" s="38"/>
      <c r="F1443" s="38"/>
      <c r="G1443" s="4"/>
      <c r="H1443" s="4"/>
      <c r="I1443" s="41"/>
      <c r="J1443" s="41"/>
      <c r="K1443" s="41"/>
      <c r="L1443" s="41"/>
      <c r="M1443" s="41"/>
      <c r="N1443" s="41"/>
      <c r="O1443" s="35"/>
      <c r="P1443" s="42"/>
    </row>
    <row r="1444">
      <c r="A1444" s="39"/>
      <c r="B1444" s="39"/>
      <c r="C1444" s="3"/>
      <c r="D1444" s="40"/>
      <c r="E1444" s="38"/>
      <c r="F1444" s="38"/>
      <c r="G1444" s="4"/>
      <c r="H1444" s="4"/>
      <c r="I1444" s="41"/>
      <c r="J1444" s="41"/>
      <c r="K1444" s="41"/>
      <c r="L1444" s="41"/>
      <c r="M1444" s="41"/>
      <c r="N1444" s="41"/>
      <c r="O1444" s="35"/>
      <c r="P1444" s="42"/>
    </row>
    <row r="1445">
      <c r="A1445" s="39"/>
      <c r="B1445" s="39"/>
      <c r="C1445" s="3"/>
      <c r="D1445" s="40"/>
      <c r="E1445" s="38"/>
      <c r="F1445" s="38"/>
      <c r="G1445" s="4"/>
      <c r="H1445" s="4"/>
      <c r="I1445" s="41"/>
      <c r="J1445" s="41"/>
      <c r="K1445" s="41"/>
      <c r="L1445" s="41"/>
      <c r="M1445" s="41"/>
      <c r="N1445" s="41"/>
      <c r="O1445" s="35"/>
      <c r="P1445" s="42"/>
    </row>
    <row r="1446">
      <c r="A1446" s="39"/>
      <c r="B1446" s="39"/>
      <c r="C1446" s="3"/>
      <c r="D1446" s="40"/>
      <c r="E1446" s="38"/>
      <c r="F1446" s="38"/>
      <c r="G1446" s="4"/>
      <c r="H1446" s="4"/>
      <c r="I1446" s="41"/>
      <c r="J1446" s="41"/>
      <c r="K1446" s="41"/>
      <c r="L1446" s="41"/>
      <c r="M1446" s="41"/>
      <c r="N1446" s="41"/>
      <c r="O1446" s="35"/>
      <c r="P1446" s="42"/>
    </row>
    <row r="1447">
      <c r="A1447" s="39"/>
      <c r="B1447" s="39"/>
      <c r="C1447" s="3"/>
      <c r="D1447" s="40"/>
      <c r="E1447" s="38"/>
      <c r="F1447" s="38"/>
      <c r="G1447" s="4"/>
      <c r="H1447" s="4"/>
      <c r="I1447" s="41"/>
      <c r="J1447" s="41"/>
      <c r="K1447" s="41"/>
      <c r="L1447" s="41"/>
      <c r="M1447" s="41"/>
      <c r="N1447" s="41"/>
      <c r="O1447" s="35"/>
      <c r="P1447" s="42"/>
    </row>
    <row r="1448">
      <c r="A1448" s="39"/>
      <c r="B1448" s="39"/>
      <c r="C1448" s="3"/>
      <c r="D1448" s="40"/>
      <c r="E1448" s="38"/>
      <c r="F1448" s="38"/>
      <c r="G1448" s="4"/>
      <c r="H1448" s="4"/>
      <c r="I1448" s="41"/>
      <c r="J1448" s="41"/>
      <c r="K1448" s="41"/>
      <c r="L1448" s="41"/>
      <c r="M1448" s="41"/>
      <c r="N1448" s="41"/>
      <c r="O1448" s="35"/>
      <c r="P1448" s="42"/>
    </row>
    <row r="1449">
      <c r="A1449" s="39"/>
      <c r="B1449" s="39"/>
      <c r="C1449" s="3"/>
      <c r="D1449" s="40"/>
      <c r="E1449" s="38"/>
      <c r="F1449" s="38"/>
      <c r="G1449" s="4"/>
      <c r="H1449" s="4"/>
      <c r="I1449" s="41"/>
      <c r="J1449" s="41"/>
      <c r="K1449" s="41"/>
      <c r="L1449" s="41"/>
      <c r="M1449" s="41"/>
      <c r="N1449" s="41"/>
      <c r="O1449" s="35"/>
      <c r="P1449" s="42"/>
    </row>
    <row r="1450">
      <c r="A1450" s="39"/>
      <c r="B1450" s="39"/>
      <c r="C1450" s="3"/>
      <c r="D1450" s="40"/>
      <c r="E1450" s="38"/>
      <c r="F1450" s="38"/>
      <c r="G1450" s="4"/>
      <c r="H1450" s="4"/>
      <c r="I1450" s="41"/>
      <c r="J1450" s="41"/>
      <c r="K1450" s="41"/>
      <c r="L1450" s="41"/>
      <c r="M1450" s="41"/>
      <c r="N1450" s="41"/>
      <c r="O1450" s="35"/>
      <c r="P1450" s="42"/>
    </row>
    <row r="1451">
      <c r="A1451" s="39"/>
      <c r="B1451" s="39"/>
      <c r="C1451" s="3"/>
      <c r="D1451" s="40"/>
      <c r="E1451" s="38"/>
      <c r="F1451" s="38"/>
      <c r="G1451" s="4"/>
      <c r="H1451" s="4"/>
      <c r="I1451" s="41"/>
      <c r="J1451" s="41"/>
      <c r="K1451" s="41"/>
      <c r="L1451" s="41"/>
      <c r="M1451" s="41"/>
      <c r="N1451" s="41"/>
      <c r="O1451" s="35"/>
      <c r="P1451" s="42"/>
    </row>
    <row r="1452">
      <c r="A1452" s="39"/>
      <c r="B1452" s="39"/>
      <c r="C1452" s="3"/>
      <c r="D1452" s="40"/>
      <c r="E1452" s="38"/>
      <c r="F1452" s="38"/>
      <c r="G1452" s="4"/>
      <c r="H1452" s="4"/>
      <c r="I1452" s="41"/>
      <c r="J1452" s="41"/>
      <c r="K1452" s="41"/>
      <c r="L1452" s="41"/>
      <c r="M1452" s="41"/>
      <c r="N1452" s="41"/>
      <c r="O1452" s="35"/>
      <c r="P1452" s="42"/>
    </row>
    <row r="1453">
      <c r="A1453" s="39"/>
      <c r="B1453" s="39"/>
      <c r="C1453" s="3"/>
      <c r="D1453" s="40"/>
      <c r="E1453" s="38"/>
      <c r="F1453" s="38"/>
      <c r="G1453" s="4"/>
      <c r="H1453" s="4"/>
      <c r="I1453" s="41"/>
      <c r="J1453" s="41"/>
      <c r="K1453" s="41"/>
      <c r="L1453" s="41"/>
      <c r="M1453" s="41"/>
      <c r="N1453" s="41"/>
      <c r="O1453" s="35"/>
      <c r="P1453" s="42"/>
    </row>
    <row r="1454">
      <c r="A1454" s="39"/>
      <c r="B1454" s="39"/>
      <c r="C1454" s="3"/>
      <c r="D1454" s="40"/>
      <c r="E1454" s="38"/>
      <c r="F1454" s="38"/>
      <c r="G1454" s="4"/>
      <c r="H1454" s="4"/>
      <c r="I1454" s="41"/>
      <c r="J1454" s="41"/>
      <c r="K1454" s="41"/>
      <c r="L1454" s="41"/>
      <c r="M1454" s="41"/>
      <c r="N1454" s="41"/>
      <c r="O1454" s="35"/>
      <c r="P1454" s="42"/>
    </row>
    <row r="1455">
      <c r="A1455" s="39"/>
      <c r="B1455" s="39"/>
      <c r="C1455" s="3"/>
      <c r="D1455" s="40"/>
      <c r="E1455" s="38"/>
      <c r="F1455" s="38"/>
      <c r="G1455" s="4"/>
      <c r="H1455" s="4"/>
      <c r="I1455" s="41"/>
      <c r="J1455" s="41"/>
      <c r="K1455" s="41"/>
      <c r="L1455" s="41"/>
      <c r="M1455" s="41"/>
      <c r="N1455" s="41"/>
      <c r="O1455" s="35"/>
      <c r="P1455" s="42"/>
    </row>
    <row r="1456">
      <c r="A1456" s="39"/>
      <c r="B1456" s="39"/>
      <c r="C1456" s="3"/>
      <c r="D1456" s="40"/>
      <c r="E1456" s="38"/>
      <c r="F1456" s="38"/>
      <c r="G1456" s="4"/>
      <c r="H1456" s="4"/>
      <c r="I1456" s="41"/>
      <c r="J1456" s="41"/>
      <c r="K1456" s="41"/>
      <c r="L1456" s="41"/>
      <c r="M1456" s="41"/>
      <c r="N1456" s="41"/>
      <c r="O1456" s="35"/>
      <c r="P1456" s="42"/>
    </row>
    <row r="1457">
      <c r="A1457" s="39"/>
      <c r="B1457" s="39"/>
      <c r="C1457" s="3"/>
      <c r="D1457" s="40"/>
      <c r="E1457" s="38"/>
      <c r="F1457" s="38"/>
      <c r="G1457" s="4"/>
      <c r="H1457" s="4"/>
      <c r="I1457" s="41"/>
      <c r="J1457" s="41"/>
      <c r="K1457" s="41"/>
      <c r="L1457" s="41"/>
      <c r="M1457" s="41"/>
      <c r="N1457" s="41"/>
      <c r="O1457" s="35"/>
      <c r="P1457" s="42"/>
    </row>
    <row r="1458">
      <c r="A1458" s="39"/>
      <c r="B1458" s="39"/>
      <c r="C1458" s="3"/>
      <c r="D1458" s="40"/>
      <c r="E1458" s="38"/>
      <c r="F1458" s="38"/>
      <c r="G1458" s="4"/>
      <c r="H1458" s="4"/>
      <c r="I1458" s="41"/>
      <c r="J1458" s="41"/>
      <c r="K1458" s="41"/>
      <c r="L1458" s="41"/>
      <c r="M1458" s="41"/>
      <c r="N1458" s="41"/>
      <c r="O1458" s="35"/>
      <c r="P1458" s="42"/>
    </row>
    <row r="1459">
      <c r="A1459" s="39"/>
      <c r="B1459" s="39"/>
      <c r="C1459" s="3"/>
      <c r="D1459" s="40"/>
      <c r="E1459" s="38"/>
      <c r="F1459" s="38"/>
      <c r="G1459" s="4"/>
      <c r="H1459" s="4"/>
      <c r="I1459" s="41"/>
      <c r="J1459" s="41"/>
      <c r="K1459" s="41"/>
      <c r="L1459" s="41"/>
      <c r="M1459" s="41"/>
      <c r="N1459" s="41"/>
      <c r="O1459" s="35"/>
      <c r="P1459" s="42"/>
    </row>
    <row r="1460">
      <c r="A1460" s="39"/>
      <c r="B1460" s="39"/>
      <c r="C1460" s="3"/>
      <c r="D1460" s="40"/>
      <c r="E1460" s="38"/>
      <c r="F1460" s="38"/>
      <c r="G1460" s="4"/>
      <c r="H1460" s="4"/>
      <c r="I1460" s="41"/>
      <c r="J1460" s="41"/>
      <c r="K1460" s="41"/>
      <c r="L1460" s="41"/>
      <c r="M1460" s="41"/>
      <c r="N1460" s="41"/>
      <c r="O1460" s="35"/>
      <c r="P1460" s="42"/>
    </row>
    <row r="1461">
      <c r="A1461" s="39"/>
      <c r="B1461" s="39"/>
      <c r="C1461" s="3"/>
      <c r="D1461" s="40"/>
      <c r="E1461" s="38"/>
      <c r="F1461" s="38"/>
      <c r="G1461" s="4"/>
      <c r="H1461" s="4"/>
      <c r="I1461" s="41"/>
      <c r="J1461" s="41"/>
      <c r="K1461" s="41"/>
      <c r="L1461" s="41"/>
      <c r="M1461" s="41"/>
      <c r="N1461" s="41"/>
      <c r="O1461" s="35"/>
      <c r="P1461" s="42"/>
    </row>
    <row r="1462">
      <c r="A1462" s="39"/>
      <c r="B1462" s="39"/>
      <c r="C1462" s="3"/>
      <c r="D1462" s="40"/>
      <c r="E1462" s="38"/>
      <c r="F1462" s="38"/>
      <c r="G1462" s="4"/>
      <c r="H1462" s="4"/>
      <c r="I1462" s="41"/>
      <c r="J1462" s="41"/>
      <c r="K1462" s="41"/>
      <c r="L1462" s="41"/>
      <c r="M1462" s="41"/>
      <c r="N1462" s="41"/>
      <c r="O1462" s="35"/>
      <c r="P1462" s="42"/>
    </row>
    <row r="1463">
      <c r="A1463" s="39"/>
      <c r="B1463" s="39"/>
      <c r="C1463" s="3"/>
      <c r="D1463" s="40"/>
      <c r="E1463" s="38"/>
      <c r="F1463" s="38"/>
      <c r="G1463" s="4"/>
      <c r="H1463" s="4"/>
      <c r="I1463" s="41"/>
      <c r="J1463" s="41"/>
      <c r="K1463" s="41"/>
      <c r="L1463" s="41"/>
      <c r="M1463" s="41"/>
      <c r="N1463" s="41"/>
      <c r="O1463" s="35"/>
      <c r="P1463" s="42"/>
    </row>
    <row r="1464">
      <c r="A1464" s="39"/>
      <c r="B1464" s="39"/>
      <c r="C1464" s="3"/>
      <c r="D1464" s="40"/>
      <c r="E1464" s="38"/>
      <c r="F1464" s="38"/>
      <c r="G1464" s="4"/>
      <c r="H1464" s="4"/>
      <c r="I1464" s="41"/>
      <c r="J1464" s="41"/>
      <c r="K1464" s="41"/>
      <c r="L1464" s="41"/>
      <c r="M1464" s="41"/>
      <c r="N1464" s="41"/>
      <c r="O1464" s="35"/>
      <c r="P1464" s="42"/>
    </row>
    <row r="1465">
      <c r="A1465" s="39"/>
      <c r="B1465" s="39"/>
      <c r="C1465" s="3"/>
      <c r="D1465" s="40"/>
      <c r="E1465" s="38"/>
      <c r="F1465" s="38"/>
      <c r="G1465" s="4"/>
      <c r="H1465" s="4"/>
      <c r="I1465" s="41"/>
      <c r="J1465" s="41"/>
      <c r="K1465" s="41"/>
      <c r="L1465" s="41"/>
      <c r="M1465" s="41"/>
      <c r="N1465" s="41"/>
      <c r="O1465" s="35"/>
      <c r="P1465" s="42"/>
    </row>
    <row r="1466">
      <c r="A1466" s="39"/>
      <c r="B1466" s="39"/>
      <c r="C1466" s="3"/>
      <c r="D1466" s="40"/>
      <c r="E1466" s="38"/>
      <c r="F1466" s="38"/>
      <c r="G1466" s="4"/>
      <c r="H1466" s="4"/>
      <c r="I1466" s="41"/>
      <c r="J1466" s="41"/>
      <c r="K1466" s="41"/>
      <c r="L1466" s="41"/>
      <c r="M1466" s="41"/>
      <c r="N1466" s="41"/>
      <c r="O1466" s="35"/>
      <c r="P1466" s="42"/>
    </row>
    <row r="1467">
      <c r="A1467" s="39"/>
      <c r="B1467" s="39"/>
      <c r="C1467" s="3"/>
      <c r="D1467" s="40"/>
      <c r="E1467" s="38"/>
      <c r="F1467" s="38"/>
      <c r="G1467" s="4"/>
      <c r="H1467" s="4"/>
      <c r="I1467" s="41"/>
      <c r="J1467" s="41"/>
      <c r="K1467" s="41"/>
      <c r="L1467" s="41"/>
      <c r="M1467" s="41"/>
      <c r="N1467" s="41"/>
      <c r="O1467" s="35"/>
      <c r="P1467" s="42"/>
    </row>
    <row r="1468">
      <c r="A1468" s="39"/>
      <c r="B1468" s="39"/>
      <c r="C1468" s="3"/>
      <c r="D1468" s="40"/>
      <c r="E1468" s="38"/>
      <c r="F1468" s="38"/>
      <c r="G1468" s="4"/>
      <c r="H1468" s="4"/>
      <c r="I1468" s="41"/>
      <c r="J1468" s="41"/>
      <c r="K1468" s="41"/>
      <c r="L1468" s="41"/>
      <c r="M1468" s="41"/>
      <c r="N1468" s="41"/>
      <c r="O1468" s="35"/>
      <c r="P1468" s="42"/>
    </row>
    <row r="1469">
      <c r="A1469" s="39"/>
      <c r="B1469" s="39"/>
      <c r="C1469" s="3"/>
      <c r="D1469" s="40"/>
      <c r="E1469" s="38"/>
      <c r="F1469" s="38"/>
      <c r="G1469" s="4"/>
      <c r="H1469" s="4"/>
      <c r="I1469" s="41"/>
      <c r="J1469" s="41"/>
      <c r="K1469" s="41"/>
      <c r="L1469" s="41"/>
      <c r="M1469" s="41"/>
      <c r="N1469" s="41"/>
      <c r="O1469" s="35"/>
      <c r="P1469" s="42"/>
    </row>
    <row r="1470">
      <c r="A1470" s="39"/>
      <c r="B1470" s="39"/>
      <c r="C1470" s="3"/>
      <c r="D1470" s="40"/>
      <c r="E1470" s="38"/>
      <c r="F1470" s="38"/>
      <c r="G1470" s="4"/>
      <c r="H1470" s="4"/>
      <c r="I1470" s="41"/>
      <c r="J1470" s="41"/>
      <c r="K1470" s="41"/>
      <c r="L1470" s="41"/>
      <c r="M1470" s="41"/>
      <c r="N1470" s="41"/>
      <c r="O1470" s="35"/>
      <c r="P1470" s="42"/>
    </row>
    <row r="1471">
      <c r="A1471" s="39"/>
      <c r="B1471" s="39"/>
      <c r="C1471" s="3"/>
      <c r="D1471" s="40"/>
      <c r="E1471" s="38"/>
      <c r="F1471" s="38"/>
      <c r="G1471" s="4"/>
      <c r="H1471" s="4"/>
      <c r="I1471" s="41"/>
      <c r="J1471" s="41"/>
      <c r="K1471" s="41"/>
      <c r="L1471" s="41"/>
      <c r="M1471" s="41"/>
      <c r="N1471" s="41"/>
      <c r="O1471" s="35"/>
      <c r="P1471" s="42"/>
    </row>
    <row r="1472">
      <c r="A1472" s="39"/>
      <c r="B1472" s="39"/>
      <c r="C1472" s="3"/>
      <c r="D1472" s="40"/>
      <c r="E1472" s="38"/>
      <c r="F1472" s="38"/>
      <c r="G1472" s="4"/>
      <c r="H1472" s="4"/>
      <c r="I1472" s="41"/>
      <c r="J1472" s="41"/>
      <c r="K1472" s="41"/>
      <c r="L1472" s="41"/>
      <c r="M1472" s="41"/>
      <c r="N1472" s="41"/>
      <c r="O1472" s="35"/>
      <c r="P1472" s="42"/>
    </row>
    <row r="1473">
      <c r="A1473" s="39"/>
      <c r="B1473" s="39"/>
      <c r="C1473" s="3"/>
      <c r="D1473" s="40"/>
      <c r="E1473" s="38"/>
      <c r="F1473" s="38"/>
      <c r="G1473" s="4"/>
      <c r="H1473" s="4"/>
      <c r="I1473" s="41"/>
      <c r="J1473" s="41"/>
      <c r="K1473" s="41"/>
      <c r="L1473" s="41"/>
      <c r="M1473" s="41"/>
      <c r="N1473" s="41"/>
      <c r="O1473" s="35"/>
      <c r="P1473" s="42"/>
    </row>
    <row r="1474">
      <c r="A1474" s="39"/>
      <c r="B1474" s="39"/>
      <c r="C1474" s="3"/>
      <c r="D1474" s="40"/>
      <c r="E1474" s="38"/>
      <c r="F1474" s="38"/>
      <c r="G1474" s="4"/>
      <c r="H1474" s="4"/>
      <c r="I1474" s="41"/>
      <c r="J1474" s="41"/>
      <c r="K1474" s="41"/>
      <c r="L1474" s="41"/>
      <c r="M1474" s="41"/>
      <c r="N1474" s="41"/>
      <c r="O1474" s="35"/>
      <c r="P1474" s="42"/>
    </row>
    <row r="1475">
      <c r="A1475" s="39"/>
      <c r="B1475" s="39"/>
      <c r="C1475" s="3"/>
      <c r="D1475" s="40"/>
      <c r="E1475" s="38"/>
      <c r="F1475" s="38"/>
      <c r="G1475" s="4"/>
      <c r="H1475" s="4"/>
      <c r="I1475" s="41"/>
      <c r="J1475" s="41"/>
      <c r="K1475" s="41"/>
      <c r="L1475" s="41"/>
      <c r="M1475" s="41"/>
      <c r="N1475" s="41"/>
      <c r="O1475" s="35"/>
      <c r="P1475" s="42"/>
    </row>
    <row r="1476">
      <c r="A1476" s="39"/>
      <c r="B1476" s="39"/>
      <c r="C1476" s="3"/>
      <c r="D1476" s="40"/>
      <c r="E1476" s="38"/>
      <c r="F1476" s="38"/>
      <c r="G1476" s="4"/>
      <c r="H1476" s="4"/>
      <c r="I1476" s="41"/>
      <c r="J1476" s="41"/>
      <c r="K1476" s="41"/>
      <c r="L1476" s="41"/>
      <c r="M1476" s="41"/>
      <c r="N1476" s="41"/>
      <c r="O1476" s="35"/>
      <c r="P1476" s="42"/>
    </row>
    <row r="1477">
      <c r="A1477" s="39"/>
      <c r="B1477" s="39"/>
      <c r="C1477" s="3"/>
      <c r="D1477" s="40"/>
      <c r="E1477" s="38"/>
      <c r="F1477" s="38"/>
      <c r="G1477" s="4"/>
      <c r="H1477" s="4"/>
      <c r="I1477" s="41"/>
      <c r="J1477" s="41"/>
      <c r="K1477" s="41"/>
      <c r="L1477" s="41"/>
      <c r="M1477" s="41"/>
      <c r="N1477" s="41"/>
      <c r="O1477" s="35"/>
      <c r="P1477" s="42"/>
    </row>
    <row r="1478">
      <c r="A1478" s="39"/>
      <c r="B1478" s="39"/>
      <c r="C1478" s="3"/>
      <c r="D1478" s="40"/>
      <c r="E1478" s="38"/>
      <c r="F1478" s="38"/>
      <c r="G1478" s="4"/>
      <c r="H1478" s="4"/>
      <c r="I1478" s="41"/>
      <c r="J1478" s="41"/>
      <c r="K1478" s="41"/>
      <c r="L1478" s="41"/>
      <c r="M1478" s="41"/>
      <c r="N1478" s="41"/>
      <c r="O1478" s="35"/>
      <c r="P1478" s="42"/>
    </row>
    <row r="1479">
      <c r="A1479" s="39"/>
      <c r="B1479" s="39"/>
      <c r="C1479" s="3"/>
      <c r="D1479" s="40"/>
      <c r="E1479" s="38"/>
      <c r="F1479" s="38"/>
      <c r="G1479" s="4"/>
      <c r="H1479" s="4"/>
      <c r="I1479" s="41"/>
      <c r="J1479" s="41"/>
      <c r="K1479" s="41"/>
      <c r="L1479" s="41"/>
      <c r="M1479" s="41"/>
      <c r="N1479" s="41"/>
      <c r="O1479" s="35"/>
      <c r="P1479" s="42"/>
    </row>
    <row r="1480">
      <c r="A1480" s="39"/>
      <c r="B1480" s="39"/>
      <c r="C1480" s="3"/>
      <c r="D1480" s="40"/>
      <c r="E1480" s="38"/>
      <c r="F1480" s="38"/>
      <c r="G1480" s="4"/>
      <c r="H1480" s="4"/>
      <c r="I1480" s="41"/>
      <c r="J1480" s="41"/>
      <c r="K1480" s="41"/>
      <c r="L1480" s="41"/>
      <c r="M1480" s="41"/>
      <c r="N1480" s="41"/>
      <c r="O1480" s="35"/>
      <c r="P1480" s="42"/>
    </row>
    <row r="1481">
      <c r="A1481" s="39"/>
      <c r="B1481" s="39"/>
      <c r="C1481" s="3"/>
      <c r="D1481" s="40"/>
      <c r="E1481" s="38"/>
      <c r="F1481" s="38"/>
      <c r="G1481" s="4"/>
      <c r="H1481" s="4"/>
      <c r="I1481" s="41"/>
      <c r="J1481" s="41"/>
      <c r="K1481" s="41"/>
      <c r="L1481" s="41"/>
      <c r="M1481" s="41"/>
      <c r="N1481" s="41"/>
      <c r="O1481" s="35"/>
      <c r="P1481" s="42"/>
    </row>
    <row r="1482">
      <c r="A1482" s="39"/>
      <c r="B1482" s="39"/>
      <c r="C1482" s="3"/>
      <c r="D1482" s="40"/>
      <c r="E1482" s="38"/>
      <c r="F1482" s="38"/>
      <c r="G1482" s="4"/>
      <c r="H1482" s="4"/>
      <c r="I1482" s="41"/>
      <c r="J1482" s="41"/>
      <c r="K1482" s="41"/>
      <c r="L1482" s="41"/>
      <c r="M1482" s="41"/>
      <c r="N1482" s="41"/>
      <c r="O1482" s="35"/>
      <c r="P1482" s="42"/>
    </row>
    <row r="1483">
      <c r="A1483" s="39"/>
      <c r="B1483" s="39"/>
      <c r="C1483" s="3"/>
      <c r="D1483" s="40"/>
      <c r="E1483" s="38"/>
      <c r="F1483" s="38"/>
      <c r="G1483" s="4"/>
      <c r="H1483" s="4"/>
      <c r="I1483" s="41"/>
      <c r="J1483" s="41"/>
      <c r="K1483" s="41"/>
      <c r="L1483" s="41"/>
      <c r="M1483" s="41"/>
      <c r="N1483" s="41"/>
      <c r="O1483" s="35"/>
      <c r="P1483" s="42"/>
    </row>
    <row r="1484">
      <c r="A1484" s="39"/>
      <c r="B1484" s="39"/>
      <c r="C1484" s="3"/>
      <c r="D1484" s="40"/>
      <c r="E1484" s="38"/>
      <c r="F1484" s="38"/>
      <c r="G1484" s="4"/>
      <c r="H1484" s="4"/>
      <c r="I1484" s="41"/>
      <c r="J1484" s="41"/>
      <c r="K1484" s="41"/>
      <c r="L1484" s="41"/>
      <c r="M1484" s="41"/>
      <c r="N1484" s="41"/>
      <c r="O1484" s="35"/>
      <c r="P1484" s="42"/>
    </row>
    <row r="1485">
      <c r="A1485" s="39"/>
      <c r="B1485" s="39"/>
      <c r="C1485" s="3"/>
      <c r="D1485" s="40"/>
      <c r="E1485" s="38"/>
      <c r="F1485" s="38"/>
      <c r="G1485" s="4"/>
      <c r="H1485" s="4"/>
      <c r="I1485" s="41"/>
      <c r="J1485" s="41"/>
      <c r="K1485" s="41"/>
      <c r="L1485" s="41"/>
      <c r="M1485" s="41"/>
      <c r="N1485" s="41"/>
      <c r="O1485" s="35"/>
      <c r="P1485" s="42"/>
    </row>
    <row r="1486">
      <c r="A1486" s="39"/>
      <c r="B1486" s="39"/>
      <c r="C1486" s="3"/>
      <c r="D1486" s="40"/>
      <c r="E1486" s="38"/>
      <c r="F1486" s="38"/>
      <c r="G1486" s="4"/>
      <c r="H1486" s="4"/>
      <c r="I1486" s="41"/>
      <c r="J1486" s="41"/>
      <c r="K1486" s="41"/>
      <c r="L1486" s="41"/>
      <c r="M1486" s="41"/>
      <c r="N1486" s="41"/>
      <c r="O1486" s="35"/>
      <c r="P1486" s="42"/>
    </row>
    <row r="1487">
      <c r="A1487" s="39"/>
      <c r="B1487" s="39"/>
      <c r="C1487" s="3"/>
      <c r="D1487" s="40"/>
      <c r="E1487" s="38"/>
      <c r="F1487" s="38"/>
      <c r="G1487" s="4"/>
      <c r="H1487" s="4"/>
      <c r="I1487" s="41"/>
      <c r="J1487" s="41"/>
      <c r="K1487" s="41"/>
      <c r="L1487" s="41"/>
      <c r="M1487" s="41"/>
      <c r="N1487" s="41"/>
      <c r="O1487" s="35"/>
      <c r="P1487" s="42"/>
    </row>
    <row r="1488">
      <c r="A1488" s="39"/>
      <c r="B1488" s="39"/>
      <c r="C1488" s="3"/>
      <c r="D1488" s="40"/>
      <c r="E1488" s="38"/>
      <c r="F1488" s="38"/>
      <c r="G1488" s="4"/>
      <c r="H1488" s="4"/>
      <c r="I1488" s="41"/>
      <c r="J1488" s="41"/>
      <c r="K1488" s="41"/>
      <c r="L1488" s="41"/>
      <c r="M1488" s="41"/>
      <c r="N1488" s="41"/>
      <c r="O1488" s="35"/>
      <c r="P1488" s="42"/>
    </row>
    <row r="1489">
      <c r="A1489" s="39"/>
      <c r="B1489" s="39"/>
      <c r="C1489" s="3"/>
      <c r="D1489" s="40"/>
      <c r="E1489" s="38"/>
      <c r="F1489" s="38"/>
      <c r="G1489" s="4"/>
      <c r="H1489" s="4"/>
      <c r="I1489" s="41"/>
      <c r="J1489" s="41"/>
      <c r="K1489" s="41"/>
      <c r="L1489" s="41"/>
      <c r="M1489" s="41"/>
      <c r="N1489" s="41"/>
      <c r="O1489" s="35"/>
      <c r="P1489" s="42"/>
    </row>
    <row r="1490">
      <c r="A1490" s="39"/>
      <c r="B1490" s="39"/>
      <c r="C1490" s="3"/>
      <c r="D1490" s="40"/>
      <c r="E1490" s="38"/>
      <c r="F1490" s="38"/>
      <c r="G1490" s="4"/>
      <c r="H1490" s="4"/>
      <c r="I1490" s="41"/>
      <c r="J1490" s="41"/>
      <c r="K1490" s="41"/>
      <c r="L1490" s="41"/>
      <c r="M1490" s="41"/>
      <c r="N1490" s="41"/>
      <c r="O1490" s="35"/>
      <c r="P1490" s="42"/>
    </row>
    <row r="1491">
      <c r="A1491" s="39"/>
      <c r="B1491" s="39"/>
      <c r="C1491" s="3"/>
      <c r="D1491" s="40"/>
      <c r="E1491" s="38"/>
      <c r="F1491" s="38"/>
      <c r="G1491" s="4"/>
      <c r="H1491" s="4"/>
      <c r="I1491" s="41"/>
      <c r="J1491" s="41"/>
      <c r="K1491" s="41"/>
      <c r="L1491" s="41"/>
      <c r="M1491" s="41"/>
      <c r="N1491" s="41"/>
      <c r="O1491" s="35"/>
      <c r="P1491" s="42"/>
    </row>
    <row r="1492">
      <c r="A1492" s="39"/>
      <c r="B1492" s="39"/>
      <c r="C1492" s="3"/>
      <c r="D1492" s="40"/>
      <c r="E1492" s="38"/>
      <c r="F1492" s="38"/>
      <c r="G1492" s="4"/>
      <c r="H1492" s="4"/>
      <c r="I1492" s="41"/>
      <c r="J1492" s="41"/>
      <c r="K1492" s="41"/>
      <c r="L1492" s="41"/>
      <c r="M1492" s="41"/>
      <c r="N1492" s="41"/>
      <c r="O1492" s="35"/>
      <c r="P1492" s="42"/>
    </row>
    <row r="1493">
      <c r="A1493" s="39"/>
      <c r="B1493" s="39"/>
      <c r="C1493" s="3"/>
      <c r="D1493" s="40"/>
      <c r="E1493" s="38"/>
      <c r="F1493" s="38"/>
      <c r="G1493" s="4"/>
      <c r="H1493" s="4"/>
      <c r="I1493" s="41"/>
      <c r="J1493" s="41"/>
      <c r="K1493" s="41"/>
      <c r="L1493" s="41"/>
      <c r="M1493" s="41"/>
      <c r="N1493" s="41"/>
      <c r="O1493" s="35"/>
      <c r="P1493" s="42"/>
    </row>
    <row r="1494">
      <c r="A1494" s="39"/>
      <c r="B1494" s="39"/>
      <c r="C1494" s="3"/>
      <c r="D1494" s="40"/>
      <c r="E1494" s="38"/>
      <c r="F1494" s="38"/>
      <c r="G1494" s="4"/>
      <c r="H1494" s="4"/>
      <c r="I1494" s="41"/>
      <c r="J1494" s="41"/>
      <c r="K1494" s="41"/>
      <c r="L1494" s="41"/>
      <c r="M1494" s="41"/>
      <c r="N1494" s="41"/>
      <c r="O1494" s="35"/>
      <c r="P1494" s="42"/>
    </row>
    <row r="1495">
      <c r="A1495" s="39"/>
      <c r="B1495" s="39"/>
      <c r="C1495" s="3"/>
      <c r="D1495" s="40"/>
      <c r="E1495" s="38"/>
      <c r="F1495" s="38"/>
      <c r="G1495" s="4"/>
      <c r="H1495" s="4"/>
      <c r="I1495" s="41"/>
      <c r="J1495" s="41"/>
      <c r="K1495" s="41"/>
      <c r="L1495" s="41"/>
      <c r="M1495" s="41"/>
      <c r="N1495" s="41"/>
      <c r="O1495" s="35"/>
      <c r="P1495" s="42"/>
    </row>
    <row r="1496">
      <c r="A1496" s="39"/>
      <c r="B1496" s="39"/>
      <c r="C1496" s="3"/>
      <c r="D1496" s="40"/>
      <c r="E1496" s="38"/>
      <c r="F1496" s="38"/>
      <c r="G1496" s="4"/>
      <c r="H1496" s="4"/>
      <c r="I1496" s="41"/>
      <c r="J1496" s="41"/>
      <c r="K1496" s="41"/>
      <c r="L1496" s="41"/>
      <c r="M1496" s="41"/>
      <c r="N1496" s="41"/>
      <c r="O1496" s="35"/>
      <c r="P1496" s="42"/>
    </row>
    <row r="1497">
      <c r="A1497" s="39"/>
      <c r="B1497" s="39"/>
      <c r="C1497" s="3"/>
      <c r="D1497" s="40"/>
      <c r="E1497" s="38"/>
      <c r="F1497" s="38"/>
      <c r="G1497" s="4"/>
      <c r="H1497" s="4"/>
      <c r="I1497" s="41"/>
      <c r="J1497" s="41"/>
      <c r="K1497" s="41"/>
      <c r="L1497" s="41"/>
      <c r="M1497" s="41"/>
      <c r="N1497" s="41"/>
      <c r="O1497" s="35"/>
      <c r="P1497" s="42"/>
    </row>
    <row r="1498">
      <c r="A1498" s="39"/>
      <c r="B1498" s="39"/>
      <c r="C1498" s="3"/>
      <c r="D1498" s="40"/>
      <c r="E1498" s="38"/>
      <c r="F1498" s="38"/>
      <c r="G1498" s="4"/>
      <c r="H1498" s="4"/>
      <c r="I1498" s="41"/>
      <c r="J1498" s="41"/>
      <c r="K1498" s="41"/>
      <c r="L1498" s="41"/>
      <c r="M1498" s="41"/>
      <c r="N1498" s="41"/>
      <c r="O1498" s="35"/>
      <c r="P1498" s="42"/>
    </row>
    <row r="1499">
      <c r="A1499" s="39"/>
      <c r="B1499" s="39"/>
      <c r="C1499" s="3"/>
      <c r="D1499" s="40"/>
      <c r="E1499" s="38"/>
      <c r="F1499" s="38"/>
      <c r="G1499" s="4"/>
      <c r="H1499" s="4"/>
      <c r="I1499" s="41"/>
      <c r="J1499" s="41"/>
      <c r="K1499" s="41"/>
      <c r="L1499" s="41"/>
      <c r="M1499" s="41"/>
      <c r="N1499" s="41"/>
      <c r="O1499" s="35"/>
      <c r="P1499" s="42"/>
    </row>
    <row r="1500">
      <c r="A1500" s="39"/>
      <c r="B1500" s="39"/>
      <c r="C1500" s="3"/>
      <c r="D1500" s="40"/>
      <c r="E1500" s="38"/>
      <c r="F1500" s="38"/>
      <c r="G1500" s="4"/>
      <c r="H1500" s="4"/>
      <c r="I1500" s="41"/>
      <c r="J1500" s="41"/>
      <c r="K1500" s="41"/>
      <c r="L1500" s="41"/>
      <c r="M1500" s="41"/>
      <c r="N1500" s="41"/>
      <c r="O1500" s="35"/>
      <c r="P1500" s="42"/>
    </row>
    <row r="1501">
      <c r="A1501" s="39"/>
      <c r="B1501" s="39"/>
      <c r="C1501" s="3"/>
      <c r="D1501" s="40"/>
      <c r="E1501" s="38"/>
      <c r="F1501" s="38"/>
      <c r="G1501" s="4"/>
      <c r="H1501" s="4"/>
      <c r="I1501" s="41"/>
      <c r="J1501" s="41"/>
      <c r="K1501" s="41"/>
      <c r="L1501" s="41"/>
      <c r="M1501" s="41"/>
      <c r="N1501" s="41"/>
      <c r="O1501" s="35"/>
      <c r="P1501" s="42"/>
    </row>
    <row r="1502">
      <c r="A1502" s="39"/>
      <c r="B1502" s="39"/>
      <c r="C1502" s="3"/>
      <c r="D1502" s="40"/>
      <c r="E1502" s="38"/>
      <c r="F1502" s="38"/>
      <c r="G1502" s="4"/>
      <c r="H1502" s="4"/>
      <c r="I1502" s="41"/>
      <c r="J1502" s="41"/>
      <c r="K1502" s="41"/>
      <c r="L1502" s="41"/>
      <c r="M1502" s="41"/>
      <c r="N1502" s="41"/>
      <c r="O1502" s="35"/>
      <c r="P1502" s="42"/>
    </row>
    <row r="1503">
      <c r="A1503" s="39"/>
      <c r="B1503" s="39"/>
      <c r="C1503" s="3"/>
      <c r="D1503" s="40"/>
      <c r="E1503" s="38"/>
      <c r="F1503" s="38"/>
      <c r="G1503" s="4"/>
      <c r="H1503" s="4"/>
      <c r="I1503" s="41"/>
      <c r="J1503" s="41"/>
      <c r="K1503" s="41"/>
      <c r="L1503" s="41"/>
      <c r="M1503" s="41"/>
      <c r="N1503" s="41"/>
      <c r="O1503" s="35"/>
      <c r="P1503" s="42"/>
    </row>
    <row r="1504">
      <c r="A1504" s="39"/>
      <c r="B1504" s="39"/>
      <c r="C1504" s="3"/>
      <c r="D1504" s="40"/>
      <c r="E1504" s="38"/>
      <c r="F1504" s="38"/>
      <c r="G1504" s="4"/>
      <c r="H1504" s="4"/>
      <c r="I1504" s="41"/>
      <c r="J1504" s="41"/>
      <c r="K1504" s="41"/>
      <c r="L1504" s="41"/>
      <c r="M1504" s="41"/>
      <c r="N1504" s="41"/>
      <c r="O1504" s="35"/>
      <c r="P1504" s="42"/>
    </row>
    <row r="1505">
      <c r="A1505" s="39"/>
      <c r="B1505" s="39"/>
      <c r="C1505" s="3"/>
      <c r="D1505" s="40"/>
      <c r="E1505" s="38"/>
      <c r="F1505" s="38"/>
      <c r="G1505" s="4"/>
      <c r="H1505" s="4"/>
      <c r="I1505" s="41"/>
      <c r="J1505" s="41"/>
      <c r="K1505" s="41"/>
      <c r="L1505" s="41"/>
      <c r="M1505" s="41"/>
      <c r="N1505" s="41"/>
      <c r="O1505" s="35"/>
      <c r="P1505" s="42"/>
    </row>
    <row r="1506">
      <c r="A1506" s="39"/>
      <c r="B1506" s="39"/>
      <c r="C1506" s="3"/>
      <c r="D1506" s="40"/>
      <c r="E1506" s="38"/>
      <c r="F1506" s="38"/>
      <c r="G1506" s="4"/>
      <c r="H1506" s="4"/>
      <c r="I1506" s="41"/>
      <c r="J1506" s="41"/>
      <c r="K1506" s="41"/>
      <c r="L1506" s="41"/>
      <c r="M1506" s="41"/>
      <c r="N1506" s="41"/>
      <c r="O1506" s="35"/>
      <c r="P1506" s="42"/>
    </row>
    <row r="1507">
      <c r="A1507" s="39"/>
      <c r="B1507" s="39"/>
      <c r="C1507" s="3"/>
      <c r="D1507" s="40"/>
      <c r="E1507" s="38"/>
      <c r="F1507" s="38"/>
      <c r="G1507" s="4"/>
      <c r="H1507" s="4"/>
      <c r="I1507" s="41"/>
      <c r="J1507" s="41"/>
      <c r="K1507" s="41"/>
      <c r="L1507" s="41"/>
      <c r="M1507" s="41"/>
      <c r="N1507" s="41"/>
      <c r="O1507" s="35"/>
      <c r="P1507" s="42"/>
    </row>
    <row r="1508">
      <c r="A1508" s="39"/>
      <c r="B1508" s="39"/>
      <c r="C1508" s="3"/>
      <c r="D1508" s="40"/>
      <c r="E1508" s="38"/>
      <c r="F1508" s="38"/>
      <c r="G1508" s="4"/>
      <c r="H1508" s="4"/>
      <c r="I1508" s="41"/>
      <c r="J1508" s="41"/>
      <c r="K1508" s="41"/>
      <c r="L1508" s="41"/>
      <c r="M1508" s="41"/>
      <c r="N1508" s="41"/>
      <c r="O1508" s="35"/>
      <c r="P1508" s="42"/>
    </row>
    <row r="1509">
      <c r="A1509" s="39"/>
      <c r="B1509" s="39"/>
      <c r="C1509" s="3"/>
      <c r="D1509" s="40"/>
      <c r="E1509" s="38"/>
      <c r="F1509" s="38"/>
      <c r="G1509" s="4"/>
      <c r="H1509" s="4"/>
      <c r="I1509" s="41"/>
      <c r="J1509" s="41"/>
      <c r="K1509" s="41"/>
      <c r="L1509" s="41"/>
      <c r="M1509" s="41"/>
      <c r="N1509" s="41"/>
      <c r="O1509" s="35"/>
      <c r="P1509" s="42"/>
    </row>
    <row r="1510">
      <c r="A1510" s="39"/>
      <c r="B1510" s="39"/>
      <c r="C1510" s="3"/>
      <c r="D1510" s="40"/>
      <c r="E1510" s="38"/>
      <c r="F1510" s="38"/>
      <c r="G1510" s="4"/>
      <c r="H1510" s="4"/>
      <c r="I1510" s="41"/>
      <c r="J1510" s="41"/>
      <c r="K1510" s="41"/>
      <c r="L1510" s="41"/>
      <c r="M1510" s="41"/>
      <c r="N1510" s="41"/>
      <c r="O1510" s="35"/>
      <c r="P1510" s="42"/>
    </row>
    <row r="1511">
      <c r="A1511" s="39"/>
      <c r="B1511" s="39"/>
      <c r="C1511" s="3"/>
      <c r="D1511" s="40"/>
      <c r="E1511" s="38"/>
      <c r="F1511" s="38"/>
      <c r="G1511" s="4"/>
      <c r="H1511" s="4"/>
      <c r="I1511" s="41"/>
      <c r="J1511" s="41"/>
      <c r="K1511" s="41"/>
      <c r="L1511" s="41"/>
      <c r="M1511" s="41"/>
      <c r="N1511" s="41"/>
      <c r="O1511" s="35"/>
      <c r="P1511" s="42"/>
    </row>
    <row r="1512">
      <c r="A1512" s="39"/>
      <c r="B1512" s="39"/>
      <c r="C1512" s="3"/>
      <c r="D1512" s="40"/>
      <c r="E1512" s="38"/>
      <c r="F1512" s="38"/>
      <c r="G1512" s="4"/>
      <c r="H1512" s="4"/>
      <c r="I1512" s="41"/>
      <c r="J1512" s="41"/>
      <c r="K1512" s="41"/>
      <c r="L1512" s="41"/>
      <c r="M1512" s="41"/>
      <c r="N1512" s="41"/>
      <c r="O1512" s="35"/>
      <c r="P1512" s="42"/>
    </row>
    <row r="1513">
      <c r="A1513" s="39"/>
      <c r="B1513" s="39"/>
      <c r="C1513" s="3"/>
      <c r="D1513" s="40"/>
      <c r="E1513" s="38"/>
      <c r="F1513" s="38"/>
      <c r="G1513" s="4"/>
      <c r="H1513" s="4"/>
      <c r="I1513" s="41"/>
      <c r="J1513" s="41"/>
      <c r="K1513" s="41"/>
      <c r="L1513" s="41"/>
      <c r="M1513" s="41"/>
      <c r="N1513" s="41"/>
      <c r="O1513" s="35"/>
      <c r="P1513" s="42"/>
    </row>
    <row r="1514">
      <c r="A1514" s="39"/>
      <c r="B1514" s="39"/>
      <c r="C1514" s="3"/>
      <c r="D1514" s="40"/>
      <c r="E1514" s="38"/>
      <c r="F1514" s="38"/>
      <c r="G1514" s="4"/>
      <c r="H1514" s="4"/>
      <c r="I1514" s="41"/>
      <c r="J1514" s="41"/>
      <c r="K1514" s="41"/>
      <c r="L1514" s="41"/>
      <c r="M1514" s="41"/>
      <c r="N1514" s="41"/>
      <c r="O1514" s="35"/>
      <c r="P1514" s="42"/>
    </row>
    <row r="1515">
      <c r="A1515" s="39"/>
      <c r="B1515" s="39"/>
      <c r="C1515" s="3"/>
      <c r="D1515" s="40"/>
      <c r="E1515" s="38"/>
      <c r="F1515" s="38"/>
      <c r="G1515" s="4"/>
      <c r="H1515" s="4"/>
      <c r="I1515" s="41"/>
      <c r="J1515" s="41"/>
      <c r="K1515" s="41"/>
      <c r="L1515" s="41"/>
      <c r="M1515" s="41"/>
      <c r="N1515" s="41"/>
      <c r="O1515" s="35"/>
      <c r="P1515" s="42"/>
    </row>
    <row r="1516">
      <c r="A1516" s="39"/>
      <c r="B1516" s="39"/>
      <c r="C1516" s="3"/>
      <c r="D1516" s="40"/>
      <c r="E1516" s="38"/>
      <c r="F1516" s="38"/>
      <c r="G1516" s="4"/>
      <c r="H1516" s="4"/>
      <c r="I1516" s="41"/>
      <c r="J1516" s="41"/>
      <c r="K1516" s="41"/>
      <c r="L1516" s="41"/>
      <c r="M1516" s="41"/>
      <c r="N1516" s="41"/>
      <c r="O1516" s="35"/>
      <c r="P1516" s="42"/>
    </row>
    <row r="1517">
      <c r="A1517" s="39"/>
      <c r="B1517" s="39"/>
      <c r="C1517" s="3"/>
      <c r="D1517" s="40"/>
      <c r="E1517" s="38"/>
      <c r="F1517" s="38"/>
      <c r="G1517" s="4"/>
      <c r="H1517" s="4"/>
      <c r="I1517" s="41"/>
      <c r="J1517" s="41"/>
      <c r="K1517" s="41"/>
      <c r="L1517" s="41"/>
      <c r="M1517" s="41"/>
      <c r="N1517" s="41"/>
      <c r="O1517" s="35"/>
      <c r="P1517" s="42"/>
    </row>
    <row r="1518">
      <c r="A1518" s="39"/>
      <c r="B1518" s="39"/>
      <c r="C1518" s="3"/>
      <c r="D1518" s="40"/>
      <c r="E1518" s="38"/>
      <c r="F1518" s="38"/>
      <c r="G1518" s="4"/>
      <c r="H1518" s="4"/>
      <c r="I1518" s="41"/>
      <c r="J1518" s="41"/>
      <c r="K1518" s="41"/>
      <c r="L1518" s="41"/>
      <c r="M1518" s="41"/>
      <c r="N1518" s="41"/>
      <c r="O1518" s="35"/>
      <c r="P1518" s="42"/>
    </row>
    <row r="1519">
      <c r="A1519" s="39"/>
      <c r="B1519" s="39"/>
      <c r="C1519" s="3"/>
      <c r="D1519" s="40"/>
      <c r="E1519" s="38"/>
      <c r="F1519" s="38"/>
      <c r="G1519" s="4"/>
      <c r="H1519" s="4"/>
      <c r="I1519" s="41"/>
      <c r="J1519" s="41"/>
      <c r="K1519" s="41"/>
      <c r="L1519" s="41"/>
      <c r="M1519" s="41"/>
      <c r="N1519" s="41"/>
      <c r="O1519" s="35"/>
      <c r="P1519" s="42"/>
    </row>
    <row r="1520">
      <c r="A1520" s="39"/>
      <c r="B1520" s="39"/>
      <c r="C1520" s="3"/>
      <c r="D1520" s="40"/>
      <c r="E1520" s="38"/>
      <c r="F1520" s="38"/>
      <c r="G1520" s="4"/>
      <c r="H1520" s="4"/>
      <c r="I1520" s="41"/>
      <c r="J1520" s="41"/>
      <c r="K1520" s="41"/>
      <c r="L1520" s="41"/>
      <c r="M1520" s="41"/>
      <c r="N1520" s="41"/>
      <c r="O1520" s="35"/>
      <c r="P1520" s="42"/>
    </row>
    <row r="1521">
      <c r="A1521" s="39"/>
      <c r="B1521" s="39"/>
      <c r="C1521" s="3"/>
      <c r="D1521" s="40"/>
      <c r="E1521" s="38"/>
      <c r="F1521" s="38"/>
      <c r="G1521" s="4"/>
      <c r="H1521" s="4"/>
      <c r="I1521" s="41"/>
      <c r="J1521" s="41"/>
      <c r="K1521" s="41"/>
      <c r="L1521" s="41"/>
      <c r="M1521" s="41"/>
      <c r="N1521" s="41"/>
      <c r="O1521" s="35"/>
      <c r="P1521" s="42"/>
    </row>
    <row r="1522">
      <c r="A1522" s="39"/>
      <c r="B1522" s="39"/>
      <c r="C1522" s="3"/>
      <c r="D1522" s="40"/>
      <c r="E1522" s="38"/>
      <c r="F1522" s="38"/>
      <c r="G1522" s="4"/>
      <c r="H1522" s="4"/>
      <c r="I1522" s="41"/>
      <c r="J1522" s="41"/>
      <c r="K1522" s="41"/>
      <c r="L1522" s="41"/>
      <c r="M1522" s="41"/>
      <c r="N1522" s="41"/>
      <c r="O1522" s="35"/>
      <c r="P1522" s="42"/>
    </row>
    <row r="1523">
      <c r="A1523" s="39"/>
      <c r="B1523" s="39"/>
      <c r="C1523" s="3"/>
      <c r="D1523" s="40"/>
      <c r="E1523" s="38"/>
      <c r="F1523" s="38"/>
      <c r="G1523" s="4"/>
      <c r="H1523" s="4"/>
      <c r="I1523" s="41"/>
      <c r="J1523" s="41"/>
      <c r="K1523" s="41"/>
      <c r="L1523" s="41"/>
      <c r="M1523" s="41"/>
      <c r="N1523" s="41"/>
      <c r="O1523" s="35"/>
      <c r="P1523" s="42"/>
    </row>
    <row r="1524">
      <c r="A1524" s="39"/>
      <c r="B1524" s="39"/>
      <c r="C1524" s="3"/>
      <c r="D1524" s="40"/>
      <c r="E1524" s="38"/>
      <c r="F1524" s="38"/>
      <c r="G1524" s="4"/>
      <c r="H1524" s="4"/>
      <c r="I1524" s="41"/>
      <c r="J1524" s="41"/>
      <c r="K1524" s="41"/>
      <c r="L1524" s="41"/>
      <c r="M1524" s="41"/>
      <c r="N1524" s="41"/>
      <c r="O1524" s="35"/>
      <c r="P1524" s="42"/>
    </row>
    <row r="1525">
      <c r="A1525" s="39"/>
      <c r="B1525" s="39"/>
      <c r="C1525" s="3"/>
      <c r="D1525" s="40"/>
      <c r="E1525" s="38"/>
      <c r="F1525" s="38"/>
      <c r="G1525" s="4"/>
      <c r="H1525" s="4"/>
      <c r="I1525" s="41"/>
      <c r="J1525" s="41"/>
      <c r="K1525" s="41"/>
      <c r="L1525" s="41"/>
      <c r="M1525" s="41"/>
      <c r="N1525" s="41"/>
      <c r="O1525" s="35"/>
      <c r="P1525" s="42"/>
    </row>
    <row r="1526">
      <c r="A1526" s="39"/>
      <c r="B1526" s="39"/>
      <c r="C1526" s="3"/>
      <c r="D1526" s="40"/>
      <c r="E1526" s="38"/>
      <c r="F1526" s="38"/>
      <c r="G1526" s="4"/>
      <c r="H1526" s="4"/>
      <c r="I1526" s="41"/>
      <c r="J1526" s="41"/>
      <c r="K1526" s="41"/>
      <c r="L1526" s="41"/>
      <c r="M1526" s="41"/>
      <c r="N1526" s="41"/>
      <c r="O1526" s="35"/>
      <c r="P1526" s="42"/>
    </row>
    <row r="1527">
      <c r="A1527" s="39"/>
      <c r="B1527" s="39"/>
      <c r="C1527" s="3"/>
      <c r="D1527" s="40"/>
      <c r="E1527" s="38"/>
      <c r="F1527" s="38"/>
      <c r="G1527" s="4"/>
      <c r="H1527" s="4"/>
      <c r="I1527" s="41"/>
      <c r="J1527" s="41"/>
      <c r="K1527" s="41"/>
      <c r="L1527" s="41"/>
      <c r="M1527" s="41"/>
      <c r="N1527" s="41"/>
      <c r="O1527" s="35"/>
      <c r="P1527" s="42"/>
    </row>
    <row r="1528">
      <c r="A1528" s="39"/>
      <c r="B1528" s="39"/>
      <c r="C1528" s="3"/>
      <c r="D1528" s="40"/>
      <c r="E1528" s="38"/>
      <c r="F1528" s="38"/>
      <c r="G1528" s="4"/>
      <c r="H1528" s="4"/>
      <c r="I1528" s="41"/>
      <c r="J1528" s="41"/>
      <c r="K1528" s="41"/>
      <c r="L1528" s="41"/>
      <c r="M1528" s="41"/>
      <c r="N1528" s="41"/>
      <c r="O1528" s="35"/>
      <c r="P1528" s="42"/>
    </row>
    <row r="1529">
      <c r="A1529" s="39"/>
      <c r="B1529" s="39"/>
      <c r="C1529" s="3"/>
      <c r="D1529" s="40"/>
      <c r="E1529" s="38"/>
      <c r="F1529" s="38"/>
      <c r="G1529" s="4"/>
      <c r="H1529" s="4"/>
      <c r="I1529" s="41"/>
      <c r="J1529" s="41"/>
      <c r="K1529" s="41"/>
      <c r="L1529" s="41"/>
      <c r="M1529" s="41"/>
      <c r="N1529" s="41"/>
      <c r="O1529" s="35"/>
      <c r="P1529" s="42"/>
    </row>
    <row r="1530">
      <c r="A1530" s="39"/>
      <c r="B1530" s="39"/>
      <c r="C1530" s="3"/>
      <c r="D1530" s="40"/>
      <c r="E1530" s="38"/>
      <c r="F1530" s="38"/>
      <c r="G1530" s="4"/>
      <c r="H1530" s="4"/>
      <c r="I1530" s="41"/>
      <c r="J1530" s="41"/>
      <c r="K1530" s="41"/>
      <c r="L1530" s="41"/>
      <c r="M1530" s="41"/>
      <c r="N1530" s="41"/>
      <c r="O1530" s="35"/>
      <c r="P1530" s="42"/>
    </row>
    <row r="1531">
      <c r="A1531" s="39"/>
      <c r="B1531" s="39"/>
      <c r="C1531" s="3"/>
      <c r="D1531" s="40"/>
      <c r="E1531" s="38"/>
      <c r="F1531" s="38"/>
      <c r="G1531" s="4"/>
      <c r="H1531" s="4"/>
      <c r="I1531" s="41"/>
      <c r="J1531" s="41"/>
      <c r="K1531" s="41"/>
      <c r="L1531" s="41"/>
      <c r="M1531" s="41"/>
      <c r="N1531" s="41"/>
      <c r="O1531" s="35"/>
      <c r="P1531" s="42"/>
    </row>
    <row r="1532">
      <c r="A1532" s="39"/>
      <c r="B1532" s="39"/>
      <c r="C1532" s="3"/>
      <c r="D1532" s="40"/>
      <c r="E1532" s="38"/>
      <c r="F1532" s="38"/>
      <c r="G1532" s="4"/>
      <c r="H1532" s="4"/>
      <c r="I1532" s="41"/>
      <c r="J1532" s="41"/>
      <c r="K1532" s="41"/>
      <c r="L1532" s="41"/>
      <c r="M1532" s="41"/>
      <c r="N1532" s="41"/>
      <c r="O1532" s="35"/>
      <c r="P1532" s="42"/>
    </row>
    <row r="1533">
      <c r="A1533" s="39"/>
      <c r="B1533" s="39"/>
      <c r="C1533" s="3"/>
      <c r="D1533" s="40"/>
      <c r="E1533" s="38"/>
      <c r="F1533" s="38"/>
      <c r="G1533" s="4"/>
      <c r="H1533" s="4"/>
      <c r="I1533" s="41"/>
      <c r="J1533" s="41"/>
      <c r="K1533" s="41"/>
      <c r="L1533" s="41"/>
      <c r="M1533" s="41"/>
      <c r="N1533" s="41"/>
      <c r="O1533" s="35"/>
      <c r="P1533" s="42"/>
    </row>
    <row r="1534">
      <c r="A1534" s="39"/>
      <c r="B1534" s="39"/>
      <c r="C1534" s="3"/>
      <c r="D1534" s="40"/>
      <c r="E1534" s="38"/>
      <c r="F1534" s="38"/>
      <c r="G1534" s="4"/>
      <c r="H1534" s="4"/>
      <c r="I1534" s="41"/>
      <c r="J1534" s="41"/>
      <c r="K1534" s="41"/>
      <c r="L1534" s="41"/>
      <c r="M1534" s="41"/>
      <c r="N1534" s="41"/>
      <c r="O1534" s="35"/>
      <c r="P1534" s="42"/>
    </row>
    <row r="1535">
      <c r="A1535" s="39"/>
      <c r="B1535" s="39"/>
      <c r="C1535" s="3"/>
      <c r="D1535" s="40"/>
      <c r="E1535" s="38"/>
      <c r="F1535" s="38"/>
      <c r="G1535" s="4"/>
      <c r="H1535" s="4"/>
      <c r="I1535" s="41"/>
      <c r="J1535" s="41"/>
      <c r="K1535" s="41"/>
      <c r="L1535" s="41"/>
      <c r="M1535" s="41"/>
      <c r="N1535" s="41"/>
      <c r="O1535" s="35"/>
      <c r="P1535" s="42"/>
    </row>
    <row r="1536">
      <c r="A1536" s="39"/>
      <c r="B1536" s="39"/>
      <c r="C1536" s="3"/>
      <c r="D1536" s="40"/>
      <c r="E1536" s="38"/>
      <c r="F1536" s="38"/>
      <c r="G1536" s="4"/>
      <c r="H1536" s="4"/>
      <c r="I1536" s="41"/>
      <c r="J1536" s="41"/>
      <c r="K1536" s="41"/>
      <c r="L1536" s="41"/>
      <c r="M1536" s="41"/>
      <c r="N1536" s="41"/>
      <c r="O1536" s="35"/>
      <c r="P1536" s="42"/>
    </row>
    <row r="1537">
      <c r="A1537" s="39"/>
      <c r="B1537" s="39"/>
      <c r="C1537" s="3"/>
      <c r="D1537" s="40"/>
      <c r="E1537" s="38"/>
      <c r="F1537" s="38"/>
      <c r="G1537" s="4"/>
      <c r="H1537" s="4"/>
      <c r="I1537" s="41"/>
      <c r="J1537" s="41"/>
      <c r="K1537" s="41"/>
      <c r="L1537" s="41"/>
      <c r="M1537" s="41"/>
      <c r="N1537" s="41"/>
      <c r="O1537" s="35"/>
      <c r="P1537" s="42"/>
    </row>
    <row r="1538">
      <c r="A1538" s="39"/>
      <c r="B1538" s="39"/>
      <c r="C1538" s="3"/>
      <c r="D1538" s="40"/>
      <c r="E1538" s="38"/>
      <c r="F1538" s="38"/>
      <c r="G1538" s="4"/>
      <c r="H1538" s="4"/>
      <c r="I1538" s="41"/>
      <c r="J1538" s="41"/>
      <c r="K1538" s="41"/>
      <c r="L1538" s="41"/>
      <c r="M1538" s="41"/>
      <c r="N1538" s="41"/>
      <c r="O1538" s="35"/>
      <c r="P1538" s="42"/>
    </row>
    <row r="1539">
      <c r="A1539" s="39"/>
      <c r="B1539" s="39"/>
      <c r="C1539" s="3"/>
      <c r="D1539" s="40"/>
      <c r="E1539" s="38"/>
      <c r="F1539" s="38"/>
      <c r="G1539" s="4"/>
      <c r="H1539" s="4"/>
      <c r="I1539" s="41"/>
      <c r="J1539" s="41"/>
      <c r="K1539" s="41"/>
      <c r="L1539" s="41"/>
      <c r="M1539" s="41"/>
      <c r="N1539" s="41"/>
      <c r="O1539" s="35"/>
      <c r="P1539" s="42"/>
    </row>
    <row r="1540">
      <c r="A1540" s="39"/>
      <c r="B1540" s="39"/>
      <c r="C1540" s="3"/>
      <c r="D1540" s="40"/>
      <c r="E1540" s="38"/>
      <c r="F1540" s="38"/>
      <c r="G1540" s="4"/>
      <c r="H1540" s="4"/>
      <c r="I1540" s="41"/>
      <c r="J1540" s="41"/>
      <c r="K1540" s="41"/>
      <c r="L1540" s="41"/>
      <c r="M1540" s="41"/>
      <c r="N1540" s="41"/>
      <c r="O1540" s="35"/>
      <c r="P1540" s="42"/>
    </row>
    <row r="1541">
      <c r="A1541" s="39"/>
      <c r="B1541" s="39"/>
      <c r="C1541" s="3"/>
      <c r="D1541" s="40"/>
      <c r="E1541" s="38"/>
      <c r="F1541" s="38"/>
      <c r="G1541" s="4"/>
      <c r="H1541" s="4"/>
      <c r="I1541" s="41"/>
      <c r="J1541" s="41"/>
      <c r="K1541" s="41"/>
      <c r="L1541" s="41"/>
      <c r="M1541" s="41"/>
      <c r="N1541" s="41"/>
      <c r="O1541" s="35"/>
      <c r="P1541" s="42"/>
    </row>
    <row r="1542">
      <c r="A1542" s="39"/>
      <c r="B1542" s="39"/>
      <c r="C1542" s="3"/>
      <c r="D1542" s="40"/>
      <c r="E1542" s="38"/>
      <c r="F1542" s="38"/>
      <c r="G1542" s="4"/>
      <c r="H1542" s="4"/>
      <c r="I1542" s="41"/>
      <c r="J1542" s="41"/>
      <c r="K1542" s="41"/>
      <c r="L1542" s="41"/>
      <c r="M1542" s="41"/>
      <c r="N1542" s="41"/>
      <c r="O1542" s="35"/>
      <c r="P1542" s="42"/>
    </row>
    <row r="1543">
      <c r="A1543" s="39"/>
      <c r="B1543" s="39"/>
      <c r="C1543" s="3"/>
      <c r="D1543" s="40"/>
      <c r="E1543" s="38"/>
      <c r="F1543" s="38"/>
      <c r="G1543" s="4"/>
      <c r="H1543" s="4"/>
      <c r="I1543" s="41"/>
      <c r="J1543" s="41"/>
      <c r="K1543" s="41"/>
      <c r="L1543" s="41"/>
      <c r="M1543" s="41"/>
      <c r="N1543" s="41"/>
      <c r="O1543" s="35"/>
      <c r="P1543" s="42"/>
    </row>
    <row r="1544">
      <c r="A1544" s="39"/>
      <c r="B1544" s="39"/>
      <c r="C1544" s="3"/>
      <c r="D1544" s="40"/>
      <c r="E1544" s="38"/>
      <c r="F1544" s="38"/>
      <c r="G1544" s="4"/>
      <c r="H1544" s="4"/>
      <c r="I1544" s="41"/>
      <c r="J1544" s="41"/>
      <c r="K1544" s="41"/>
      <c r="L1544" s="41"/>
      <c r="M1544" s="41"/>
      <c r="N1544" s="41"/>
      <c r="O1544" s="35"/>
      <c r="P1544" s="42"/>
    </row>
    <row r="1545">
      <c r="A1545" s="39"/>
      <c r="B1545" s="39"/>
      <c r="C1545" s="3"/>
      <c r="D1545" s="40"/>
      <c r="E1545" s="38"/>
      <c r="F1545" s="38"/>
      <c r="G1545" s="4"/>
      <c r="H1545" s="4"/>
      <c r="I1545" s="41"/>
      <c r="J1545" s="41"/>
      <c r="K1545" s="41"/>
      <c r="L1545" s="41"/>
      <c r="M1545" s="41"/>
      <c r="N1545" s="41"/>
      <c r="O1545" s="35"/>
      <c r="P1545" s="42"/>
    </row>
    <row r="1546">
      <c r="A1546" s="39"/>
      <c r="B1546" s="39"/>
      <c r="C1546" s="3"/>
      <c r="D1546" s="40"/>
      <c r="E1546" s="38"/>
      <c r="F1546" s="38"/>
      <c r="G1546" s="4"/>
      <c r="H1546" s="4"/>
      <c r="I1546" s="41"/>
      <c r="J1546" s="41"/>
      <c r="K1546" s="41"/>
      <c r="L1546" s="41"/>
      <c r="M1546" s="41"/>
      <c r="N1546" s="41"/>
      <c r="O1546" s="35"/>
      <c r="P1546" s="42"/>
    </row>
    <row r="1547">
      <c r="A1547" s="39"/>
      <c r="B1547" s="39"/>
      <c r="C1547" s="3"/>
      <c r="D1547" s="40"/>
      <c r="E1547" s="38"/>
      <c r="F1547" s="38"/>
      <c r="G1547" s="4"/>
      <c r="H1547" s="4"/>
      <c r="I1547" s="41"/>
      <c r="J1547" s="41"/>
      <c r="K1547" s="41"/>
      <c r="L1547" s="41"/>
      <c r="M1547" s="41"/>
      <c r="N1547" s="41"/>
      <c r="O1547" s="35"/>
      <c r="P1547" s="42"/>
    </row>
    <row r="1548">
      <c r="A1548" s="39"/>
      <c r="B1548" s="39"/>
      <c r="C1548" s="3"/>
      <c r="D1548" s="40"/>
      <c r="E1548" s="38"/>
      <c r="F1548" s="38"/>
      <c r="G1548" s="4"/>
      <c r="H1548" s="4"/>
      <c r="I1548" s="41"/>
      <c r="J1548" s="41"/>
      <c r="K1548" s="41"/>
      <c r="L1548" s="41"/>
      <c r="M1548" s="41"/>
      <c r="N1548" s="41"/>
      <c r="O1548" s="35"/>
      <c r="P1548" s="42"/>
    </row>
    <row r="1549">
      <c r="A1549" s="39"/>
      <c r="B1549" s="39"/>
      <c r="C1549" s="3"/>
      <c r="D1549" s="40"/>
      <c r="E1549" s="38"/>
      <c r="F1549" s="38"/>
      <c r="G1549" s="4"/>
      <c r="H1549" s="4"/>
      <c r="I1549" s="41"/>
      <c r="J1549" s="41"/>
      <c r="K1549" s="41"/>
      <c r="L1549" s="41"/>
      <c r="M1549" s="41"/>
      <c r="N1549" s="41"/>
      <c r="O1549" s="35"/>
      <c r="P1549" s="42"/>
    </row>
    <row r="1550">
      <c r="A1550" s="39"/>
      <c r="B1550" s="39"/>
      <c r="C1550" s="3"/>
      <c r="D1550" s="40"/>
      <c r="E1550" s="38"/>
      <c r="F1550" s="38"/>
      <c r="G1550" s="4"/>
      <c r="H1550" s="4"/>
      <c r="I1550" s="41"/>
      <c r="J1550" s="41"/>
      <c r="K1550" s="41"/>
      <c r="L1550" s="41"/>
      <c r="M1550" s="41"/>
      <c r="N1550" s="41"/>
      <c r="O1550" s="35"/>
      <c r="P1550" s="42"/>
    </row>
    <row r="1551">
      <c r="A1551" s="39"/>
      <c r="B1551" s="39"/>
      <c r="C1551" s="3"/>
      <c r="D1551" s="40"/>
      <c r="E1551" s="38"/>
      <c r="F1551" s="38"/>
      <c r="G1551" s="4"/>
      <c r="H1551" s="4"/>
      <c r="I1551" s="41"/>
      <c r="J1551" s="41"/>
      <c r="K1551" s="41"/>
      <c r="L1551" s="41"/>
      <c r="M1551" s="41"/>
      <c r="N1551" s="41"/>
      <c r="O1551" s="35"/>
      <c r="P1551" s="42"/>
    </row>
    <row r="1552">
      <c r="A1552" s="39"/>
      <c r="B1552" s="39"/>
      <c r="C1552" s="3"/>
      <c r="D1552" s="40"/>
      <c r="E1552" s="38"/>
      <c r="F1552" s="38"/>
      <c r="G1552" s="4"/>
      <c r="H1552" s="4"/>
      <c r="I1552" s="41"/>
      <c r="J1552" s="41"/>
      <c r="K1552" s="41"/>
      <c r="L1552" s="41"/>
      <c r="M1552" s="41"/>
      <c r="N1552" s="41"/>
      <c r="O1552" s="35"/>
      <c r="P1552" s="42"/>
    </row>
    <row r="1553">
      <c r="A1553" s="39"/>
      <c r="B1553" s="39"/>
      <c r="C1553" s="3"/>
      <c r="D1553" s="40"/>
      <c r="E1553" s="38"/>
      <c r="F1553" s="38"/>
      <c r="G1553" s="4"/>
      <c r="H1553" s="4"/>
      <c r="I1553" s="41"/>
      <c r="J1553" s="41"/>
      <c r="K1553" s="41"/>
      <c r="L1553" s="41"/>
      <c r="M1553" s="41"/>
      <c r="N1553" s="41"/>
      <c r="O1553" s="35"/>
      <c r="P1553" s="42"/>
    </row>
    <row r="1554">
      <c r="A1554" s="39"/>
      <c r="B1554" s="39"/>
      <c r="C1554" s="3"/>
      <c r="D1554" s="40"/>
      <c r="E1554" s="38"/>
      <c r="F1554" s="38"/>
      <c r="G1554" s="4"/>
      <c r="H1554" s="4"/>
      <c r="I1554" s="41"/>
      <c r="J1554" s="41"/>
      <c r="K1554" s="41"/>
      <c r="L1554" s="41"/>
      <c r="M1554" s="41"/>
      <c r="N1554" s="41"/>
      <c r="O1554" s="35"/>
      <c r="P1554" s="42"/>
    </row>
    <row r="1555">
      <c r="A1555" s="39"/>
      <c r="B1555" s="39"/>
      <c r="C1555" s="3"/>
      <c r="D1555" s="40"/>
      <c r="E1555" s="38"/>
      <c r="F1555" s="38"/>
      <c r="G1555" s="4"/>
      <c r="H1555" s="4"/>
      <c r="I1555" s="41"/>
      <c r="J1555" s="41"/>
      <c r="K1555" s="41"/>
      <c r="L1555" s="41"/>
      <c r="M1555" s="41"/>
      <c r="N1555" s="41"/>
      <c r="O1555" s="35"/>
      <c r="P1555" s="42"/>
    </row>
    <row r="1556">
      <c r="A1556" s="39"/>
      <c r="B1556" s="39"/>
      <c r="C1556" s="3"/>
      <c r="D1556" s="40"/>
      <c r="E1556" s="38"/>
      <c r="F1556" s="38"/>
      <c r="G1556" s="4"/>
      <c r="H1556" s="4"/>
      <c r="I1556" s="41"/>
      <c r="J1556" s="41"/>
      <c r="K1556" s="41"/>
      <c r="L1556" s="41"/>
      <c r="M1556" s="41"/>
      <c r="N1556" s="41"/>
      <c r="O1556" s="35"/>
      <c r="P1556" s="42"/>
    </row>
    <row r="1557">
      <c r="A1557" s="39"/>
      <c r="B1557" s="39"/>
      <c r="C1557" s="3"/>
      <c r="D1557" s="40"/>
      <c r="E1557" s="38"/>
      <c r="F1557" s="38"/>
      <c r="G1557" s="4"/>
      <c r="H1557" s="4"/>
      <c r="I1557" s="41"/>
      <c r="J1557" s="41"/>
      <c r="K1557" s="41"/>
      <c r="L1557" s="41"/>
      <c r="M1557" s="41"/>
      <c r="N1557" s="41"/>
      <c r="O1557" s="35"/>
      <c r="P1557" s="42"/>
    </row>
    <row r="1558">
      <c r="A1558" s="39"/>
      <c r="B1558" s="39"/>
      <c r="C1558" s="3"/>
      <c r="D1558" s="40"/>
      <c r="E1558" s="38"/>
      <c r="F1558" s="38"/>
      <c r="G1558" s="4"/>
      <c r="H1558" s="4"/>
      <c r="I1558" s="41"/>
      <c r="J1558" s="41"/>
      <c r="K1558" s="41"/>
      <c r="L1558" s="41"/>
      <c r="M1558" s="41"/>
      <c r="N1558" s="41"/>
      <c r="O1558" s="35"/>
      <c r="P1558" s="42"/>
    </row>
    <row r="1559">
      <c r="A1559" s="39"/>
      <c r="B1559" s="39"/>
      <c r="C1559" s="3"/>
      <c r="D1559" s="40"/>
      <c r="E1559" s="38"/>
      <c r="F1559" s="38"/>
      <c r="G1559" s="4"/>
      <c r="H1559" s="4"/>
      <c r="I1559" s="41"/>
      <c r="J1559" s="41"/>
      <c r="K1559" s="41"/>
      <c r="L1559" s="41"/>
      <c r="M1559" s="41"/>
      <c r="N1559" s="41"/>
      <c r="O1559" s="35"/>
      <c r="P1559" s="42"/>
    </row>
    <row r="1560">
      <c r="A1560" s="39"/>
      <c r="B1560" s="39"/>
      <c r="C1560" s="3"/>
      <c r="D1560" s="40"/>
      <c r="E1560" s="38"/>
      <c r="F1560" s="38"/>
      <c r="G1560" s="4"/>
      <c r="H1560" s="4"/>
      <c r="I1560" s="41"/>
      <c r="J1560" s="41"/>
      <c r="K1560" s="41"/>
      <c r="L1560" s="41"/>
      <c r="M1560" s="41"/>
      <c r="N1560" s="41"/>
      <c r="O1560" s="35"/>
      <c r="P1560" s="42"/>
    </row>
    <row r="1561">
      <c r="A1561" s="39"/>
      <c r="B1561" s="39"/>
      <c r="C1561" s="3"/>
      <c r="D1561" s="40"/>
      <c r="E1561" s="38"/>
      <c r="F1561" s="38"/>
      <c r="G1561" s="4"/>
      <c r="H1561" s="4"/>
      <c r="I1561" s="41"/>
      <c r="J1561" s="41"/>
      <c r="K1561" s="41"/>
      <c r="L1561" s="41"/>
      <c r="M1561" s="41"/>
      <c r="N1561" s="41"/>
      <c r="O1561" s="35"/>
      <c r="P1561" s="42"/>
    </row>
    <row r="1562">
      <c r="A1562" s="39"/>
      <c r="B1562" s="39"/>
      <c r="C1562" s="3"/>
      <c r="D1562" s="40"/>
      <c r="E1562" s="38"/>
      <c r="F1562" s="38"/>
      <c r="G1562" s="4"/>
      <c r="H1562" s="4"/>
      <c r="I1562" s="41"/>
      <c r="J1562" s="41"/>
      <c r="K1562" s="41"/>
      <c r="L1562" s="41"/>
      <c r="M1562" s="41"/>
      <c r="N1562" s="41"/>
      <c r="O1562" s="35"/>
      <c r="P1562" s="42"/>
    </row>
    <row r="1563">
      <c r="A1563" s="39"/>
      <c r="B1563" s="39"/>
      <c r="C1563" s="3"/>
      <c r="D1563" s="40"/>
      <c r="E1563" s="38"/>
      <c r="F1563" s="38"/>
      <c r="G1563" s="4"/>
      <c r="H1563" s="4"/>
      <c r="I1563" s="41"/>
      <c r="J1563" s="41"/>
      <c r="K1563" s="41"/>
      <c r="L1563" s="41"/>
      <c r="M1563" s="41"/>
      <c r="N1563" s="41"/>
      <c r="O1563" s="35"/>
      <c r="P1563" s="42"/>
    </row>
    <row r="1564">
      <c r="A1564" s="39"/>
      <c r="B1564" s="39"/>
      <c r="C1564" s="3"/>
      <c r="D1564" s="40"/>
      <c r="E1564" s="38"/>
      <c r="F1564" s="38"/>
      <c r="G1564" s="4"/>
      <c r="H1564" s="4"/>
      <c r="I1564" s="41"/>
      <c r="J1564" s="41"/>
      <c r="K1564" s="41"/>
      <c r="L1564" s="41"/>
      <c r="M1564" s="41"/>
      <c r="N1564" s="41"/>
      <c r="O1564" s="35"/>
      <c r="P1564" s="42"/>
    </row>
    <row r="1565">
      <c r="A1565" s="39"/>
      <c r="B1565" s="39"/>
      <c r="C1565" s="3"/>
      <c r="D1565" s="40"/>
      <c r="E1565" s="38"/>
      <c r="F1565" s="38"/>
      <c r="G1565" s="4"/>
      <c r="H1565" s="4"/>
      <c r="I1565" s="41"/>
      <c r="J1565" s="41"/>
      <c r="K1565" s="41"/>
      <c r="L1565" s="41"/>
      <c r="M1565" s="41"/>
      <c r="N1565" s="41"/>
      <c r="O1565" s="35"/>
      <c r="P1565" s="42"/>
    </row>
    <row r="1566">
      <c r="A1566" s="39"/>
      <c r="B1566" s="39"/>
      <c r="C1566" s="3"/>
      <c r="D1566" s="40"/>
      <c r="E1566" s="38"/>
      <c r="F1566" s="38"/>
      <c r="G1566" s="4"/>
      <c r="H1566" s="4"/>
      <c r="I1566" s="41"/>
      <c r="J1566" s="41"/>
      <c r="K1566" s="41"/>
      <c r="L1566" s="41"/>
      <c r="M1566" s="41"/>
      <c r="N1566" s="41"/>
      <c r="O1566" s="35"/>
      <c r="P1566" s="42"/>
    </row>
    <row r="1567">
      <c r="A1567" s="39"/>
      <c r="B1567" s="39"/>
      <c r="C1567" s="3"/>
      <c r="D1567" s="40"/>
      <c r="E1567" s="38"/>
      <c r="F1567" s="38"/>
      <c r="G1567" s="4"/>
      <c r="H1567" s="4"/>
      <c r="I1567" s="41"/>
      <c r="J1567" s="41"/>
      <c r="K1567" s="41"/>
      <c r="L1567" s="41"/>
      <c r="M1567" s="41"/>
      <c r="N1567" s="41"/>
      <c r="O1567" s="35"/>
      <c r="P1567" s="42"/>
    </row>
    <row r="1568">
      <c r="A1568" s="39"/>
      <c r="B1568" s="39"/>
      <c r="C1568" s="3"/>
      <c r="D1568" s="40"/>
      <c r="E1568" s="38"/>
      <c r="F1568" s="38"/>
      <c r="G1568" s="4"/>
      <c r="H1568" s="4"/>
      <c r="I1568" s="41"/>
      <c r="J1568" s="41"/>
      <c r="K1568" s="41"/>
      <c r="L1568" s="41"/>
      <c r="M1568" s="41"/>
      <c r="N1568" s="41"/>
      <c r="O1568" s="35"/>
      <c r="P1568" s="42"/>
    </row>
    <row r="1569">
      <c r="A1569" s="39"/>
      <c r="B1569" s="39"/>
      <c r="C1569" s="3"/>
      <c r="D1569" s="40"/>
      <c r="E1569" s="38"/>
      <c r="F1569" s="38"/>
      <c r="G1569" s="4"/>
      <c r="H1569" s="4"/>
      <c r="I1569" s="41"/>
      <c r="J1569" s="41"/>
      <c r="K1569" s="41"/>
      <c r="L1569" s="41"/>
      <c r="M1569" s="41"/>
      <c r="N1569" s="41"/>
      <c r="O1569" s="35"/>
      <c r="P1569" s="42"/>
    </row>
    <row r="1570">
      <c r="A1570" s="39"/>
      <c r="B1570" s="39"/>
      <c r="C1570" s="3"/>
      <c r="D1570" s="40"/>
      <c r="E1570" s="38"/>
      <c r="F1570" s="38"/>
      <c r="G1570" s="4"/>
      <c r="H1570" s="4"/>
      <c r="I1570" s="41"/>
      <c r="J1570" s="41"/>
      <c r="K1570" s="41"/>
      <c r="L1570" s="41"/>
      <c r="M1570" s="41"/>
      <c r="N1570" s="41"/>
      <c r="O1570" s="35"/>
      <c r="P1570" s="42"/>
    </row>
    <row r="1571">
      <c r="A1571" s="39"/>
      <c r="B1571" s="39"/>
      <c r="C1571" s="3"/>
      <c r="D1571" s="40"/>
      <c r="E1571" s="38"/>
      <c r="F1571" s="38"/>
      <c r="G1571" s="4"/>
      <c r="H1571" s="4"/>
      <c r="I1571" s="41"/>
      <c r="J1571" s="41"/>
      <c r="K1571" s="41"/>
      <c r="L1571" s="41"/>
      <c r="M1571" s="41"/>
      <c r="N1571" s="41"/>
      <c r="O1571" s="35"/>
      <c r="P1571" s="42"/>
    </row>
    <row r="1572">
      <c r="A1572" s="39"/>
      <c r="B1572" s="39"/>
      <c r="C1572" s="3"/>
      <c r="D1572" s="40"/>
      <c r="E1572" s="38"/>
      <c r="F1572" s="38"/>
      <c r="G1572" s="4"/>
      <c r="H1572" s="4"/>
      <c r="I1572" s="41"/>
      <c r="J1572" s="41"/>
      <c r="K1572" s="41"/>
      <c r="L1572" s="41"/>
      <c r="M1572" s="41"/>
      <c r="N1572" s="41"/>
      <c r="O1572" s="35"/>
      <c r="P1572" s="42"/>
    </row>
    <row r="1573">
      <c r="A1573" s="39"/>
      <c r="B1573" s="39"/>
      <c r="C1573" s="3"/>
      <c r="D1573" s="40"/>
      <c r="E1573" s="38"/>
      <c r="F1573" s="38"/>
      <c r="G1573" s="4"/>
      <c r="H1573" s="4"/>
      <c r="I1573" s="41"/>
      <c r="J1573" s="41"/>
      <c r="K1573" s="41"/>
      <c r="L1573" s="41"/>
      <c r="M1573" s="41"/>
      <c r="N1573" s="41"/>
      <c r="O1573" s="35"/>
      <c r="P1573" s="42"/>
    </row>
    <row r="1574">
      <c r="A1574" s="39"/>
      <c r="B1574" s="39"/>
      <c r="C1574" s="3"/>
      <c r="D1574" s="40"/>
      <c r="E1574" s="38"/>
      <c r="F1574" s="38"/>
      <c r="G1574" s="4"/>
      <c r="H1574" s="4"/>
      <c r="I1574" s="41"/>
      <c r="J1574" s="41"/>
      <c r="K1574" s="41"/>
      <c r="L1574" s="41"/>
      <c r="M1574" s="41"/>
      <c r="N1574" s="41"/>
      <c r="O1574" s="35"/>
      <c r="P1574" s="42"/>
    </row>
    <row r="1575">
      <c r="A1575" s="39"/>
      <c r="B1575" s="39"/>
      <c r="C1575" s="3"/>
      <c r="D1575" s="40"/>
      <c r="E1575" s="38"/>
      <c r="F1575" s="38"/>
      <c r="G1575" s="4"/>
      <c r="H1575" s="4"/>
      <c r="I1575" s="41"/>
      <c r="J1575" s="41"/>
      <c r="K1575" s="41"/>
      <c r="L1575" s="41"/>
      <c r="M1575" s="41"/>
      <c r="N1575" s="41"/>
      <c r="O1575" s="35"/>
      <c r="P1575" s="42"/>
    </row>
    <row r="1576">
      <c r="A1576" s="39"/>
      <c r="B1576" s="39"/>
      <c r="C1576" s="3"/>
      <c r="D1576" s="40"/>
      <c r="E1576" s="38"/>
      <c r="F1576" s="38"/>
      <c r="G1576" s="4"/>
      <c r="H1576" s="4"/>
      <c r="I1576" s="41"/>
      <c r="J1576" s="41"/>
      <c r="K1576" s="41"/>
      <c r="L1576" s="41"/>
      <c r="M1576" s="41"/>
      <c r="N1576" s="41"/>
      <c r="O1576" s="35"/>
      <c r="P1576" s="42"/>
    </row>
    <row r="1577">
      <c r="A1577" s="39"/>
      <c r="B1577" s="39"/>
      <c r="C1577" s="3"/>
      <c r="D1577" s="40"/>
      <c r="E1577" s="38"/>
      <c r="F1577" s="38"/>
      <c r="G1577" s="4"/>
      <c r="H1577" s="4"/>
      <c r="I1577" s="41"/>
      <c r="J1577" s="41"/>
      <c r="K1577" s="41"/>
      <c r="L1577" s="41"/>
      <c r="M1577" s="41"/>
      <c r="N1577" s="41"/>
      <c r="O1577" s="35"/>
      <c r="P1577" s="42"/>
    </row>
    <row r="1578">
      <c r="A1578" s="39"/>
      <c r="B1578" s="39"/>
      <c r="C1578" s="3"/>
      <c r="D1578" s="40"/>
      <c r="E1578" s="38"/>
      <c r="F1578" s="38"/>
      <c r="G1578" s="4"/>
      <c r="H1578" s="4"/>
      <c r="I1578" s="41"/>
      <c r="J1578" s="41"/>
      <c r="K1578" s="41"/>
      <c r="L1578" s="41"/>
      <c r="M1578" s="41"/>
      <c r="N1578" s="41"/>
      <c r="O1578" s="35"/>
      <c r="P1578" s="42"/>
    </row>
    <row r="1579">
      <c r="A1579" s="39"/>
      <c r="B1579" s="39"/>
      <c r="C1579" s="3"/>
      <c r="D1579" s="40"/>
      <c r="E1579" s="38"/>
      <c r="F1579" s="38"/>
      <c r="G1579" s="4"/>
      <c r="H1579" s="4"/>
      <c r="I1579" s="41"/>
      <c r="J1579" s="41"/>
      <c r="K1579" s="41"/>
      <c r="L1579" s="41"/>
      <c r="M1579" s="41"/>
      <c r="N1579" s="41"/>
      <c r="O1579" s="35"/>
      <c r="P1579" s="42"/>
    </row>
    <row r="1580">
      <c r="A1580" s="39"/>
      <c r="B1580" s="39"/>
      <c r="C1580" s="3"/>
      <c r="D1580" s="40"/>
      <c r="E1580" s="38"/>
      <c r="F1580" s="38"/>
      <c r="G1580" s="4"/>
      <c r="H1580" s="4"/>
      <c r="I1580" s="41"/>
      <c r="J1580" s="41"/>
      <c r="K1580" s="41"/>
      <c r="L1580" s="41"/>
      <c r="M1580" s="41"/>
      <c r="N1580" s="41"/>
      <c r="O1580" s="35"/>
      <c r="P1580" s="42"/>
    </row>
    <row r="1581">
      <c r="A1581" s="39"/>
      <c r="B1581" s="39"/>
      <c r="C1581" s="3"/>
      <c r="D1581" s="40"/>
      <c r="E1581" s="38"/>
      <c r="F1581" s="38"/>
      <c r="G1581" s="4"/>
      <c r="H1581" s="4"/>
      <c r="I1581" s="41"/>
      <c r="J1581" s="41"/>
      <c r="K1581" s="41"/>
      <c r="L1581" s="41"/>
      <c r="M1581" s="41"/>
      <c r="N1581" s="41"/>
      <c r="O1581" s="35"/>
      <c r="P1581" s="42"/>
    </row>
    <row r="1582">
      <c r="A1582" s="39"/>
      <c r="B1582" s="39"/>
      <c r="C1582" s="3"/>
      <c r="D1582" s="40"/>
      <c r="E1582" s="38"/>
      <c r="F1582" s="38"/>
      <c r="G1582" s="4"/>
      <c r="H1582" s="4"/>
      <c r="I1582" s="41"/>
      <c r="J1582" s="41"/>
      <c r="K1582" s="41"/>
      <c r="L1582" s="41"/>
      <c r="M1582" s="41"/>
      <c r="N1582" s="41"/>
      <c r="O1582" s="35"/>
      <c r="P1582" s="42"/>
    </row>
    <row r="1583">
      <c r="A1583" s="39"/>
      <c r="B1583" s="39"/>
      <c r="C1583" s="3"/>
      <c r="D1583" s="40"/>
      <c r="E1583" s="38"/>
      <c r="F1583" s="38"/>
      <c r="G1583" s="4"/>
      <c r="H1583" s="4"/>
      <c r="I1583" s="41"/>
      <c r="J1583" s="41"/>
      <c r="K1583" s="41"/>
      <c r="L1583" s="41"/>
      <c r="M1583" s="41"/>
      <c r="N1583" s="41"/>
      <c r="O1583" s="35"/>
      <c r="P1583" s="42"/>
    </row>
    <row r="1584">
      <c r="A1584" s="39"/>
      <c r="B1584" s="39"/>
      <c r="C1584" s="3"/>
      <c r="D1584" s="40"/>
      <c r="E1584" s="38"/>
      <c r="F1584" s="38"/>
      <c r="G1584" s="4"/>
      <c r="H1584" s="4"/>
      <c r="I1584" s="41"/>
      <c r="J1584" s="41"/>
      <c r="K1584" s="41"/>
      <c r="L1584" s="41"/>
      <c r="M1584" s="41"/>
      <c r="N1584" s="41"/>
      <c r="O1584" s="35"/>
      <c r="P1584" s="42"/>
    </row>
    <row r="1585">
      <c r="A1585" s="39"/>
      <c r="B1585" s="39"/>
      <c r="C1585" s="3"/>
      <c r="D1585" s="40"/>
      <c r="E1585" s="38"/>
      <c r="F1585" s="38"/>
      <c r="G1585" s="4"/>
      <c r="H1585" s="4"/>
      <c r="I1585" s="41"/>
      <c r="J1585" s="41"/>
      <c r="K1585" s="41"/>
      <c r="L1585" s="41"/>
      <c r="M1585" s="41"/>
      <c r="N1585" s="41"/>
      <c r="O1585" s="35"/>
      <c r="P1585" s="42"/>
    </row>
    <row r="1586">
      <c r="A1586" s="39"/>
      <c r="B1586" s="39"/>
      <c r="C1586" s="3"/>
      <c r="D1586" s="40"/>
      <c r="E1586" s="38"/>
      <c r="F1586" s="38"/>
      <c r="G1586" s="4"/>
      <c r="H1586" s="4"/>
      <c r="I1586" s="41"/>
      <c r="J1586" s="41"/>
      <c r="K1586" s="41"/>
      <c r="L1586" s="41"/>
      <c r="M1586" s="41"/>
      <c r="N1586" s="41"/>
      <c r="O1586" s="35"/>
      <c r="P1586" s="42"/>
    </row>
    <row r="1587">
      <c r="A1587" s="39"/>
      <c r="B1587" s="39"/>
      <c r="C1587" s="3"/>
      <c r="D1587" s="40"/>
      <c r="E1587" s="38"/>
      <c r="F1587" s="38"/>
      <c r="G1587" s="4"/>
      <c r="H1587" s="4"/>
      <c r="I1587" s="41"/>
      <c r="J1587" s="41"/>
      <c r="K1587" s="41"/>
      <c r="L1587" s="41"/>
      <c r="M1587" s="41"/>
      <c r="N1587" s="41"/>
      <c r="O1587" s="35"/>
      <c r="P1587" s="42"/>
    </row>
    <row r="1588">
      <c r="A1588" s="39"/>
      <c r="B1588" s="39"/>
      <c r="C1588" s="3"/>
      <c r="D1588" s="40"/>
      <c r="E1588" s="38"/>
      <c r="F1588" s="38"/>
      <c r="G1588" s="4"/>
      <c r="H1588" s="4"/>
      <c r="I1588" s="41"/>
      <c r="J1588" s="41"/>
      <c r="K1588" s="41"/>
      <c r="L1588" s="41"/>
      <c r="M1588" s="41"/>
      <c r="N1588" s="41"/>
      <c r="O1588" s="35"/>
      <c r="P1588" s="42"/>
    </row>
    <row r="1589">
      <c r="A1589" s="39"/>
      <c r="B1589" s="39"/>
      <c r="C1589" s="3"/>
      <c r="D1589" s="40"/>
      <c r="E1589" s="38"/>
      <c r="F1589" s="38"/>
      <c r="G1589" s="4"/>
      <c r="H1589" s="4"/>
      <c r="I1589" s="41"/>
      <c r="J1589" s="41"/>
      <c r="K1589" s="41"/>
      <c r="L1589" s="41"/>
      <c r="M1589" s="41"/>
      <c r="N1589" s="41"/>
      <c r="O1589" s="35"/>
      <c r="P1589" s="42"/>
    </row>
    <row r="1590">
      <c r="A1590" s="39"/>
      <c r="B1590" s="39"/>
      <c r="C1590" s="3"/>
      <c r="D1590" s="40"/>
      <c r="E1590" s="38"/>
      <c r="F1590" s="38"/>
      <c r="G1590" s="4"/>
      <c r="H1590" s="4"/>
      <c r="I1590" s="41"/>
      <c r="J1590" s="41"/>
      <c r="K1590" s="41"/>
      <c r="L1590" s="41"/>
      <c r="M1590" s="41"/>
      <c r="N1590" s="41"/>
      <c r="O1590" s="35"/>
      <c r="P1590" s="42"/>
    </row>
    <row r="1591">
      <c r="A1591" s="39"/>
      <c r="B1591" s="39"/>
      <c r="C1591" s="3"/>
      <c r="D1591" s="40"/>
      <c r="E1591" s="38"/>
      <c r="F1591" s="38"/>
      <c r="G1591" s="4"/>
      <c r="H1591" s="4"/>
      <c r="I1591" s="41"/>
      <c r="J1591" s="41"/>
      <c r="K1591" s="41"/>
      <c r="L1591" s="41"/>
      <c r="M1591" s="41"/>
      <c r="N1591" s="41"/>
      <c r="O1591" s="35"/>
      <c r="P1591" s="42"/>
    </row>
    <row r="1592">
      <c r="A1592" s="39"/>
      <c r="B1592" s="39"/>
      <c r="C1592" s="3"/>
      <c r="D1592" s="40"/>
      <c r="E1592" s="38"/>
      <c r="F1592" s="38"/>
      <c r="G1592" s="4"/>
      <c r="H1592" s="4"/>
      <c r="I1592" s="41"/>
      <c r="J1592" s="41"/>
      <c r="K1592" s="41"/>
      <c r="L1592" s="41"/>
      <c r="M1592" s="41"/>
      <c r="N1592" s="41"/>
      <c r="O1592" s="35"/>
      <c r="P1592" s="42"/>
    </row>
    <row r="1593">
      <c r="A1593" s="39"/>
      <c r="B1593" s="39"/>
      <c r="C1593" s="3"/>
      <c r="D1593" s="40"/>
      <c r="E1593" s="38"/>
      <c r="F1593" s="38"/>
      <c r="G1593" s="4"/>
      <c r="H1593" s="4"/>
      <c r="I1593" s="41"/>
      <c r="J1593" s="41"/>
      <c r="K1593" s="41"/>
      <c r="L1593" s="41"/>
      <c r="M1593" s="41"/>
      <c r="N1593" s="41"/>
      <c r="O1593" s="35"/>
      <c r="P1593" s="42"/>
    </row>
    <row r="1594">
      <c r="A1594" s="39"/>
      <c r="B1594" s="39"/>
      <c r="C1594" s="3"/>
      <c r="D1594" s="40"/>
      <c r="E1594" s="38"/>
      <c r="F1594" s="38"/>
      <c r="G1594" s="4"/>
      <c r="H1594" s="4"/>
      <c r="I1594" s="41"/>
      <c r="J1594" s="41"/>
      <c r="K1594" s="41"/>
      <c r="L1594" s="41"/>
      <c r="M1594" s="41"/>
      <c r="N1594" s="41"/>
      <c r="O1594" s="35"/>
      <c r="P1594" s="42"/>
    </row>
    <row r="1595">
      <c r="A1595" s="39"/>
      <c r="B1595" s="39"/>
      <c r="C1595" s="3"/>
      <c r="D1595" s="40"/>
      <c r="E1595" s="38"/>
      <c r="F1595" s="38"/>
      <c r="G1595" s="4"/>
      <c r="H1595" s="4"/>
      <c r="I1595" s="41"/>
      <c r="J1595" s="41"/>
      <c r="K1595" s="41"/>
      <c r="L1595" s="41"/>
      <c r="M1595" s="41"/>
      <c r="N1595" s="41"/>
      <c r="O1595" s="35"/>
      <c r="P1595" s="42"/>
    </row>
    <row r="1596">
      <c r="A1596" s="39"/>
      <c r="B1596" s="39"/>
      <c r="C1596" s="3"/>
      <c r="D1596" s="40"/>
      <c r="E1596" s="38"/>
      <c r="F1596" s="38"/>
      <c r="G1596" s="4"/>
      <c r="H1596" s="4"/>
      <c r="I1596" s="41"/>
      <c r="J1596" s="41"/>
      <c r="K1596" s="41"/>
      <c r="L1596" s="41"/>
      <c r="M1596" s="41"/>
      <c r="N1596" s="41"/>
      <c r="O1596" s="35"/>
      <c r="P1596" s="42"/>
    </row>
    <row r="1597">
      <c r="A1597" s="39"/>
      <c r="B1597" s="39"/>
      <c r="C1597" s="3"/>
      <c r="D1597" s="40"/>
      <c r="E1597" s="38"/>
      <c r="F1597" s="38"/>
      <c r="G1597" s="4"/>
      <c r="H1597" s="4"/>
      <c r="I1597" s="41"/>
      <c r="J1597" s="41"/>
      <c r="K1597" s="41"/>
      <c r="L1597" s="41"/>
      <c r="M1597" s="41"/>
      <c r="N1597" s="41"/>
      <c r="O1597" s="35"/>
      <c r="P1597" s="42"/>
    </row>
    <row r="1598">
      <c r="A1598" s="39"/>
      <c r="B1598" s="39"/>
      <c r="C1598" s="3"/>
      <c r="D1598" s="40"/>
      <c r="E1598" s="38"/>
      <c r="F1598" s="38"/>
      <c r="G1598" s="4"/>
      <c r="H1598" s="4"/>
      <c r="I1598" s="41"/>
      <c r="J1598" s="41"/>
      <c r="K1598" s="41"/>
      <c r="L1598" s="41"/>
      <c r="M1598" s="41"/>
      <c r="N1598" s="41"/>
      <c r="O1598" s="35"/>
      <c r="P1598" s="42"/>
    </row>
    <row r="1599">
      <c r="A1599" s="39"/>
      <c r="B1599" s="39"/>
      <c r="C1599" s="3"/>
      <c r="D1599" s="40"/>
      <c r="E1599" s="38"/>
      <c r="F1599" s="38"/>
      <c r="G1599" s="4"/>
      <c r="H1599" s="4"/>
      <c r="I1599" s="41"/>
      <c r="J1599" s="41"/>
      <c r="K1599" s="41"/>
      <c r="L1599" s="41"/>
      <c r="M1599" s="41"/>
      <c r="N1599" s="41"/>
      <c r="O1599" s="35"/>
      <c r="P1599" s="42"/>
    </row>
    <row r="1600">
      <c r="A1600" s="39"/>
      <c r="B1600" s="39"/>
      <c r="C1600" s="3"/>
      <c r="D1600" s="40"/>
      <c r="E1600" s="38"/>
      <c r="F1600" s="38"/>
      <c r="G1600" s="4"/>
      <c r="H1600" s="4"/>
      <c r="I1600" s="41"/>
      <c r="J1600" s="41"/>
      <c r="K1600" s="41"/>
      <c r="L1600" s="41"/>
      <c r="M1600" s="41"/>
      <c r="N1600" s="41"/>
      <c r="O1600" s="35"/>
      <c r="P1600" s="42"/>
    </row>
    <row r="1601">
      <c r="A1601" s="39"/>
      <c r="B1601" s="39"/>
      <c r="C1601" s="3"/>
      <c r="D1601" s="40"/>
      <c r="E1601" s="38"/>
      <c r="F1601" s="38"/>
      <c r="G1601" s="4"/>
      <c r="H1601" s="4"/>
      <c r="I1601" s="41"/>
      <c r="J1601" s="41"/>
      <c r="K1601" s="41"/>
      <c r="L1601" s="41"/>
      <c r="M1601" s="41"/>
      <c r="N1601" s="41"/>
      <c r="O1601" s="35"/>
      <c r="P1601" s="42"/>
    </row>
    <row r="1602">
      <c r="A1602" s="39"/>
      <c r="B1602" s="39"/>
      <c r="C1602" s="3"/>
      <c r="D1602" s="40"/>
      <c r="E1602" s="38"/>
      <c r="F1602" s="38"/>
      <c r="G1602" s="4"/>
      <c r="H1602" s="4"/>
      <c r="I1602" s="41"/>
      <c r="J1602" s="41"/>
      <c r="K1602" s="41"/>
      <c r="L1602" s="41"/>
      <c r="M1602" s="41"/>
      <c r="N1602" s="41"/>
      <c r="O1602" s="35"/>
      <c r="P1602" s="42"/>
    </row>
    <row r="1603">
      <c r="A1603" s="39"/>
      <c r="B1603" s="39"/>
      <c r="C1603" s="3"/>
      <c r="D1603" s="40"/>
      <c r="E1603" s="38"/>
      <c r="F1603" s="38"/>
      <c r="G1603" s="4"/>
      <c r="H1603" s="4"/>
      <c r="I1603" s="41"/>
      <c r="J1603" s="41"/>
      <c r="K1603" s="41"/>
      <c r="L1603" s="41"/>
      <c r="M1603" s="41"/>
      <c r="N1603" s="41"/>
      <c r="O1603" s="35"/>
      <c r="P1603" s="42"/>
    </row>
    <row r="1604">
      <c r="A1604" s="39"/>
      <c r="B1604" s="39"/>
      <c r="C1604" s="3"/>
      <c r="D1604" s="40"/>
      <c r="E1604" s="38"/>
      <c r="F1604" s="38"/>
      <c r="G1604" s="4"/>
      <c r="H1604" s="4"/>
      <c r="I1604" s="41"/>
      <c r="J1604" s="41"/>
      <c r="K1604" s="41"/>
      <c r="L1604" s="41"/>
      <c r="M1604" s="41"/>
      <c r="N1604" s="41"/>
      <c r="O1604" s="35"/>
      <c r="P1604" s="42"/>
    </row>
    <row r="1605">
      <c r="A1605" s="39"/>
      <c r="B1605" s="39"/>
      <c r="C1605" s="3"/>
      <c r="D1605" s="40"/>
      <c r="E1605" s="38"/>
      <c r="F1605" s="38"/>
      <c r="G1605" s="4"/>
      <c r="H1605" s="4"/>
      <c r="I1605" s="41"/>
      <c r="J1605" s="41"/>
      <c r="K1605" s="41"/>
      <c r="L1605" s="41"/>
      <c r="M1605" s="41"/>
      <c r="N1605" s="41"/>
      <c r="O1605" s="35"/>
      <c r="P1605" s="42"/>
    </row>
    <row r="1606">
      <c r="A1606" s="39"/>
      <c r="B1606" s="39"/>
      <c r="C1606" s="3"/>
      <c r="D1606" s="40"/>
      <c r="E1606" s="38"/>
      <c r="F1606" s="38"/>
      <c r="G1606" s="4"/>
      <c r="H1606" s="4"/>
      <c r="I1606" s="41"/>
      <c r="J1606" s="41"/>
      <c r="K1606" s="41"/>
      <c r="L1606" s="41"/>
      <c r="M1606" s="41"/>
      <c r="N1606" s="41"/>
      <c r="O1606" s="35"/>
      <c r="P1606" s="42"/>
    </row>
    <row r="1607">
      <c r="A1607" s="39"/>
      <c r="B1607" s="39"/>
      <c r="C1607" s="3"/>
      <c r="D1607" s="40"/>
      <c r="E1607" s="38"/>
      <c r="F1607" s="38"/>
      <c r="G1607" s="4"/>
      <c r="H1607" s="4"/>
      <c r="I1607" s="41"/>
      <c r="J1607" s="41"/>
      <c r="K1607" s="41"/>
      <c r="L1607" s="41"/>
      <c r="M1607" s="41"/>
      <c r="N1607" s="41"/>
      <c r="O1607" s="35"/>
      <c r="P1607" s="42"/>
    </row>
    <row r="1608">
      <c r="A1608" s="39"/>
      <c r="B1608" s="39"/>
      <c r="C1608" s="3"/>
      <c r="D1608" s="40"/>
      <c r="E1608" s="38"/>
      <c r="F1608" s="38"/>
      <c r="G1608" s="4"/>
      <c r="H1608" s="4"/>
      <c r="I1608" s="41"/>
      <c r="J1608" s="41"/>
      <c r="K1608" s="41"/>
      <c r="L1608" s="41"/>
      <c r="M1608" s="41"/>
      <c r="N1608" s="41"/>
      <c r="O1608" s="35"/>
      <c r="P1608" s="42"/>
    </row>
    <row r="1609">
      <c r="A1609" s="39"/>
      <c r="B1609" s="39"/>
      <c r="C1609" s="3"/>
      <c r="D1609" s="40"/>
      <c r="E1609" s="38"/>
      <c r="F1609" s="38"/>
      <c r="G1609" s="4"/>
      <c r="H1609" s="4"/>
      <c r="I1609" s="41"/>
      <c r="J1609" s="41"/>
      <c r="K1609" s="41"/>
      <c r="L1609" s="41"/>
      <c r="M1609" s="41"/>
      <c r="N1609" s="41"/>
      <c r="O1609" s="35"/>
      <c r="P1609" s="42"/>
    </row>
    <row r="1610">
      <c r="A1610" s="39"/>
      <c r="B1610" s="39"/>
      <c r="C1610" s="3"/>
      <c r="D1610" s="40"/>
      <c r="E1610" s="38"/>
      <c r="F1610" s="38"/>
      <c r="G1610" s="4"/>
      <c r="H1610" s="4"/>
      <c r="I1610" s="41"/>
      <c r="J1610" s="41"/>
      <c r="K1610" s="41"/>
      <c r="L1610" s="41"/>
      <c r="M1610" s="41"/>
      <c r="N1610" s="41"/>
      <c r="O1610" s="35"/>
      <c r="P1610" s="42"/>
    </row>
    <row r="1611">
      <c r="A1611" s="39"/>
      <c r="B1611" s="39"/>
      <c r="C1611" s="3"/>
      <c r="D1611" s="40"/>
      <c r="E1611" s="38"/>
      <c r="F1611" s="38"/>
      <c r="G1611" s="4"/>
      <c r="H1611" s="4"/>
      <c r="I1611" s="41"/>
      <c r="J1611" s="41"/>
      <c r="K1611" s="41"/>
      <c r="L1611" s="41"/>
      <c r="M1611" s="41"/>
      <c r="N1611" s="41"/>
      <c r="O1611" s="35"/>
      <c r="P1611" s="42"/>
    </row>
    <row r="1612">
      <c r="A1612" s="39"/>
      <c r="B1612" s="39"/>
      <c r="C1612" s="3"/>
      <c r="D1612" s="40"/>
      <c r="E1612" s="38"/>
      <c r="F1612" s="38"/>
      <c r="G1612" s="4"/>
      <c r="H1612" s="4"/>
      <c r="I1612" s="41"/>
      <c r="J1612" s="41"/>
      <c r="K1612" s="41"/>
      <c r="L1612" s="41"/>
      <c r="M1612" s="41"/>
      <c r="N1612" s="41"/>
      <c r="O1612" s="35"/>
      <c r="P1612" s="42"/>
    </row>
    <row r="1613">
      <c r="A1613" s="39"/>
      <c r="B1613" s="39"/>
      <c r="C1613" s="3"/>
      <c r="D1613" s="40"/>
      <c r="E1613" s="38"/>
      <c r="F1613" s="38"/>
      <c r="G1613" s="4"/>
      <c r="H1613" s="4"/>
      <c r="I1613" s="41"/>
      <c r="J1613" s="41"/>
      <c r="K1613" s="41"/>
      <c r="L1613" s="41"/>
      <c r="M1613" s="41"/>
      <c r="N1613" s="41"/>
      <c r="O1613" s="35"/>
      <c r="P1613" s="42"/>
    </row>
    <row r="1614">
      <c r="A1614" s="39"/>
      <c r="B1614" s="39"/>
      <c r="C1614" s="3"/>
      <c r="D1614" s="40"/>
      <c r="E1614" s="38"/>
      <c r="F1614" s="38"/>
      <c r="G1614" s="4"/>
      <c r="H1614" s="4"/>
      <c r="I1614" s="41"/>
      <c r="J1614" s="41"/>
      <c r="K1614" s="41"/>
      <c r="L1614" s="41"/>
      <c r="M1614" s="41"/>
      <c r="N1614" s="41"/>
      <c r="O1614" s="35"/>
      <c r="P1614" s="42"/>
    </row>
    <row r="1615">
      <c r="A1615" s="39"/>
      <c r="B1615" s="39"/>
      <c r="C1615" s="3"/>
      <c r="D1615" s="40"/>
      <c r="E1615" s="38"/>
      <c r="F1615" s="38"/>
      <c r="G1615" s="4"/>
      <c r="H1615" s="4"/>
      <c r="I1615" s="41"/>
      <c r="J1615" s="41"/>
      <c r="K1615" s="41"/>
      <c r="L1615" s="41"/>
      <c r="M1615" s="41"/>
      <c r="N1615" s="41"/>
      <c r="O1615" s="35"/>
      <c r="P1615" s="42"/>
    </row>
    <row r="1616">
      <c r="A1616" s="39"/>
      <c r="B1616" s="39"/>
      <c r="C1616" s="3"/>
      <c r="D1616" s="40"/>
      <c r="E1616" s="38"/>
      <c r="F1616" s="38"/>
      <c r="G1616" s="4"/>
      <c r="H1616" s="4"/>
      <c r="I1616" s="41"/>
      <c r="J1616" s="41"/>
      <c r="K1616" s="41"/>
      <c r="L1616" s="41"/>
      <c r="M1616" s="41"/>
      <c r="N1616" s="41"/>
      <c r="O1616" s="35"/>
      <c r="P1616" s="42"/>
    </row>
    <row r="1617">
      <c r="A1617" s="39"/>
      <c r="B1617" s="39"/>
      <c r="C1617" s="3"/>
      <c r="D1617" s="40"/>
      <c r="E1617" s="38"/>
      <c r="F1617" s="38"/>
      <c r="G1617" s="4"/>
      <c r="H1617" s="4"/>
      <c r="I1617" s="41"/>
      <c r="J1617" s="41"/>
      <c r="K1617" s="41"/>
      <c r="L1617" s="41"/>
      <c r="M1617" s="41"/>
      <c r="N1617" s="41"/>
      <c r="O1617" s="35"/>
      <c r="P1617" s="42"/>
    </row>
    <row r="1618">
      <c r="A1618" s="39"/>
      <c r="B1618" s="39"/>
      <c r="C1618" s="3"/>
      <c r="D1618" s="40"/>
      <c r="E1618" s="38"/>
      <c r="F1618" s="38"/>
      <c r="G1618" s="4"/>
      <c r="H1618" s="4"/>
      <c r="I1618" s="41"/>
      <c r="J1618" s="41"/>
      <c r="K1618" s="41"/>
      <c r="L1618" s="41"/>
      <c r="M1618" s="41"/>
      <c r="N1618" s="41"/>
      <c r="O1618" s="35"/>
      <c r="P1618" s="42"/>
    </row>
    <row r="1619">
      <c r="A1619" s="39"/>
      <c r="B1619" s="39"/>
      <c r="C1619" s="3"/>
      <c r="D1619" s="40"/>
      <c r="E1619" s="38"/>
      <c r="F1619" s="38"/>
      <c r="G1619" s="4"/>
      <c r="H1619" s="4"/>
      <c r="I1619" s="41"/>
      <c r="J1619" s="41"/>
      <c r="K1619" s="41"/>
      <c r="L1619" s="41"/>
      <c r="M1619" s="41"/>
      <c r="N1619" s="41"/>
      <c r="O1619" s="35"/>
      <c r="P1619" s="42"/>
    </row>
    <row r="1620">
      <c r="A1620" s="39"/>
      <c r="B1620" s="39"/>
      <c r="C1620" s="3"/>
      <c r="D1620" s="40"/>
      <c r="E1620" s="38"/>
      <c r="F1620" s="38"/>
      <c r="G1620" s="4"/>
      <c r="H1620" s="4"/>
      <c r="I1620" s="41"/>
      <c r="J1620" s="41"/>
      <c r="K1620" s="41"/>
      <c r="L1620" s="41"/>
      <c r="M1620" s="41"/>
      <c r="N1620" s="41"/>
      <c r="O1620" s="35"/>
      <c r="P1620" s="42"/>
    </row>
    <row r="1621">
      <c r="A1621" s="39"/>
      <c r="B1621" s="39"/>
      <c r="C1621" s="3"/>
      <c r="D1621" s="40"/>
      <c r="E1621" s="38"/>
      <c r="F1621" s="38"/>
      <c r="G1621" s="4"/>
      <c r="H1621" s="4"/>
      <c r="I1621" s="41"/>
      <c r="J1621" s="41"/>
      <c r="K1621" s="41"/>
      <c r="L1621" s="41"/>
      <c r="M1621" s="41"/>
      <c r="N1621" s="41"/>
      <c r="O1621" s="35"/>
      <c r="P1621" s="42"/>
    </row>
    <row r="1622">
      <c r="A1622" s="39"/>
      <c r="B1622" s="39"/>
      <c r="C1622" s="3"/>
      <c r="D1622" s="40"/>
      <c r="E1622" s="38"/>
      <c r="F1622" s="38"/>
      <c r="G1622" s="4"/>
      <c r="H1622" s="4"/>
      <c r="I1622" s="41"/>
      <c r="J1622" s="41"/>
      <c r="K1622" s="41"/>
      <c r="L1622" s="41"/>
      <c r="M1622" s="41"/>
      <c r="N1622" s="41"/>
      <c r="O1622" s="35"/>
      <c r="P1622" s="42"/>
    </row>
    <row r="1623">
      <c r="A1623" s="39"/>
      <c r="B1623" s="39"/>
      <c r="C1623" s="3"/>
      <c r="D1623" s="40"/>
      <c r="E1623" s="38"/>
      <c r="F1623" s="38"/>
      <c r="G1623" s="4"/>
      <c r="H1623" s="4"/>
      <c r="I1623" s="41"/>
      <c r="J1623" s="41"/>
      <c r="K1623" s="41"/>
      <c r="L1623" s="41"/>
      <c r="M1623" s="41"/>
      <c r="N1623" s="41"/>
      <c r="O1623" s="35"/>
      <c r="P1623" s="42"/>
    </row>
    <row r="1624">
      <c r="A1624" s="39"/>
      <c r="B1624" s="39"/>
      <c r="C1624" s="3"/>
      <c r="D1624" s="40"/>
      <c r="E1624" s="38"/>
      <c r="F1624" s="38"/>
      <c r="G1624" s="4"/>
      <c r="H1624" s="4"/>
      <c r="I1624" s="41"/>
      <c r="J1624" s="41"/>
      <c r="K1624" s="41"/>
      <c r="L1624" s="41"/>
      <c r="M1624" s="41"/>
      <c r="N1624" s="41"/>
      <c r="O1624" s="35"/>
      <c r="P1624" s="42"/>
    </row>
    <row r="1625">
      <c r="A1625" s="39"/>
      <c r="B1625" s="39"/>
      <c r="C1625" s="3"/>
      <c r="D1625" s="40"/>
      <c r="E1625" s="38"/>
      <c r="F1625" s="38"/>
      <c r="G1625" s="4"/>
      <c r="H1625" s="4"/>
      <c r="I1625" s="41"/>
      <c r="J1625" s="41"/>
      <c r="K1625" s="41"/>
      <c r="L1625" s="41"/>
      <c r="M1625" s="41"/>
      <c r="N1625" s="41"/>
      <c r="O1625" s="35"/>
      <c r="P1625" s="42"/>
    </row>
    <row r="1626">
      <c r="A1626" s="39"/>
      <c r="B1626" s="39"/>
      <c r="C1626" s="3"/>
      <c r="D1626" s="40"/>
      <c r="E1626" s="38"/>
      <c r="F1626" s="38"/>
      <c r="G1626" s="4"/>
      <c r="H1626" s="4"/>
      <c r="I1626" s="41"/>
      <c r="J1626" s="41"/>
      <c r="K1626" s="41"/>
      <c r="L1626" s="41"/>
      <c r="M1626" s="41"/>
      <c r="N1626" s="41"/>
      <c r="O1626" s="35"/>
      <c r="P1626" s="42"/>
    </row>
    <row r="1627">
      <c r="A1627" s="39"/>
      <c r="B1627" s="39"/>
      <c r="C1627" s="3"/>
      <c r="D1627" s="40"/>
      <c r="E1627" s="38"/>
      <c r="F1627" s="38"/>
      <c r="G1627" s="4"/>
      <c r="H1627" s="4"/>
      <c r="I1627" s="41"/>
      <c r="J1627" s="41"/>
      <c r="K1627" s="41"/>
      <c r="L1627" s="41"/>
      <c r="M1627" s="41"/>
      <c r="N1627" s="41"/>
      <c r="O1627" s="35"/>
      <c r="P1627" s="42"/>
    </row>
    <row r="1628">
      <c r="A1628" s="39"/>
      <c r="B1628" s="39"/>
      <c r="C1628" s="3"/>
      <c r="D1628" s="40"/>
      <c r="E1628" s="38"/>
      <c r="F1628" s="38"/>
      <c r="G1628" s="4"/>
      <c r="H1628" s="4"/>
      <c r="I1628" s="41"/>
      <c r="J1628" s="41"/>
      <c r="K1628" s="41"/>
      <c r="L1628" s="41"/>
      <c r="M1628" s="41"/>
      <c r="N1628" s="41"/>
      <c r="O1628" s="35"/>
      <c r="P1628" s="42"/>
    </row>
    <row r="1629">
      <c r="A1629" s="39"/>
      <c r="B1629" s="39"/>
      <c r="C1629" s="3"/>
      <c r="D1629" s="40"/>
      <c r="E1629" s="38"/>
      <c r="F1629" s="38"/>
      <c r="G1629" s="4"/>
      <c r="H1629" s="4"/>
      <c r="I1629" s="41"/>
      <c r="J1629" s="41"/>
      <c r="K1629" s="41"/>
      <c r="L1629" s="41"/>
      <c r="M1629" s="41"/>
      <c r="N1629" s="41"/>
      <c r="O1629" s="35"/>
      <c r="P1629" s="42"/>
    </row>
    <row r="1630">
      <c r="A1630" s="39"/>
      <c r="B1630" s="39"/>
      <c r="C1630" s="3"/>
      <c r="D1630" s="40"/>
      <c r="E1630" s="38"/>
      <c r="F1630" s="38"/>
      <c r="G1630" s="4"/>
      <c r="H1630" s="4"/>
      <c r="I1630" s="41"/>
      <c r="J1630" s="41"/>
      <c r="K1630" s="41"/>
      <c r="L1630" s="41"/>
      <c r="M1630" s="41"/>
      <c r="N1630" s="41"/>
      <c r="O1630" s="35"/>
      <c r="P1630" s="42"/>
    </row>
    <row r="1631">
      <c r="A1631" s="39"/>
      <c r="B1631" s="39"/>
      <c r="C1631" s="3"/>
      <c r="D1631" s="40"/>
      <c r="E1631" s="38"/>
      <c r="F1631" s="38"/>
      <c r="G1631" s="4"/>
      <c r="H1631" s="4"/>
      <c r="I1631" s="41"/>
      <c r="J1631" s="41"/>
      <c r="K1631" s="41"/>
      <c r="L1631" s="41"/>
      <c r="M1631" s="41"/>
      <c r="N1631" s="41"/>
      <c r="O1631" s="35"/>
      <c r="P1631" s="42"/>
    </row>
    <row r="1632">
      <c r="A1632" s="39"/>
      <c r="B1632" s="39"/>
      <c r="C1632" s="3"/>
      <c r="D1632" s="40"/>
      <c r="E1632" s="38"/>
      <c r="F1632" s="38"/>
      <c r="G1632" s="4"/>
      <c r="H1632" s="4"/>
      <c r="I1632" s="41"/>
      <c r="J1632" s="41"/>
      <c r="K1632" s="41"/>
      <c r="L1632" s="41"/>
      <c r="M1632" s="41"/>
      <c r="N1632" s="41"/>
      <c r="O1632" s="35"/>
      <c r="P1632" s="42"/>
    </row>
    <row r="1633">
      <c r="A1633" s="39"/>
      <c r="B1633" s="39"/>
      <c r="C1633" s="3"/>
      <c r="D1633" s="40"/>
      <c r="E1633" s="38"/>
      <c r="F1633" s="38"/>
      <c r="G1633" s="4"/>
      <c r="H1633" s="4"/>
      <c r="I1633" s="41"/>
      <c r="J1633" s="41"/>
      <c r="K1633" s="41"/>
      <c r="L1633" s="41"/>
      <c r="M1633" s="41"/>
      <c r="N1633" s="41"/>
      <c r="O1633" s="35"/>
      <c r="P1633" s="42"/>
    </row>
    <row r="1634">
      <c r="A1634" s="39"/>
      <c r="B1634" s="39"/>
      <c r="C1634" s="3"/>
      <c r="D1634" s="40"/>
      <c r="E1634" s="38"/>
      <c r="F1634" s="38"/>
      <c r="G1634" s="4"/>
      <c r="H1634" s="4"/>
      <c r="I1634" s="41"/>
      <c r="J1634" s="41"/>
      <c r="K1634" s="41"/>
      <c r="L1634" s="41"/>
      <c r="M1634" s="41"/>
      <c r="N1634" s="41"/>
      <c r="O1634" s="35"/>
      <c r="P1634" s="42"/>
    </row>
    <row r="1635">
      <c r="A1635" s="39"/>
      <c r="B1635" s="39"/>
      <c r="C1635" s="3"/>
      <c r="D1635" s="40"/>
      <c r="E1635" s="38"/>
      <c r="F1635" s="38"/>
      <c r="G1635" s="4"/>
      <c r="H1635" s="4"/>
      <c r="I1635" s="41"/>
      <c r="J1635" s="41"/>
      <c r="K1635" s="41"/>
      <c r="L1635" s="41"/>
      <c r="M1635" s="41"/>
      <c r="N1635" s="41"/>
      <c r="O1635" s="35"/>
      <c r="P1635" s="42"/>
    </row>
    <row r="1636">
      <c r="A1636" s="39"/>
      <c r="B1636" s="39"/>
      <c r="C1636" s="3"/>
      <c r="D1636" s="40"/>
      <c r="E1636" s="38"/>
      <c r="F1636" s="38"/>
      <c r="G1636" s="4"/>
      <c r="H1636" s="4"/>
      <c r="I1636" s="41"/>
      <c r="J1636" s="41"/>
      <c r="K1636" s="41"/>
      <c r="L1636" s="41"/>
      <c r="M1636" s="41"/>
      <c r="N1636" s="41"/>
      <c r="O1636" s="35"/>
      <c r="P1636" s="42"/>
    </row>
    <row r="1637">
      <c r="A1637" s="39"/>
      <c r="B1637" s="39"/>
      <c r="C1637" s="3"/>
      <c r="D1637" s="40"/>
      <c r="E1637" s="38"/>
      <c r="F1637" s="38"/>
      <c r="G1637" s="4"/>
      <c r="H1637" s="4"/>
      <c r="I1637" s="41"/>
      <c r="J1637" s="41"/>
      <c r="K1637" s="41"/>
      <c r="L1637" s="41"/>
      <c r="M1637" s="41"/>
      <c r="N1637" s="41"/>
      <c r="O1637" s="35"/>
      <c r="P1637" s="42"/>
    </row>
    <row r="1638">
      <c r="A1638" s="39"/>
      <c r="B1638" s="39"/>
      <c r="C1638" s="3"/>
      <c r="D1638" s="40"/>
      <c r="E1638" s="38"/>
      <c r="F1638" s="38"/>
      <c r="G1638" s="4"/>
      <c r="H1638" s="4"/>
      <c r="I1638" s="41"/>
      <c r="J1638" s="41"/>
      <c r="K1638" s="41"/>
      <c r="L1638" s="41"/>
      <c r="M1638" s="41"/>
      <c r="N1638" s="41"/>
      <c r="O1638" s="35"/>
      <c r="P1638" s="42"/>
    </row>
    <row r="1639">
      <c r="A1639" s="39"/>
      <c r="B1639" s="39"/>
      <c r="C1639" s="3"/>
      <c r="D1639" s="40"/>
      <c r="E1639" s="38"/>
      <c r="F1639" s="38"/>
      <c r="G1639" s="4"/>
      <c r="H1639" s="4"/>
      <c r="I1639" s="41"/>
      <c r="J1639" s="41"/>
      <c r="K1639" s="41"/>
      <c r="L1639" s="41"/>
      <c r="M1639" s="41"/>
      <c r="N1639" s="41"/>
      <c r="O1639" s="35"/>
      <c r="P1639" s="42"/>
    </row>
    <row r="1640">
      <c r="A1640" s="39"/>
      <c r="B1640" s="39"/>
      <c r="C1640" s="3"/>
      <c r="D1640" s="40"/>
      <c r="E1640" s="38"/>
      <c r="F1640" s="38"/>
      <c r="G1640" s="4"/>
      <c r="H1640" s="4"/>
      <c r="I1640" s="41"/>
      <c r="J1640" s="41"/>
      <c r="K1640" s="41"/>
      <c r="L1640" s="41"/>
      <c r="M1640" s="41"/>
      <c r="N1640" s="41"/>
      <c r="O1640" s="35"/>
      <c r="P1640" s="42"/>
    </row>
    <row r="1641">
      <c r="A1641" s="39"/>
      <c r="B1641" s="39"/>
      <c r="C1641" s="3"/>
      <c r="D1641" s="40"/>
      <c r="E1641" s="38"/>
      <c r="F1641" s="38"/>
      <c r="G1641" s="4"/>
      <c r="H1641" s="4"/>
      <c r="I1641" s="41"/>
      <c r="J1641" s="41"/>
      <c r="K1641" s="41"/>
      <c r="L1641" s="41"/>
      <c r="M1641" s="41"/>
      <c r="N1641" s="41"/>
      <c r="O1641" s="35"/>
      <c r="P1641" s="42"/>
    </row>
    <row r="1642">
      <c r="A1642" s="39"/>
      <c r="B1642" s="39"/>
      <c r="C1642" s="3"/>
      <c r="D1642" s="40"/>
      <c r="E1642" s="38"/>
      <c r="F1642" s="38"/>
      <c r="G1642" s="4"/>
      <c r="H1642" s="4"/>
      <c r="I1642" s="41"/>
      <c r="J1642" s="41"/>
      <c r="K1642" s="41"/>
      <c r="L1642" s="41"/>
      <c r="M1642" s="41"/>
      <c r="N1642" s="41"/>
      <c r="O1642" s="35"/>
      <c r="P1642" s="42"/>
    </row>
    <row r="1643">
      <c r="A1643" s="39"/>
      <c r="B1643" s="39"/>
      <c r="C1643" s="3"/>
      <c r="D1643" s="40"/>
      <c r="E1643" s="38"/>
      <c r="F1643" s="38"/>
      <c r="G1643" s="4"/>
      <c r="H1643" s="4"/>
      <c r="I1643" s="41"/>
      <c r="J1643" s="41"/>
      <c r="K1643" s="41"/>
      <c r="L1643" s="41"/>
      <c r="M1643" s="41"/>
      <c r="N1643" s="41"/>
      <c r="O1643" s="35"/>
      <c r="P1643" s="42"/>
    </row>
    <row r="1644">
      <c r="A1644" s="39"/>
      <c r="B1644" s="39"/>
      <c r="C1644" s="3"/>
      <c r="D1644" s="40"/>
      <c r="E1644" s="38"/>
      <c r="F1644" s="38"/>
      <c r="G1644" s="4"/>
      <c r="H1644" s="4"/>
      <c r="I1644" s="41"/>
      <c r="J1644" s="41"/>
      <c r="K1644" s="41"/>
      <c r="L1644" s="41"/>
      <c r="M1644" s="41"/>
      <c r="N1644" s="41"/>
      <c r="O1644" s="35"/>
      <c r="P1644" s="42"/>
    </row>
    <row r="1645">
      <c r="A1645" s="39"/>
      <c r="B1645" s="39"/>
      <c r="C1645" s="3"/>
      <c r="D1645" s="40"/>
      <c r="E1645" s="38"/>
      <c r="F1645" s="38"/>
      <c r="G1645" s="4"/>
      <c r="H1645" s="4"/>
      <c r="I1645" s="41"/>
      <c r="J1645" s="41"/>
      <c r="K1645" s="41"/>
      <c r="L1645" s="41"/>
      <c r="M1645" s="41"/>
      <c r="N1645" s="41"/>
      <c r="O1645" s="35"/>
      <c r="P1645" s="42"/>
    </row>
    <row r="1646">
      <c r="A1646" s="39"/>
      <c r="B1646" s="39"/>
      <c r="C1646" s="3"/>
      <c r="D1646" s="40"/>
      <c r="E1646" s="38"/>
      <c r="F1646" s="38"/>
      <c r="G1646" s="4"/>
      <c r="H1646" s="4"/>
      <c r="I1646" s="41"/>
      <c r="J1646" s="41"/>
      <c r="K1646" s="41"/>
      <c r="L1646" s="41"/>
      <c r="M1646" s="41"/>
      <c r="N1646" s="41"/>
      <c r="O1646" s="35"/>
      <c r="P1646" s="42"/>
    </row>
    <row r="1647">
      <c r="A1647" s="39"/>
      <c r="B1647" s="39"/>
      <c r="C1647" s="3"/>
      <c r="D1647" s="40"/>
      <c r="E1647" s="38"/>
      <c r="F1647" s="38"/>
      <c r="G1647" s="4"/>
      <c r="H1647" s="4"/>
      <c r="I1647" s="41"/>
      <c r="J1647" s="41"/>
      <c r="K1647" s="41"/>
      <c r="L1647" s="41"/>
      <c r="M1647" s="41"/>
      <c r="N1647" s="41"/>
      <c r="O1647" s="35"/>
      <c r="P1647" s="42"/>
    </row>
    <row r="1648">
      <c r="A1648" s="39"/>
      <c r="B1648" s="39"/>
      <c r="C1648" s="3"/>
      <c r="D1648" s="40"/>
      <c r="E1648" s="38"/>
      <c r="F1648" s="38"/>
      <c r="G1648" s="4"/>
      <c r="H1648" s="4"/>
      <c r="I1648" s="41"/>
      <c r="J1648" s="41"/>
      <c r="K1648" s="41"/>
      <c r="L1648" s="41"/>
      <c r="M1648" s="41"/>
      <c r="N1648" s="41"/>
      <c r="O1648" s="35"/>
      <c r="P1648" s="42"/>
    </row>
    <row r="1649">
      <c r="A1649" s="39"/>
      <c r="B1649" s="39"/>
      <c r="C1649" s="3"/>
      <c r="D1649" s="40"/>
      <c r="E1649" s="38"/>
      <c r="F1649" s="38"/>
      <c r="G1649" s="4"/>
      <c r="H1649" s="4"/>
      <c r="I1649" s="41"/>
      <c r="J1649" s="41"/>
      <c r="K1649" s="41"/>
      <c r="L1649" s="41"/>
      <c r="M1649" s="41"/>
      <c r="N1649" s="41"/>
      <c r="O1649" s="35"/>
      <c r="P1649" s="42"/>
    </row>
    <row r="1650">
      <c r="A1650" s="39"/>
      <c r="B1650" s="39"/>
      <c r="C1650" s="3"/>
      <c r="D1650" s="40"/>
      <c r="E1650" s="38"/>
      <c r="F1650" s="38"/>
      <c r="G1650" s="4"/>
      <c r="H1650" s="4"/>
      <c r="I1650" s="41"/>
      <c r="J1650" s="41"/>
      <c r="K1650" s="41"/>
      <c r="L1650" s="41"/>
      <c r="M1650" s="41"/>
      <c r="N1650" s="41"/>
      <c r="O1650" s="35"/>
      <c r="P1650" s="42"/>
    </row>
    <row r="1651">
      <c r="A1651" s="39"/>
      <c r="B1651" s="39"/>
      <c r="C1651" s="3"/>
      <c r="D1651" s="40"/>
      <c r="E1651" s="38"/>
      <c r="F1651" s="38"/>
      <c r="G1651" s="4"/>
      <c r="H1651" s="4"/>
      <c r="I1651" s="41"/>
      <c r="J1651" s="41"/>
      <c r="K1651" s="41"/>
      <c r="L1651" s="41"/>
      <c r="M1651" s="41"/>
      <c r="N1651" s="41"/>
      <c r="O1651" s="35"/>
      <c r="P1651" s="42"/>
    </row>
    <row r="1652">
      <c r="A1652" s="39"/>
      <c r="B1652" s="39"/>
      <c r="C1652" s="3"/>
      <c r="D1652" s="40"/>
      <c r="E1652" s="38"/>
      <c r="F1652" s="38"/>
      <c r="G1652" s="4"/>
      <c r="H1652" s="4"/>
      <c r="I1652" s="41"/>
      <c r="J1652" s="41"/>
      <c r="K1652" s="41"/>
      <c r="L1652" s="41"/>
      <c r="M1652" s="41"/>
      <c r="N1652" s="41"/>
      <c r="O1652" s="35"/>
      <c r="P1652" s="42"/>
    </row>
    <row r="1653">
      <c r="A1653" s="39"/>
      <c r="B1653" s="39"/>
      <c r="C1653" s="3"/>
      <c r="D1653" s="40"/>
      <c r="E1653" s="38"/>
      <c r="F1653" s="38"/>
      <c r="G1653" s="4"/>
      <c r="H1653" s="4"/>
      <c r="I1653" s="41"/>
      <c r="J1653" s="41"/>
      <c r="K1653" s="41"/>
      <c r="L1653" s="41"/>
      <c r="M1653" s="41"/>
      <c r="N1653" s="41"/>
      <c r="O1653" s="35"/>
      <c r="P1653" s="42"/>
    </row>
    <row r="1654">
      <c r="A1654" s="39"/>
      <c r="B1654" s="39"/>
      <c r="C1654" s="3"/>
      <c r="D1654" s="40"/>
      <c r="E1654" s="38"/>
      <c r="F1654" s="38"/>
      <c r="G1654" s="4"/>
      <c r="H1654" s="4"/>
      <c r="I1654" s="41"/>
      <c r="J1654" s="41"/>
      <c r="K1654" s="41"/>
      <c r="L1654" s="41"/>
      <c r="M1654" s="41"/>
      <c r="N1654" s="41"/>
      <c r="O1654" s="35"/>
      <c r="P1654" s="42"/>
    </row>
    <row r="1655">
      <c r="A1655" s="39"/>
      <c r="B1655" s="39"/>
      <c r="C1655" s="3"/>
      <c r="D1655" s="40"/>
      <c r="E1655" s="38"/>
      <c r="F1655" s="38"/>
      <c r="G1655" s="4"/>
      <c r="H1655" s="4"/>
      <c r="I1655" s="41"/>
      <c r="J1655" s="41"/>
      <c r="K1655" s="41"/>
      <c r="L1655" s="41"/>
      <c r="M1655" s="41"/>
      <c r="N1655" s="41"/>
      <c r="O1655" s="35"/>
      <c r="P1655" s="42"/>
    </row>
    <row r="1656">
      <c r="A1656" s="39"/>
      <c r="B1656" s="39"/>
      <c r="C1656" s="3"/>
      <c r="D1656" s="40"/>
      <c r="E1656" s="38"/>
      <c r="F1656" s="38"/>
      <c r="G1656" s="4"/>
      <c r="H1656" s="4"/>
      <c r="I1656" s="41"/>
      <c r="J1656" s="41"/>
      <c r="K1656" s="41"/>
      <c r="L1656" s="41"/>
      <c r="M1656" s="41"/>
      <c r="N1656" s="41"/>
      <c r="O1656" s="35"/>
      <c r="P1656" s="42"/>
    </row>
    <row r="1657">
      <c r="A1657" s="39"/>
      <c r="B1657" s="39"/>
      <c r="C1657" s="3"/>
      <c r="D1657" s="40"/>
      <c r="E1657" s="38"/>
      <c r="F1657" s="38"/>
      <c r="G1657" s="4"/>
      <c r="H1657" s="4"/>
      <c r="I1657" s="41"/>
      <c r="J1657" s="41"/>
      <c r="K1657" s="41"/>
      <c r="L1657" s="41"/>
      <c r="M1657" s="41"/>
      <c r="N1657" s="41"/>
      <c r="O1657" s="35"/>
      <c r="P1657" s="42"/>
    </row>
    <row r="1658">
      <c r="A1658" s="39"/>
      <c r="B1658" s="39"/>
      <c r="C1658" s="3"/>
      <c r="D1658" s="40"/>
      <c r="E1658" s="38"/>
      <c r="F1658" s="38"/>
      <c r="G1658" s="4"/>
      <c r="H1658" s="4"/>
      <c r="I1658" s="41"/>
      <c r="J1658" s="41"/>
      <c r="K1658" s="41"/>
      <c r="L1658" s="41"/>
      <c r="M1658" s="41"/>
      <c r="N1658" s="41"/>
      <c r="O1658" s="35"/>
      <c r="P1658" s="42"/>
    </row>
    <row r="1659">
      <c r="A1659" s="39"/>
      <c r="B1659" s="39"/>
      <c r="C1659" s="3"/>
      <c r="D1659" s="40"/>
      <c r="E1659" s="38"/>
      <c r="F1659" s="38"/>
      <c r="G1659" s="4"/>
      <c r="H1659" s="4"/>
      <c r="I1659" s="41"/>
      <c r="J1659" s="41"/>
      <c r="K1659" s="41"/>
      <c r="L1659" s="41"/>
      <c r="M1659" s="41"/>
      <c r="N1659" s="41"/>
      <c r="O1659" s="35"/>
      <c r="P1659" s="42"/>
    </row>
    <row r="1660">
      <c r="A1660" s="39"/>
      <c r="B1660" s="39"/>
      <c r="C1660" s="3"/>
      <c r="D1660" s="40"/>
      <c r="E1660" s="38"/>
      <c r="F1660" s="38"/>
      <c r="G1660" s="4"/>
      <c r="H1660" s="4"/>
      <c r="I1660" s="41"/>
      <c r="J1660" s="41"/>
      <c r="K1660" s="41"/>
      <c r="L1660" s="41"/>
      <c r="M1660" s="41"/>
      <c r="N1660" s="41"/>
      <c r="O1660" s="35"/>
      <c r="P1660" s="42"/>
    </row>
    <row r="1661">
      <c r="A1661" s="39"/>
      <c r="B1661" s="39"/>
      <c r="C1661" s="3"/>
      <c r="D1661" s="40"/>
      <c r="E1661" s="38"/>
      <c r="F1661" s="38"/>
      <c r="G1661" s="4"/>
      <c r="H1661" s="4"/>
      <c r="I1661" s="41"/>
      <c r="J1661" s="41"/>
      <c r="K1661" s="41"/>
      <c r="L1661" s="41"/>
      <c r="M1661" s="41"/>
      <c r="N1661" s="41"/>
      <c r="O1661" s="35"/>
      <c r="P1661" s="42"/>
    </row>
    <row r="1662">
      <c r="A1662" s="39"/>
      <c r="B1662" s="39"/>
      <c r="C1662" s="3"/>
      <c r="D1662" s="40"/>
      <c r="E1662" s="38"/>
      <c r="F1662" s="38"/>
      <c r="G1662" s="4"/>
      <c r="H1662" s="4"/>
      <c r="I1662" s="41"/>
      <c r="J1662" s="41"/>
      <c r="K1662" s="41"/>
      <c r="L1662" s="41"/>
      <c r="M1662" s="41"/>
      <c r="N1662" s="41"/>
      <c r="O1662" s="35"/>
      <c r="P1662" s="42"/>
    </row>
    <row r="1663">
      <c r="A1663" s="39"/>
      <c r="B1663" s="39"/>
      <c r="C1663" s="3"/>
      <c r="D1663" s="40"/>
      <c r="E1663" s="38"/>
      <c r="F1663" s="38"/>
      <c r="G1663" s="4"/>
      <c r="H1663" s="4"/>
      <c r="I1663" s="41"/>
      <c r="J1663" s="41"/>
      <c r="K1663" s="41"/>
      <c r="L1663" s="41"/>
      <c r="M1663" s="41"/>
      <c r="N1663" s="41"/>
      <c r="O1663" s="35"/>
      <c r="P1663" s="42"/>
    </row>
    <row r="1664">
      <c r="A1664" s="39"/>
      <c r="B1664" s="39"/>
      <c r="C1664" s="3"/>
      <c r="D1664" s="40"/>
      <c r="E1664" s="38"/>
      <c r="F1664" s="38"/>
      <c r="G1664" s="4"/>
      <c r="H1664" s="4"/>
      <c r="I1664" s="41"/>
      <c r="J1664" s="41"/>
      <c r="K1664" s="41"/>
      <c r="L1664" s="41"/>
      <c r="M1664" s="41"/>
      <c r="N1664" s="41"/>
      <c r="O1664" s="35"/>
      <c r="P1664" s="42"/>
    </row>
    <row r="1665">
      <c r="A1665" s="39"/>
      <c r="B1665" s="39"/>
      <c r="C1665" s="3"/>
      <c r="D1665" s="40"/>
      <c r="E1665" s="38"/>
      <c r="F1665" s="38"/>
      <c r="G1665" s="4"/>
      <c r="H1665" s="4"/>
      <c r="I1665" s="41"/>
      <c r="J1665" s="41"/>
      <c r="K1665" s="41"/>
      <c r="L1665" s="41"/>
      <c r="M1665" s="41"/>
      <c r="N1665" s="41"/>
      <c r="O1665" s="35"/>
      <c r="P1665" s="42"/>
    </row>
    <row r="1666">
      <c r="A1666" s="39"/>
      <c r="B1666" s="39"/>
      <c r="C1666" s="3"/>
      <c r="D1666" s="40"/>
      <c r="E1666" s="38"/>
      <c r="F1666" s="38"/>
      <c r="G1666" s="4"/>
      <c r="H1666" s="4"/>
      <c r="I1666" s="41"/>
      <c r="J1666" s="41"/>
      <c r="K1666" s="41"/>
      <c r="L1666" s="41"/>
      <c r="M1666" s="41"/>
      <c r="N1666" s="41"/>
      <c r="O1666" s="35"/>
      <c r="P1666" s="42"/>
    </row>
    <row r="1667">
      <c r="A1667" s="39"/>
      <c r="B1667" s="39"/>
      <c r="C1667" s="3"/>
      <c r="D1667" s="40"/>
      <c r="E1667" s="38"/>
      <c r="F1667" s="38"/>
      <c r="G1667" s="4"/>
      <c r="H1667" s="4"/>
      <c r="I1667" s="41"/>
      <c r="J1667" s="41"/>
      <c r="K1667" s="41"/>
      <c r="L1667" s="41"/>
      <c r="M1667" s="41"/>
      <c r="N1667" s="41"/>
      <c r="O1667" s="35"/>
      <c r="P1667" s="42"/>
    </row>
    <row r="1668">
      <c r="A1668" s="39"/>
      <c r="B1668" s="39"/>
      <c r="C1668" s="3"/>
      <c r="D1668" s="40"/>
      <c r="E1668" s="38"/>
      <c r="F1668" s="38"/>
      <c r="G1668" s="4"/>
      <c r="H1668" s="4"/>
      <c r="I1668" s="41"/>
      <c r="J1668" s="41"/>
      <c r="K1668" s="41"/>
      <c r="L1668" s="41"/>
      <c r="M1668" s="41"/>
      <c r="N1668" s="41"/>
      <c r="O1668" s="35"/>
      <c r="P1668" s="42"/>
    </row>
    <row r="1669">
      <c r="A1669" s="39"/>
      <c r="B1669" s="39"/>
      <c r="C1669" s="3"/>
      <c r="D1669" s="40"/>
      <c r="E1669" s="38"/>
      <c r="F1669" s="38"/>
      <c r="G1669" s="4"/>
      <c r="H1669" s="4"/>
      <c r="I1669" s="41"/>
      <c r="J1669" s="41"/>
      <c r="K1669" s="41"/>
      <c r="L1669" s="41"/>
      <c r="M1669" s="41"/>
      <c r="N1669" s="41"/>
      <c r="O1669" s="35"/>
      <c r="P1669" s="42"/>
    </row>
    <row r="1670">
      <c r="A1670" s="39"/>
      <c r="B1670" s="39"/>
      <c r="C1670" s="3"/>
      <c r="D1670" s="40"/>
      <c r="E1670" s="38"/>
      <c r="F1670" s="38"/>
      <c r="G1670" s="4"/>
      <c r="H1670" s="4"/>
      <c r="I1670" s="41"/>
      <c r="J1670" s="41"/>
      <c r="K1670" s="41"/>
      <c r="L1670" s="41"/>
      <c r="M1670" s="41"/>
      <c r="N1670" s="41"/>
      <c r="O1670" s="35"/>
      <c r="P1670" s="42"/>
    </row>
    <row r="1671">
      <c r="A1671" s="39"/>
      <c r="B1671" s="39"/>
      <c r="C1671" s="3"/>
      <c r="D1671" s="40"/>
      <c r="E1671" s="38"/>
      <c r="F1671" s="38"/>
      <c r="G1671" s="4"/>
      <c r="H1671" s="4"/>
      <c r="I1671" s="41"/>
      <c r="J1671" s="41"/>
      <c r="K1671" s="41"/>
      <c r="L1671" s="41"/>
      <c r="M1671" s="41"/>
      <c r="N1671" s="41"/>
      <c r="O1671" s="35"/>
      <c r="P1671" s="42"/>
    </row>
    <row r="1672">
      <c r="A1672" s="39"/>
      <c r="B1672" s="39"/>
      <c r="C1672" s="3"/>
      <c r="D1672" s="40"/>
      <c r="E1672" s="38"/>
      <c r="F1672" s="38"/>
      <c r="G1672" s="4"/>
      <c r="H1672" s="4"/>
      <c r="I1672" s="41"/>
      <c r="J1672" s="41"/>
      <c r="K1672" s="41"/>
      <c r="L1672" s="41"/>
      <c r="M1672" s="41"/>
      <c r="N1672" s="41"/>
      <c r="O1672" s="35"/>
      <c r="P1672" s="42"/>
    </row>
    <row r="1673">
      <c r="A1673" s="39"/>
      <c r="B1673" s="39"/>
      <c r="C1673" s="3"/>
      <c r="D1673" s="40"/>
      <c r="E1673" s="38"/>
      <c r="F1673" s="38"/>
      <c r="G1673" s="4"/>
      <c r="H1673" s="4"/>
      <c r="I1673" s="41"/>
      <c r="J1673" s="41"/>
      <c r="K1673" s="41"/>
      <c r="L1673" s="41"/>
      <c r="M1673" s="41"/>
      <c r="N1673" s="41"/>
      <c r="O1673" s="35"/>
      <c r="P1673" s="42"/>
    </row>
    <row r="1674">
      <c r="A1674" s="39"/>
      <c r="B1674" s="39"/>
      <c r="C1674" s="3"/>
      <c r="D1674" s="40"/>
      <c r="E1674" s="38"/>
      <c r="F1674" s="38"/>
      <c r="G1674" s="4"/>
      <c r="H1674" s="4"/>
      <c r="I1674" s="41"/>
      <c r="J1674" s="41"/>
      <c r="K1674" s="41"/>
      <c r="L1674" s="41"/>
      <c r="M1674" s="41"/>
      <c r="N1674" s="41"/>
      <c r="O1674" s="35"/>
      <c r="P1674" s="42"/>
    </row>
    <row r="1675">
      <c r="A1675" s="39"/>
      <c r="B1675" s="39"/>
      <c r="C1675" s="3"/>
      <c r="D1675" s="40"/>
      <c r="E1675" s="38"/>
      <c r="F1675" s="38"/>
      <c r="G1675" s="4"/>
      <c r="H1675" s="4"/>
      <c r="I1675" s="41"/>
      <c r="J1675" s="41"/>
      <c r="K1675" s="41"/>
      <c r="L1675" s="41"/>
      <c r="M1675" s="41"/>
      <c r="N1675" s="41"/>
      <c r="O1675" s="35"/>
      <c r="P1675" s="42"/>
    </row>
    <row r="1676">
      <c r="A1676" s="39"/>
      <c r="B1676" s="39"/>
      <c r="C1676" s="3"/>
      <c r="D1676" s="40"/>
      <c r="E1676" s="38"/>
      <c r="F1676" s="38"/>
      <c r="G1676" s="4"/>
      <c r="H1676" s="4"/>
      <c r="I1676" s="41"/>
      <c r="J1676" s="41"/>
      <c r="K1676" s="41"/>
      <c r="L1676" s="41"/>
      <c r="M1676" s="41"/>
      <c r="N1676" s="41"/>
      <c r="O1676" s="35"/>
      <c r="P1676" s="42"/>
    </row>
    <row r="1677">
      <c r="A1677" s="39"/>
      <c r="B1677" s="39"/>
      <c r="C1677" s="3"/>
      <c r="D1677" s="40"/>
      <c r="E1677" s="38"/>
      <c r="F1677" s="38"/>
      <c r="G1677" s="4"/>
      <c r="H1677" s="4"/>
      <c r="I1677" s="41"/>
      <c r="J1677" s="41"/>
      <c r="K1677" s="41"/>
      <c r="L1677" s="41"/>
      <c r="M1677" s="41"/>
      <c r="N1677" s="41"/>
      <c r="O1677" s="35"/>
      <c r="P1677" s="42"/>
    </row>
    <row r="1678">
      <c r="A1678" s="39"/>
      <c r="B1678" s="39"/>
      <c r="C1678" s="3"/>
      <c r="D1678" s="40"/>
      <c r="E1678" s="38"/>
      <c r="F1678" s="38"/>
      <c r="G1678" s="4"/>
      <c r="H1678" s="4"/>
      <c r="I1678" s="41"/>
      <c r="J1678" s="41"/>
      <c r="K1678" s="41"/>
      <c r="L1678" s="41"/>
      <c r="M1678" s="41"/>
      <c r="N1678" s="41"/>
      <c r="O1678" s="35"/>
      <c r="P1678" s="42"/>
    </row>
    <row r="1679">
      <c r="A1679" s="39"/>
      <c r="B1679" s="39"/>
      <c r="C1679" s="3"/>
      <c r="D1679" s="40"/>
      <c r="E1679" s="38"/>
      <c r="F1679" s="38"/>
      <c r="G1679" s="4"/>
      <c r="H1679" s="4"/>
      <c r="I1679" s="41"/>
      <c r="J1679" s="41"/>
      <c r="K1679" s="41"/>
      <c r="L1679" s="41"/>
      <c r="M1679" s="41"/>
      <c r="N1679" s="41"/>
      <c r="O1679" s="35"/>
      <c r="P1679" s="42"/>
    </row>
    <row r="1680">
      <c r="A1680" s="39"/>
      <c r="B1680" s="39"/>
      <c r="C1680" s="3"/>
      <c r="D1680" s="40"/>
      <c r="E1680" s="38"/>
      <c r="F1680" s="38"/>
      <c r="G1680" s="4"/>
      <c r="H1680" s="4"/>
      <c r="I1680" s="41"/>
      <c r="J1680" s="41"/>
      <c r="K1680" s="41"/>
      <c r="L1680" s="41"/>
      <c r="M1680" s="41"/>
      <c r="N1680" s="41"/>
      <c r="O1680" s="35"/>
      <c r="P1680" s="42"/>
    </row>
    <row r="1681">
      <c r="A1681" s="39"/>
      <c r="B1681" s="39"/>
      <c r="C1681" s="3"/>
      <c r="D1681" s="40"/>
      <c r="E1681" s="38"/>
      <c r="F1681" s="38"/>
      <c r="G1681" s="4"/>
      <c r="H1681" s="4"/>
      <c r="I1681" s="41"/>
      <c r="J1681" s="41"/>
      <c r="K1681" s="41"/>
      <c r="L1681" s="41"/>
      <c r="M1681" s="41"/>
      <c r="N1681" s="41"/>
      <c r="O1681" s="35"/>
      <c r="P1681" s="42"/>
    </row>
    <row r="1682">
      <c r="A1682" s="39"/>
      <c r="B1682" s="39"/>
      <c r="C1682" s="3"/>
      <c r="D1682" s="40"/>
      <c r="E1682" s="38"/>
      <c r="F1682" s="38"/>
      <c r="G1682" s="4"/>
      <c r="H1682" s="4"/>
      <c r="I1682" s="41"/>
      <c r="J1682" s="41"/>
      <c r="K1682" s="41"/>
      <c r="L1682" s="41"/>
      <c r="M1682" s="41"/>
      <c r="N1682" s="41"/>
      <c r="O1682" s="35"/>
      <c r="P1682" s="42"/>
    </row>
    <row r="1683">
      <c r="A1683" s="39"/>
      <c r="B1683" s="39"/>
      <c r="C1683" s="3"/>
      <c r="D1683" s="40"/>
      <c r="E1683" s="38"/>
      <c r="F1683" s="38"/>
      <c r="G1683" s="4"/>
      <c r="H1683" s="4"/>
      <c r="I1683" s="41"/>
      <c r="J1683" s="41"/>
      <c r="K1683" s="41"/>
      <c r="L1683" s="41"/>
      <c r="M1683" s="41"/>
      <c r="N1683" s="41"/>
      <c r="O1683" s="35"/>
      <c r="P1683" s="42"/>
    </row>
    <row r="1684">
      <c r="A1684" s="39"/>
      <c r="B1684" s="39"/>
      <c r="C1684" s="3"/>
      <c r="D1684" s="40"/>
      <c r="E1684" s="38"/>
      <c r="F1684" s="38"/>
      <c r="G1684" s="4"/>
      <c r="H1684" s="4"/>
      <c r="I1684" s="41"/>
      <c r="J1684" s="41"/>
      <c r="K1684" s="41"/>
      <c r="L1684" s="41"/>
      <c r="M1684" s="41"/>
      <c r="N1684" s="41"/>
      <c r="O1684" s="35"/>
      <c r="P1684" s="42"/>
    </row>
    <row r="1685">
      <c r="A1685" s="39"/>
      <c r="B1685" s="39"/>
      <c r="C1685" s="3"/>
      <c r="D1685" s="40"/>
      <c r="E1685" s="38"/>
      <c r="F1685" s="38"/>
      <c r="G1685" s="4"/>
      <c r="H1685" s="4"/>
      <c r="I1685" s="41"/>
      <c r="J1685" s="41"/>
      <c r="K1685" s="41"/>
      <c r="L1685" s="41"/>
      <c r="M1685" s="41"/>
      <c r="N1685" s="41"/>
      <c r="O1685" s="35"/>
      <c r="P1685" s="42"/>
    </row>
    <row r="1686">
      <c r="A1686" s="39"/>
      <c r="B1686" s="39"/>
      <c r="C1686" s="3"/>
      <c r="D1686" s="40"/>
      <c r="E1686" s="38"/>
      <c r="F1686" s="38"/>
      <c r="G1686" s="4"/>
      <c r="H1686" s="4"/>
      <c r="I1686" s="41"/>
      <c r="J1686" s="41"/>
      <c r="K1686" s="41"/>
      <c r="L1686" s="41"/>
      <c r="M1686" s="41"/>
      <c r="N1686" s="41"/>
      <c r="O1686" s="35"/>
      <c r="P1686" s="42"/>
    </row>
    <row r="1687">
      <c r="A1687" s="39"/>
      <c r="B1687" s="39"/>
      <c r="C1687" s="3"/>
      <c r="D1687" s="40"/>
      <c r="E1687" s="38"/>
      <c r="F1687" s="38"/>
      <c r="G1687" s="4"/>
      <c r="H1687" s="4"/>
      <c r="I1687" s="41"/>
      <c r="J1687" s="41"/>
      <c r="K1687" s="41"/>
      <c r="L1687" s="41"/>
      <c r="M1687" s="41"/>
      <c r="N1687" s="41"/>
      <c r="O1687" s="35"/>
      <c r="P1687" s="42"/>
    </row>
    <row r="1688">
      <c r="A1688" s="39"/>
      <c r="B1688" s="39"/>
      <c r="C1688" s="3"/>
      <c r="D1688" s="40"/>
      <c r="E1688" s="38"/>
      <c r="F1688" s="38"/>
      <c r="G1688" s="4"/>
      <c r="H1688" s="4"/>
      <c r="I1688" s="41"/>
      <c r="J1688" s="41"/>
      <c r="K1688" s="41"/>
      <c r="L1688" s="41"/>
      <c r="M1688" s="41"/>
      <c r="N1688" s="41"/>
      <c r="O1688" s="35"/>
      <c r="P1688" s="42"/>
    </row>
    <row r="1689">
      <c r="A1689" s="39"/>
      <c r="B1689" s="39"/>
      <c r="C1689" s="3"/>
      <c r="D1689" s="40"/>
      <c r="E1689" s="38"/>
      <c r="F1689" s="38"/>
      <c r="G1689" s="4"/>
      <c r="H1689" s="4"/>
      <c r="I1689" s="41"/>
      <c r="J1689" s="41"/>
      <c r="K1689" s="41"/>
      <c r="L1689" s="41"/>
      <c r="M1689" s="41"/>
      <c r="N1689" s="41"/>
      <c r="O1689" s="35"/>
      <c r="P1689" s="42"/>
    </row>
    <row r="1690">
      <c r="A1690" s="39"/>
      <c r="B1690" s="39"/>
      <c r="C1690" s="3"/>
      <c r="D1690" s="40"/>
      <c r="E1690" s="38"/>
      <c r="F1690" s="38"/>
      <c r="G1690" s="4"/>
      <c r="H1690" s="4"/>
      <c r="I1690" s="41"/>
      <c r="J1690" s="41"/>
      <c r="K1690" s="41"/>
      <c r="L1690" s="41"/>
      <c r="M1690" s="41"/>
      <c r="N1690" s="41"/>
      <c r="O1690" s="35"/>
      <c r="P1690" s="42"/>
    </row>
    <row r="1691">
      <c r="A1691" s="39"/>
      <c r="B1691" s="39"/>
      <c r="C1691" s="3"/>
      <c r="D1691" s="40"/>
      <c r="E1691" s="38"/>
      <c r="F1691" s="38"/>
      <c r="G1691" s="4"/>
      <c r="H1691" s="4"/>
      <c r="I1691" s="41"/>
      <c r="J1691" s="41"/>
      <c r="K1691" s="41"/>
      <c r="L1691" s="41"/>
      <c r="M1691" s="41"/>
      <c r="N1691" s="41"/>
      <c r="O1691" s="35"/>
      <c r="P1691" s="42"/>
    </row>
    <row r="1692">
      <c r="A1692" s="39"/>
      <c r="B1692" s="39"/>
      <c r="C1692" s="3"/>
      <c r="D1692" s="40"/>
      <c r="E1692" s="38"/>
      <c r="F1692" s="38"/>
      <c r="G1692" s="4"/>
      <c r="H1692" s="4"/>
      <c r="I1692" s="41"/>
      <c r="J1692" s="41"/>
      <c r="K1692" s="41"/>
      <c r="L1692" s="41"/>
      <c r="M1692" s="41"/>
      <c r="N1692" s="41"/>
      <c r="O1692" s="35"/>
      <c r="P1692" s="42"/>
    </row>
    <row r="1693">
      <c r="A1693" s="39"/>
      <c r="B1693" s="39"/>
      <c r="C1693" s="3"/>
      <c r="D1693" s="40"/>
      <c r="E1693" s="38"/>
      <c r="F1693" s="38"/>
      <c r="G1693" s="4"/>
      <c r="H1693" s="4"/>
      <c r="I1693" s="41"/>
      <c r="J1693" s="41"/>
      <c r="K1693" s="41"/>
      <c r="L1693" s="41"/>
      <c r="M1693" s="41"/>
      <c r="N1693" s="41"/>
      <c r="O1693" s="35"/>
      <c r="P1693" s="42"/>
    </row>
    <row r="1694">
      <c r="A1694" s="39"/>
      <c r="B1694" s="39"/>
      <c r="C1694" s="3"/>
      <c r="D1694" s="40"/>
      <c r="E1694" s="38"/>
      <c r="F1694" s="38"/>
      <c r="G1694" s="4"/>
      <c r="H1694" s="4"/>
      <c r="I1694" s="41"/>
      <c r="J1694" s="41"/>
      <c r="K1694" s="41"/>
      <c r="L1694" s="41"/>
      <c r="M1694" s="41"/>
      <c r="N1694" s="41"/>
      <c r="O1694" s="35"/>
      <c r="P1694" s="42"/>
    </row>
    <row r="1695">
      <c r="A1695" s="39"/>
      <c r="B1695" s="39"/>
      <c r="C1695" s="3"/>
      <c r="D1695" s="40"/>
      <c r="E1695" s="38"/>
      <c r="F1695" s="38"/>
      <c r="G1695" s="4"/>
      <c r="H1695" s="4"/>
      <c r="I1695" s="41"/>
      <c r="J1695" s="41"/>
      <c r="K1695" s="41"/>
      <c r="L1695" s="41"/>
      <c r="M1695" s="41"/>
      <c r="N1695" s="41"/>
      <c r="O1695" s="35"/>
      <c r="P1695" s="42"/>
    </row>
    <row r="1696">
      <c r="A1696" s="39"/>
      <c r="B1696" s="39"/>
      <c r="C1696" s="3"/>
      <c r="D1696" s="40"/>
      <c r="E1696" s="38"/>
      <c r="F1696" s="38"/>
      <c r="G1696" s="4"/>
      <c r="H1696" s="4"/>
      <c r="I1696" s="41"/>
      <c r="J1696" s="41"/>
      <c r="K1696" s="41"/>
      <c r="L1696" s="41"/>
      <c r="M1696" s="41"/>
      <c r="N1696" s="41"/>
      <c r="O1696" s="35"/>
      <c r="P1696" s="42"/>
    </row>
    <row r="1697">
      <c r="A1697" s="39"/>
      <c r="B1697" s="39"/>
      <c r="C1697" s="3"/>
      <c r="D1697" s="40"/>
      <c r="E1697" s="38"/>
      <c r="F1697" s="38"/>
      <c r="G1697" s="4"/>
      <c r="H1697" s="4"/>
      <c r="I1697" s="41"/>
      <c r="J1697" s="41"/>
      <c r="K1697" s="41"/>
      <c r="L1697" s="41"/>
      <c r="M1697" s="41"/>
      <c r="N1697" s="41"/>
      <c r="O1697" s="35"/>
      <c r="P1697" s="42"/>
    </row>
    <row r="1698">
      <c r="A1698" s="39"/>
      <c r="B1698" s="39"/>
      <c r="C1698" s="3"/>
      <c r="D1698" s="40"/>
      <c r="E1698" s="38"/>
      <c r="F1698" s="38"/>
      <c r="G1698" s="4"/>
      <c r="H1698" s="4"/>
      <c r="I1698" s="41"/>
      <c r="J1698" s="41"/>
      <c r="K1698" s="41"/>
      <c r="L1698" s="41"/>
      <c r="M1698" s="41"/>
      <c r="N1698" s="41"/>
      <c r="O1698" s="35"/>
      <c r="P1698" s="42"/>
    </row>
    <row r="1699">
      <c r="A1699" s="39"/>
      <c r="B1699" s="39"/>
      <c r="C1699" s="3"/>
      <c r="D1699" s="40"/>
      <c r="E1699" s="38"/>
      <c r="F1699" s="38"/>
      <c r="G1699" s="4"/>
      <c r="H1699" s="4"/>
      <c r="I1699" s="41"/>
      <c r="J1699" s="41"/>
      <c r="K1699" s="41"/>
      <c r="L1699" s="41"/>
      <c r="M1699" s="41"/>
      <c r="N1699" s="41"/>
      <c r="O1699" s="35"/>
      <c r="P1699" s="42"/>
    </row>
    <row r="1700">
      <c r="A1700" s="39"/>
      <c r="B1700" s="39"/>
      <c r="C1700" s="3"/>
      <c r="D1700" s="40"/>
      <c r="E1700" s="38"/>
      <c r="F1700" s="38"/>
      <c r="G1700" s="4"/>
      <c r="H1700" s="4"/>
      <c r="I1700" s="41"/>
      <c r="J1700" s="41"/>
      <c r="K1700" s="41"/>
      <c r="L1700" s="41"/>
      <c r="M1700" s="41"/>
      <c r="N1700" s="41"/>
      <c r="O1700" s="35"/>
      <c r="P1700" s="42"/>
    </row>
    <row r="1701">
      <c r="A1701" s="39"/>
      <c r="B1701" s="39"/>
      <c r="C1701" s="3"/>
      <c r="D1701" s="40"/>
      <c r="E1701" s="38"/>
      <c r="F1701" s="38"/>
      <c r="G1701" s="4"/>
      <c r="H1701" s="4"/>
      <c r="I1701" s="41"/>
      <c r="J1701" s="41"/>
      <c r="K1701" s="41"/>
      <c r="L1701" s="41"/>
      <c r="M1701" s="41"/>
      <c r="N1701" s="41"/>
      <c r="O1701" s="35"/>
      <c r="P1701" s="42"/>
    </row>
    <row r="1702">
      <c r="A1702" s="39"/>
      <c r="B1702" s="39"/>
      <c r="C1702" s="3"/>
      <c r="D1702" s="40"/>
      <c r="E1702" s="38"/>
      <c r="F1702" s="38"/>
      <c r="G1702" s="4"/>
      <c r="H1702" s="4"/>
      <c r="I1702" s="41"/>
      <c r="J1702" s="41"/>
      <c r="K1702" s="41"/>
      <c r="L1702" s="41"/>
      <c r="M1702" s="41"/>
      <c r="N1702" s="41"/>
      <c r="O1702" s="35"/>
      <c r="P1702" s="42"/>
    </row>
    <row r="1703">
      <c r="A1703" s="39"/>
      <c r="B1703" s="39"/>
      <c r="C1703" s="3"/>
      <c r="D1703" s="40"/>
      <c r="E1703" s="38"/>
      <c r="F1703" s="38"/>
      <c r="G1703" s="4"/>
      <c r="H1703" s="4"/>
      <c r="I1703" s="41"/>
      <c r="J1703" s="41"/>
      <c r="K1703" s="41"/>
      <c r="L1703" s="41"/>
      <c r="M1703" s="41"/>
      <c r="N1703" s="41"/>
      <c r="O1703" s="35"/>
      <c r="P1703" s="42"/>
    </row>
    <row r="1704">
      <c r="A1704" s="39"/>
      <c r="B1704" s="39"/>
      <c r="C1704" s="3"/>
      <c r="D1704" s="40"/>
      <c r="E1704" s="38"/>
      <c r="F1704" s="38"/>
      <c r="G1704" s="4"/>
      <c r="H1704" s="4"/>
      <c r="I1704" s="41"/>
      <c r="J1704" s="41"/>
      <c r="K1704" s="41"/>
      <c r="L1704" s="41"/>
      <c r="M1704" s="41"/>
      <c r="N1704" s="41"/>
      <c r="O1704" s="35"/>
      <c r="P1704" s="42"/>
    </row>
    <row r="1705">
      <c r="A1705" s="39"/>
      <c r="B1705" s="39"/>
      <c r="C1705" s="3"/>
      <c r="D1705" s="40"/>
      <c r="E1705" s="38"/>
      <c r="F1705" s="38"/>
      <c r="G1705" s="4"/>
      <c r="H1705" s="4"/>
      <c r="I1705" s="41"/>
      <c r="J1705" s="41"/>
      <c r="K1705" s="41"/>
      <c r="L1705" s="41"/>
      <c r="M1705" s="41"/>
      <c r="N1705" s="41"/>
      <c r="O1705" s="35"/>
      <c r="P1705" s="42"/>
    </row>
    <row r="1706">
      <c r="A1706" s="39"/>
      <c r="B1706" s="39"/>
      <c r="C1706" s="3"/>
      <c r="D1706" s="40"/>
      <c r="E1706" s="38"/>
      <c r="F1706" s="38"/>
      <c r="G1706" s="4"/>
      <c r="H1706" s="4"/>
      <c r="I1706" s="41"/>
      <c r="J1706" s="41"/>
      <c r="K1706" s="41"/>
      <c r="L1706" s="41"/>
      <c r="M1706" s="41"/>
      <c r="N1706" s="41"/>
      <c r="O1706" s="35"/>
      <c r="P1706" s="42"/>
    </row>
    <row r="1707">
      <c r="A1707" s="39"/>
      <c r="B1707" s="39"/>
      <c r="C1707" s="3"/>
      <c r="D1707" s="40"/>
      <c r="E1707" s="38"/>
      <c r="F1707" s="38"/>
      <c r="G1707" s="4"/>
      <c r="H1707" s="4"/>
      <c r="I1707" s="41"/>
      <c r="J1707" s="41"/>
      <c r="K1707" s="41"/>
      <c r="L1707" s="41"/>
      <c r="M1707" s="41"/>
      <c r="N1707" s="41"/>
      <c r="O1707" s="35"/>
      <c r="P1707" s="42"/>
    </row>
    <row r="1708">
      <c r="A1708" s="39"/>
      <c r="B1708" s="39"/>
      <c r="C1708" s="3"/>
      <c r="D1708" s="40"/>
      <c r="E1708" s="38"/>
      <c r="F1708" s="38"/>
      <c r="G1708" s="4"/>
      <c r="H1708" s="4"/>
      <c r="I1708" s="41"/>
      <c r="J1708" s="41"/>
      <c r="K1708" s="41"/>
      <c r="L1708" s="41"/>
      <c r="M1708" s="41"/>
      <c r="N1708" s="41"/>
      <c r="O1708" s="35"/>
      <c r="P1708" s="42"/>
    </row>
    <row r="1709">
      <c r="A1709" s="39"/>
      <c r="B1709" s="39"/>
      <c r="C1709" s="3"/>
      <c r="D1709" s="40"/>
      <c r="E1709" s="38"/>
      <c r="F1709" s="38"/>
      <c r="G1709" s="4"/>
      <c r="H1709" s="4"/>
      <c r="I1709" s="41"/>
      <c r="J1709" s="41"/>
      <c r="K1709" s="41"/>
      <c r="L1709" s="41"/>
      <c r="M1709" s="41"/>
      <c r="N1709" s="41"/>
      <c r="O1709" s="35"/>
      <c r="P1709" s="42"/>
    </row>
    <row r="1710">
      <c r="A1710" s="39"/>
      <c r="B1710" s="39"/>
      <c r="C1710" s="3"/>
      <c r="D1710" s="40"/>
      <c r="E1710" s="38"/>
      <c r="F1710" s="38"/>
      <c r="G1710" s="4"/>
      <c r="H1710" s="4"/>
      <c r="I1710" s="41"/>
      <c r="J1710" s="41"/>
      <c r="K1710" s="41"/>
      <c r="L1710" s="41"/>
      <c r="M1710" s="41"/>
      <c r="N1710" s="41"/>
      <c r="O1710" s="35"/>
      <c r="P1710" s="42"/>
    </row>
    <row r="1711">
      <c r="A1711" s="39"/>
      <c r="B1711" s="39"/>
      <c r="C1711" s="3"/>
      <c r="D1711" s="40"/>
      <c r="E1711" s="38"/>
      <c r="F1711" s="38"/>
      <c r="G1711" s="4"/>
      <c r="H1711" s="4"/>
      <c r="I1711" s="41"/>
      <c r="J1711" s="41"/>
      <c r="K1711" s="41"/>
      <c r="L1711" s="41"/>
      <c r="M1711" s="41"/>
      <c r="N1711" s="41"/>
      <c r="O1711" s="35"/>
      <c r="P1711" s="42"/>
    </row>
    <row r="1712">
      <c r="A1712" s="39"/>
      <c r="B1712" s="39"/>
      <c r="C1712" s="3"/>
      <c r="D1712" s="40"/>
      <c r="E1712" s="38"/>
      <c r="F1712" s="38"/>
      <c r="G1712" s="4"/>
      <c r="H1712" s="4"/>
      <c r="I1712" s="41"/>
      <c r="J1712" s="41"/>
      <c r="K1712" s="41"/>
      <c r="L1712" s="41"/>
      <c r="M1712" s="41"/>
      <c r="N1712" s="41"/>
      <c r="O1712" s="35"/>
      <c r="P1712" s="42"/>
    </row>
    <row r="1713">
      <c r="A1713" s="39"/>
      <c r="B1713" s="39"/>
      <c r="C1713" s="3"/>
      <c r="D1713" s="40"/>
      <c r="E1713" s="38"/>
      <c r="F1713" s="38"/>
      <c r="G1713" s="4"/>
      <c r="H1713" s="4"/>
      <c r="I1713" s="41"/>
      <c r="J1713" s="41"/>
      <c r="K1713" s="41"/>
      <c r="L1713" s="41"/>
      <c r="M1713" s="41"/>
      <c r="N1713" s="41"/>
      <c r="O1713" s="35"/>
      <c r="P1713" s="42"/>
    </row>
    <row r="1714">
      <c r="A1714" s="39"/>
      <c r="B1714" s="39"/>
      <c r="C1714" s="3"/>
      <c r="D1714" s="40"/>
      <c r="E1714" s="38"/>
      <c r="F1714" s="38"/>
      <c r="G1714" s="4"/>
      <c r="H1714" s="4"/>
      <c r="I1714" s="41"/>
      <c r="J1714" s="41"/>
      <c r="K1714" s="41"/>
      <c r="L1714" s="41"/>
      <c r="M1714" s="41"/>
      <c r="N1714" s="41"/>
      <c r="O1714" s="35"/>
      <c r="P1714" s="42"/>
    </row>
    <row r="1715">
      <c r="A1715" s="39"/>
      <c r="B1715" s="39"/>
      <c r="C1715" s="3"/>
      <c r="D1715" s="40"/>
      <c r="E1715" s="38"/>
      <c r="F1715" s="38"/>
      <c r="G1715" s="4"/>
      <c r="H1715" s="4"/>
      <c r="I1715" s="41"/>
      <c r="J1715" s="41"/>
      <c r="K1715" s="41"/>
      <c r="L1715" s="41"/>
      <c r="M1715" s="41"/>
      <c r="N1715" s="41"/>
      <c r="O1715" s="35"/>
      <c r="P1715" s="42"/>
    </row>
    <row r="1716">
      <c r="A1716" s="39"/>
      <c r="B1716" s="39"/>
      <c r="C1716" s="3"/>
      <c r="D1716" s="40"/>
      <c r="E1716" s="38"/>
      <c r="F1716" s="38"/>
      <c r="G1716" s="4"/>
      <c r="H1716" s="4"/>
      <c r="I1716" s="41"/>
      <c r="J1716" s="41"/>
      <c r="K1716" s="41"/>
      <c r="L1716" s="41"/>
      <c r="M1716" s="41"/>
      <c r="N1716" s="41"/>
      <c r="O1716" s="35"/>
      <c r="P1716" s="42"/>
    </row>
    <row r="1717">
      <c r="A1717" s="39"/>
      <c r="B1717" s="39"/>
      <c r="C1717" s="3"/>
      <c r="D1717" s="40"/>
      <c r="E1717" s="38"/>
      <c r="F1717" s="38"/>
      <c r="G1717" s="4"/>
      <c r="H1717" s="4"/>
      <c r="I1717" s="41"/>
      <c r="J1717" s="41"/>
      <c r="K1717" s="41"/>
      <c r="L1717" s="41"/>
      <c r="M1717" s="41"/>
      <c r="N1717" s="41"/>
      <c r="O1717" s="35"/>
      <c r="P1717" s="42"/>
    </row>
    <row r="1718">
      <c r="A1718" s="39"/>
      <c r="B1718" s="39"/>
      <c r="C1718" s="3"/>
      <c r="D1718" s="40"/>
      <c r="E1718" s="38"/>
      <c r="F1718" s="38"/>
      <c r="G1718" s="4"/>
      <c r="H1718" s="4"/>
      <c r="I1718" s="41"/>
      <c r="J1718" s="41"/>
      <c r="K1718" s="41"/>
      <c r="L1718" s="41"/>
      <c r="M1718" s="41"/>
      <c r="N1718" s="41"/>
      <c r="O1718" s="35"/>
      <c r="P1718" s="42"/>
    </row>
    <row r="1719">
      <c r="A1719" s="39"/>
      <c r="B1719" s="39"/>
      <c r="C1719" s="3"/>
      <c r="D1719" s="40"/>
      <c r="E1719" s="38"/>
      <c r="F1719" s="38"/>
      <c r="G1719" s="4"/>
      <c r="H1719" s="4"/>
      <c r="I1719" s="41"/>
      <c r="J1719" s="41"/>
      <c r="K1719" s="41"/>
      <c r="L1719" s="41"/>
      <c r="M1719" s="41"/>
      <c r="N1719" s="41"/>
      <c r="O1719" s="35"/>
      <c r="P1719" s="42"/>
    </row>
    <row r="1720">
      <c r="A1720" s="39"/>
      <c r="B1720" s="39"/>
      <c r="C1720" s="3"/>
      <c r="D1720" s="40"/>
      <c r="E1720" s="38"/>
      <c r="F1720" s="38"/>
      <c r="G1720" s="4"/>
      <c r="H1720" s="4"/>
      <c r="I1720" s="41"/>
      <c r="J1720" s="41"/>
      <c r="K1720" s="41"/>
      <c r="L1720" s="41"/>
      <c r="M1720" s="41"/>
      <c r="N1720" s="41"/>
      <c r="O1720" s="35"/>
      <c r="P1720" s="42"/>
    </row>
    <row r="1721">
      <c r="A1721" s="39"/>
      <c r="B1721" s="39"/>
      <c r="C1721" s="3"/>
      <c r="D1721" s="40"/>
      <c r="E1721" s="38"/>
      <c r="F1721" s="38"/>
      <c r="G1721" s="4"/>
      <c r="H1721" s="4"/>
      <c r="I1721" s="41"/>
      <c r="J1721" s="41"/>
      <c r="K1721" s="41"/>
      <c r="L1721" s="41"/>
      <c r="M1721" s="41"/>
      <c r="N1721" s="41"/>
      <c r="O1721" s="35"/>
      <c r="P1721" s="42"/>
    </row>
    <row r="1722">
      <c r="A1722" s="39"/>
      <c r="B1722" s="39"/>
      <c r="C1722" s="3"/>
      <c r="D1722" s="40"/>
      <c r="E1722" s="38"/>
      <c r="F1722" s="38"/>
      <c r="G1722" s="4"/>
      <c r="H1722" s="4"/>
      <c r="I1722" s="41"/>
      <c r="J1722" s="41"/>
      <c r="K1722" s="41"/>
      <c r="L1722" s="41"/>
      <c r="M1722" s="41"/>
      <c r="N1722" s="41"/>
      <c r="O1722" s="35"/>
      <c r="P1722" s="42"/>
    </row>
    <row r="1723">
      <c r="A1723" s="39"/>
      <c r="B1723" s="39"/>
      <c r="C1723" s="3"/>
      <c r="D1723" s="40"/>
      <c r="E1723" s="38"/>
      <c r="F1723" s="38"/>
      <c r="G1723" s="4"/>
      <c r="H1723" s="4"/>
      <c r="I1723" s="41"/>
      <c r="J1723" s="41"/>
      <c r="K1723" s="41"/>
      <c r="L1723" s="41"/>
      <c r="M1723" s="41"/>
      <c r="N1723" s="41"/>
      <c r="O1723" s="35"/>
      <c r="P1723" s="42"/>
    </row>
    <row r="1724">
      <c r="A1724" s="39"/>
      <c r="B1724" s="39"/>
      <c r="C1724" s="3"/>
      <c r="D1724" s="40"/>
      <c r="E1724" s="38"/>
      <c r="F1724" s="38"/>
      <c r="G1724" s="4"/>
      <c r="H1724" s="4"/>
      <c r="I1724" s="41"/>
      <c r="J1724" s="41"/>
      <c r="K1724" s="41"/>
      <c r="L1724" s="41"/>
      <c r="M1724" s="41"/>
      <c r="N1724" s="41"/>
      <c r="O1724" s="35"/>
      <c r="P1724" s="42"/>
    </row>
    <row r="1725">
      <c r="A1725" s="39"/>
      <c r="B1725" s="39"/>
      <c r="C1725" s="3"/>
      <c r="D1725" s="40"/>
      <c r="E1725" s="38"/>
      <c r="F1725" s="38"/>
      <c r="G1725" s="4"/>
      <c r="H1725" s="4"/>
      <c r="I1725" s="41"/>
      <c r="J1725" s="41"/>
      <c r="K1725" s="41"/>
      <c r="L1725" s="41"/>
      <c r="M1725" s="41"/>
      <c r="N1725" s="41"/>
      <c r="O1725" s="35"/>
      <c r="P1725" s="42"/>
    </row>
    <row r="1726">
      <c r="A1726" s="39"/>
      <c r="B1726" s="39"/>
      <c r="C1726" s="3"/>
      <c r="D1726" s="40"/>
      <c r="E1726" s="38"/>
      <c r="F1726" s="38"/>
      <c r="G1726" s="4"/>
      <c r="H1726" s="4"/>
      <c r="I1726" s="41"/>
      <c r="J1726" s="41"/>
      <c r="K1726" s="41"/>
      <c r="L1726" s="41"/>
      <c r="M1726" s="41"/>
      <c r="N1726" s="41"/>
      <c r="O1726" s="35"/>
      <c r="P1726" s="42"/>
    </row>
    <row r="1727">
      <c r="A1727" s="39"/>
      <c r="B1727" s="39"/>
      <c r="C1727" s="3"/>
      <c r="D1727" s="40"/>
      <c r="E1727" s="38"/>
      <c r="F1727" s="38"/>
      <c r="G1727" s="4"/>
      <c r="H1727" s="4"/>
      <c r="I1727" s="41"/>
      <c r="J1727" s="41"/>
      <c r="K1727" s="41"/>
      <c r="L1727" s="41"/>
      <c r="M1727" s="41"/>
      <c r="N1727" s="41"/>
      <c r="O1727" s="35"/>
      <c r="P1727" s="42"/>
    </row>
    <row r="1728">
      <c r="A1728" s="39"/>
      <c r="B1728" s="39"/>
      <c r="C1728" s="3"/>
      <c r="D1728" s="40"/>
      <c r="E1728" s="38"/>
      <c r="F1728" s="38"/>
      <c r="G1728" s="4"/>
      <c r="H1728" s="4"/>
      <c r="I1728" s="41"/>
      <c r="J1728" s="41"/>
      <c r="K1728" s="41"/>
      <c r="L1728" s="41"/>
      <c r="M1728" s="41"/>
      <c r="N1728" s="41"/>
      <c r="O1728" s="35"/>
      <c r="P1728" s="42"/>
    </row>
    <row r="1729">
      <c r="A1729" s="39"/>
      <c r="B1729" s="39"/>
      <c r="C1729" s="3"/>
      <c r="D1729" s="40"/>
      <c r="E1729" s="38"/>
      <c r="F1729" s="38"/>
      <c r="G1729" s="4"/>
      <c r="H1729" s="4"/>
      <c r="I1729" s="41"/>
      <c r="J1729" s="41"/>
      <c r="K1729" s="41"/>
      <c r="L1729" s="41"/>
      <c r="M1729" s="41"/>
      <c r="N1729" s="41"/>
      <c r="O1729" s="35"/>
      <c r="P1729" s="42"/>
    </row>
    <row r="1730">
      <c r="A1730" s="39"/>
      <c r="B1730" s="39"/>
      <c r="C1730" s="3"/>
      <c r="D1730" s="40"/>
      <c r="E1730" s="38"/>
      <c r="F1730" s="38"/>
      <c r="G1730" s="4"/>
      <c r="H1730" s="4"/>
      <c r="I1730" s="41"/>
      <c r="J1730" s="41"/>
      <c r="K1730" s="41"/>
      <c r="L1730" s="41"/>
      <c r="M1730" s="41"/>
      <c r="N1730" s="41"/>
      <c r="O1730" s="35"/>
      <c r="P1730" s="42"/>
    </row>
    <row r="1731">
      <c r="A1731" s="39"/>
      <c r="B1731" s="39"/>
      <c r="C1731" s="3"/>
      <c r="D1731" s="40"/>
      <c r="E1731" s="38"/>
      <c r="F1731" s="38"/>
      <c r="G1731" s="4"/>
      <c r="H1731" s="4"/>
      <c r="I1731" s="41"/>
      <c r="J1731" s="41"/>
      <c r="K1731" s="41"/>
      <c r="L1731" s="41"/>
      <c r="M1731" s="41"/>
      <c r="N1731" s="41"/>
      <c r="O1731" s="35"/>
      <c r="P1731" s="42"/>
    </row>
    <row r="1732">
      <c r="A1732" s="39"/>
      <c r="B1732" s="39"/>
      <c r="C1732" s="3"/>
      <c r="D1732" s="40"/>
      <c r="E1732" s="38"/>
      <c r="F1732" s="38"/>
      <c r="G1732" s="4"/>
      <c r="H1732" s="4"/>
      <c r="I1732" s="41"/>
      <c r="J1732" s="41"/>
      <c r="K1732" s="41"/>
      <c r="L1732" s="41"/>
      <c r="M1732" s="41"/>
      <c r="N1732" s="41"/>
      <c r="O1732" s="35"/>
      <c r="P1732" s="42"/>
    </row>
    <row r="1733">
      <c r="A1733" s="39"/>
      <c r="B1733" s="39"/>
      <c r="C1733" s="3"/>
      <c r="D1733" s="40"/>
      <c r="E1733" s="38"/>
      <c r="F1733" s="38"/>
      <c r="G1733" s="4"/>
      <c r="H1733" s="4"/>
      <c r="I1733" s="41"/>
      <c r="J1733" s="41"/>
      <c r="K1733" s="41"/>
      <c r="L1733" s="41"/>
      <c r="M1733" s="41"/>
      <c r="N1733" s="41"/>
      <c r="O1733" s="35"/>
      <c r="P1733" s="42"/>
    </row>
    <row r="1734">
      <c r="A1734" s="39"/>
      <c r="B1734" s="39"/>
      <c r="C1734" s="3"/>
      <c r="D1734" s="40"/>
      <c r="E1734" s="38"/>
      <c r="F1734" s="38"/>
      <c r="G1734" s="4"/>
      <c r="H1734" s="4"/>
      <c r="I1734" s="41"/>
      <c r="J1734" s="41"/>
      <c r="K1734" s="41"/>
      <c r="L1734" s="41"/>
      <c r="M1734" s="41"/>
      <c r="N1734" s="41"/>
      <c r="O1734" s="35"/>
      <c r="P1734" s="42"/>
    </row>
    <row r="1735">
      <c r="A1735" s="39"/>
      <c r="B1735" s="39"/>
      <c r="C1735" s="3"/>
      <c r="D1735" s="40"/>
      <c r="E1735" s="38"/>
      <c r="F1735" s="38"/>
      <c r="G1735" s="4"/>
      <c r="H1735" s="4"/>
      <c r="I1735" s="41"/>
      <c r="J1735" s="41"/>
      <c r="K1735" s="41"/>
      <c r="L1735" s="41"/>
      <c r="M1735" s="41"/>
      <c r="N1735" s="41"/>
      <c r="O1735" s="35"/>
      <c r="P1735" s="42"/>
    </row>
    <row r="1736">
      <c r="A1736" s="39"/>
      <c r="B1736" s="39"/>
      <c r="C1736" s="3"/>
      <c r="D1736" s="40"/>
      <c r="E1736" s="38"/>
      <c r="F1736" s="38"/>
      <c r="G1736" s="4"/>
      <c r="H1736" s="4"/>
      <c r="I1736" s="41"/>
      <c r="J1736" s="41"/>
      <c r="K1736" s="41"/>
      <c r="L1736" s="41"/>
      <c r="M1736" s="41"/>
      <c r="N1736" s="41"/>
      <c r="O1736" s="35"/>
      <c r="P1736" s="42"/>
    </row>
    <row r="1737">
      <c r="A1737" s="39"/>
      <c r="B1737" s="39"/>
      <c r="C1737" s="3"/>
      <c r="D1737" s="40"/>
      <c r="E1737" s="38"/>
      <c r="F1737" s="38"/>
      <c r="G1737" s="4"/>
      <c r="H1737" s="4"/>
      <c r="I1737" s="41"/>
      <c r="J1737" s="41"/>
      <c r="K1737" s="41"/>
      <c r="L1737" s="41"/>
      <c r="M1737" s="41"/>
      <c r="N1737" s="41"/>
      <c r="O1737" s="35"/>
      <c r="P1737" s="42"/>
    </row>
    <row r="1738">
      <c r="A1738" s="39"/>
      <c r="B1738" s="39"/>
      <c r="C1738" s="3"/>
      <c r="D1738" s="40"/>
      <c r="E1738" s="38"/>
      <c r="F1738" s="38"/>
      <c r="G1738" s="4"/>
      <c r="H1738" s="4"/>
      <c r="I1738" s="41"/>
      <c r="J1738" s="41"/>
      <c r="K1738" s="41"/>
      <c r="L1738" s="41"/>
      <c r="M1738" s="41"/>
      <c r="N1738" s="41"/>
      <c r="O1738" s="35"/>
      <c r="P1738" s="42"/>
    </row>
    <row r="1739">
      <c r="A1739" s="39"/>
      <c r="B1739" s="39"/>
      <c r="C1739" s="3"/>
      <c r="D1739" s="40"/>
      <c r="E1739" s="38"/>
      <c r="F1739" s="38"/>
      <c r="G1739" s="4"/>
      <c r="H1739" s="4"/>
      <c r="I1739" s="41"/>
      <c r="J1739" s="41"/>
      <c r="K1739" s="41"/>
      <c r="L1739" s="41"/>
      <c r="M1739" s="41"/>
      <c r="N1739" s="41"/>
      <c r="O1739" s="35"/>
      <c r="P1739" s="42"/>
    </row>
    <row r="1740">
      <c r="A1740" s="39"/>
      <c r="B1740" s="39"/>
      <c r="C1740" s="3"/>
      <c r="D1740" s="40"/>
      <c r="E1740" s="38"/>
      <c r="F1740" s="38"/>
      <c r="G1740" s="4"/>
      <c r="H1740" s="4"/>
      <c r="I1740" s="41"/>
      <c r="J1740" s="41"/>
      <c r="K1740" s="41"/>
      <c r="L1740" s="41"/>
      <c r="M1740" s="41"/>
      <c r="N1740" s="41"/>
      <c r="O1740" s="35"/>
      <c r="P1740" s="42"/>
    </row>
    <row r="1741">
      <c r="A1741" s="39"/>
      <c r="B1741" s="39"/>
      <c r="C1741" s="3"/>
      <c r="D1741" s="40"/>
      <c r="E1741" s="38"/>
      <c r="F1741" s="38"/>
      <c r="G1741" s="4"/>
      <c r="H1741" s="4"/>
      <c r="I1741" s="41"/>
      <c r="J1741" s="41"/>
      <c r="K1741" s="41"/>
      <c r="L1741" s="41"/>
      <c r="M1741" s="41"/>
      <c r="N1741" s="41"/>
      <c r="O1741" s="35"/>
      <c r="P1741" s="42"/>
    </row>
    <row r="1742">
      <c r="A1742" s="39"/>
      <c r="B1742" s="39"/>
      <c r="C1742" s="3"/>
      <c r="D1742" s="40"/>
      <c r="E1742" s="38"/>
      <c r="F1742" s="38"/>
      <c r="G1742" s="4"/>
      <c r="H1742" s="4"/>
      <c r="I1742" s="41"/>
      <c r="J1742" s="41"/>
      <c r="K1742" s="41"/>
      <c r="L1742" s="41"/>
      <c r="M1742" s="41"/>
      <c r="N1742" s="41"/>
      <c r="O1742" s="35"/>
      <c r="P1742" s="42"/>
    </row>
    <row r="1743">
      <c r="A1743" s="39"/>
      <c r="B1743" s="39"/>
      <c r="C1743" s="3"/>
      <c r="D1743" s="40"/>
      <c r="E1743" s="38"/>
      <c r="F1743" s="38"/>
      <c r="G1743" s="4"/>
      <c r="H1743" s="4"/>
      <c r="I1743" s="41"/>
      <c r="J1743" s="41"/>
      <c r="K1743" s="41"/>
      <c r="L1743" s="41"/>
      <c r="M1743" s="41"/>
      <c r="N1743" s="41"/>
      <c r="O1743" s="35"/>
      <c r="P1743" s="42"/>
    </row>
    <row r="1744">
      <c r="A1744" s="39"/>
      <c r="B1744" s="39"/>
      <c r="C1744" s="3"/>
      <c r="D1744" s="40"/>
      <c r="E1744" s="38"/>
      <c r="F1744" s="38"/>
      <c r="G1744" s="4"/>
      <c r="H1744" s="4"/>
      <c r="I1744" s="41"/>
      <c r="J1744" s="41"/>
      <c r="K1744" s="41"/>
      <c r="L1744" s="41"/>
      <c r="M1744" s="41"/>
      <c r="N1744" s="41"/>
      <c r="O1744" s="35"/>
      <c r="P1744" s="42"/>
    </row>
    <row r="1745">
      <c r="A1745" s="39"/>
      <c r="B1745" s="39"/>
      <c r="C1745" s="3"/>
      <c r="D1745" s="40"/>
      <c r="E1745" s="38"/>
      <c r="F1745" s="38"/>
      <c r="G1745" s="4"/>
      <c r="H1745" s="4"/>
      <c r="I1745" s="41"/>
      <c r="J1745" s="41"/>
      <c r="K1745" s="41"/>
      <c r="L1745" s="41"/>
      <c r="M1745" s="41"/>
      <c r="N1745" s="41"/>
      <c r="O1745" s="35"/>
      <c r="P1745" s="42"/>
    </row>
    <row r="1746">
      <c r="A1746" s="39"/>
      <c r="B1746" s="39"/>
      <c r="C1746" s="3"/>
      <c r="D1746" s="40"/>
      <c r="E1746" s="38"/>
      <c r="F1746" s="38"/>
      <c r="G1746" s="4"/>
      <c r="H1746" s="4"/>
      <c r="I1746" s="41"/>
      <c r="J1746" s="41"/>
      <c r="K1746" s="41"/>
      <c r="L1746" s="41"/>
      <c r="M1746" s="41"/>
      <c r="N1746" s="41"/>
      <c r="O1746" s="35"/>
      <c r="P1746" s="42"/>
    </row>
    <row r="1747">
      <c r="A1747" s="39"/>
      <c r="B1747" s="39"/>
      <c r="C1747" s="3"/>
      <c r="D1747" s="40"/>
      <c r="E1747" s="38"/>
      <c r="F1747" s="38"/>
      <c r="G1747" s="4"/>
      <c r="H1747" s="4"/>
      <c r="I1747" s="41"/>
      <c r="J1747" s="41"/>
      <c r="K1747" s="41"/>
      <c r="L1747" s="41"/>
      <c r="M1747" s="41"/>
      <c r="N1747" s="41"/>
      <c r="O1747" s="35"/>
      <c r="P1747" s="42"/>
    </row>
    <row r="1748">
      <c r="A1748" s="39"/>
      <c r="B1748" s="39"/>
      <c r="C1748" s="3"/>
      <c r="D1748" s="40"/>
      <c r="E1748" s="38"/>
      <c r="F1748" s="38"/>
      <c r="G1748" s="4"/>
      <c r="H1748" s="4"/>
      <c r="I1748" s="41"/>
      <c r="J1748" s="41"/>
      <c r="K1748" s="41"/>
      <c r="L1748" s="41"/>
      <c r="M1748" s="41"/>
      <c r="N1748" s="41"/>
      <c r="O1748" s="35"/>
      <c r="P1748" s="42"/>
    </row>
    <row r="1749">
      <c r="A1749" s="39"/>
      <c r="B1749" s="39"/>
      <c r="C1749" s="3"/>
      <c r="D1749" s="40"/>
      <c r="E1749" s="38"/>
      <c r="F1749" s="38"/>
      <c r="G1749" s="4"/>
      <c r="H1749" s="4"/>
      <c r="I1749" s="41"/>
      <c r="J1749" s="41"/>
      <c r="K1749" s="41"/>
      <c r="L1749" s="41"/>
      <c r="M1749" s="41"/>
      <c r="N1749" s="41"/>
      <c r="O1749" s="35"/>
      <c r="P1749" s="42"/>
    </row>
    <row r="1750">
      <c r="A1750" s="39"/>
      <c r="B1750" s="39"/>
      <c r="C1750" s="3"/>
      <c r="D1750" s="40"/>
      <c r="E1750" s="38"/>
      <c r="F1750" s="38"/>
      <c r="G1750" s="4"/>
      <c r="H1750" s="4"/>
      <c r="I1750" s="41"/>
      <c r="J1750" s="41"/>
      <c r="K1750" s="41"/>
      <c r="L1750" s="41"/>
      <c r="M1750" s="41"/>
      <c r="N1750" s="41"/>
      <c r="O1750" s="35"/>
      <c r="P1750" s="42"/>
    </row>
    <row r="1751">
      <c r="A1751" s="39"/>
      <c r="B1751" s="39"/>
      <c r="C1751" s="3"/>
      <c r="D1751" s="40"/>
      <c r="E1751" s="38"/>
      <c r="F1751" s="38"/>
      <c r="G1751" s="4"/>
      <c r="H1751" s="4"/>
      <c r="I1751" s="41"/>
      <c r="J1751" s="41"/>
      <c r="K1751" s="41"/>
      <c r="L1751" s="41"/>
      <c r="M1751" s="41"/>
      <c r="N1751" s="41"/>
      <c r="O1751" s="35"/>
      <c r="P1751" s="42"/>
    </row>
    <row r="1752">
      <c r="A1752" s="39"/>
      <c r="B1752" s="39"/>
      <c r="C1752" s="3"/>
      <c r="D1752" s="40"/>
      <c r="E1752" s="38"/>
      <c r="F1752" s="38"/>
      <c r="G1752" s="4"/>
      <c r="H1752" s="4"/>
      <c r="I1752" s="41"/>
      <c r="J1752" s="41"/>
      <c r="K1752" s="41"/>
      <c r="L1752" s="41"/>
      <c r="M1752" s="41"/>
      <c r="N1752" s="41"/>
      <c r="O1752" s="35"/>
      <c r="P1752" s="42"/>
    </row>
    <row r="1753">
      <c r="A1753" s="39"/>
      <c r="B1753" s="39"/>
      <c r="C1753" s="3"/>
      <c r="D1753" s="40"/>
      <c r="E1753" s="38"/>
      <c r="F1753" s="38"/>
      <c r="G1753" s="4"/>
      <c r="H1753" s="4"/>
      <c r="I1753" s="41"/>
      <c r="J1753" s="41"/>
      <c r="K1753" s="41"/>
      <c r="L1753" s="41"/>
      <c r="M1753" s="41"/>
      <c r="N1753" s="41"/>
      <c r="O1753" s="35"/>
      <c r="P1753" s="42"/>
    </row>
    <row r="1754">
      <c r="A1754" s="39"/>
      <c r="B1754" s="39"/>
      <c r="C1754" s="3"/>
      <c r="D1754" s="40"/>
      <c r="E1754" s="38"/>
      <c r="F1754" s="38"/>
      <c r="G1754" s="4"/>
      <c r="H1754" s="4"/>
      <c r="I1754" s="41"/>
      <c r="J1754" s="41"/>
      <c r="K1754" s="41"/>
      <c r="L1754" s="41"/>
      <c r="M1754" s="41"/>
      <c r="N1754" s="41"/>
      <c r="O1754" s="35"/>
      <c r="P1754" s="42"/>
    </row>
    <row r="1755">
      <c r="A1755" s="39"/>
      <c r="B1755" s="39"/>
      <c r="C1755" s="3"/>
      <c r="D1755" s="40"/>
      <c r="E1755" s="38"/>
      <c r="F1755" s="38"/>
      <c r="G1755" s="4"/>
      <c r="H1755" s="4"/>
      <c r="I1755" s="41"/>
      <c r="J1755" s="41"/>
      <c r="K1755" s="41"/>
      <c r="L1755" s="41"/>
      <c r="M1755" s="41"/>
      <c r="N1755" s="41"/>
      <c r="O1755" s="35"/>
      <c r="P1755" s="42"/>
    </row>
    <row r="1756">
      <c r="A1756" s="39"/>
      <c r="B1756" s="39"/>
      <c r="C1756" s="3"/>
      <c r="D1756" s="40"/>
      <c r="E1756" s="38"/>
      <c r="F1756" s="38"/>
      <c r="G1756" s="4"/>
      <c r="H1756" s="4"/>
      <c r="I1756" s="41"/>
      <c r="J1756" s="41"/>
      <c r="K1756" s="41"/>
      <c r="L1756" s="41"/>
      <c r="M1756" s="41"/>
      <c r="N1756" s="41"/>
      <c r="O1756" s="35"/>
      <c r="P1756" s="42"/>
    </row>
    <row r="1757">
      <c r="A1757" s="39"/>
      <c r="B1757" s="39"/>
      <c r="C1757" s="3"/>
      <c r="D1757" s="40"/>
      <c r="E1757" s="38"/>
      <c r="F1757" s="38"/>
      <c r="G1757" s="4"/>
      <c r="H1757" s="4"/>
      <c r="I1757" s="41"/>
      <c r="J1757" s="41"/>
      <c r="K1757" s="41"/>
      <c r="L1757" s="41"/>
      <c r="M1757" s="41"/>
      <c r="N1757" s="41"/>
      <c r="O1757" s="35"/>
      <c r="P1757" s="42"/>
    </row>
    <row r="1758">
      <c r="A1758" s="39"/>
      <c r="B1758" s="39"/>
      <c r="C1758" s="3"/>
      <c r="D1758" s="40"/>
      <c r="E1758" s="38"/>
      <c r="F1758" s="38"/>
      <c r="G1758" s="4"/>
      <c r="H1758" s="4"/>
      <c r="I1758" s="41"/>
      <c r="J1758" s="41"/>
      <c r="K1758" s="41"/>
      <c r="L1758" s="41"/>
      <c r="M1758" s="41"/>
      <c r="N1758" s="41"/>
      <c r="O1758" s="35"/>
      <c r="P1758" s="42"/>
    </row>
    <row r="1759">
      <c r="A1759" s="39"/>
      <c r="B1759" s="39"/>
      <c r="C1759" s="3"/>
      <c r="D1759" s="40"/>
      <c r="E1759" s="38"/>
      <c r="F1759" s="38"/>
      <c r="G1759" s="4"/>
      <c r="H1759" s="4"/>
      <c r="I1759" s="41"/>
      <c r="J1759" s="41"/>
      <c r="K1759" s="41"/>
      <c r="L1759" s="41"/>
      <c r="M1759" s="41"/>
      <c r="N1759" s="41"/>
      <c r="O1759" s="35"/>
      <c r="P1759" s="42"/>
    </row>
    <row r="1760">
      <c r="A1760" s="39"/>
      <c r="B1760" s="39"/>
      <c r="C1760" s="3"/>
      <c r="D1760" s="40"/>
      <c r="E1760" s="38"/>
      <c r="F1760" s="38"/>
      <c r="G1760" s="4"/>
      <c r="H1760" s="4"/>
      <c r="I1760" s="41"/>
      <c r="J1760" s="41"/>
      <c r="K1760" s="41"/>
      <c r="L1760" s="41"/>
      <c r="M1760" s="41"/>
      <c r="N1760" s="41"/>
      <c r="O1760" s="35"/>
      <c r="P1760" s="42"/>
    </row>
    <row r="1761">
      <c r="A1761" s="39"/>
      <c r="B1761" s="39"/>
      <c r="C1761" s="3"/>
      <c r="D1761" s="40"/>
      <c r="E1761" s="38"/>
      <c r="F1761" s="38"/>
      <c r="G1761" s="4"/>
      <c r="H1761" s="4"/>
      <c r="I1761" s="41"/>
      <c r="J1761" s="41"/>
      <c r="K1761" s="41"/>
      <c r="L1761" s="41"/>
      <c r="M1761" s="41"/>
      <c r="N1761" s="41"/>
      <c r="O1761" s="35"/>
      <c r="P1761" s="42"/>
    </row>
    <row r="1762">
      <c r="A1762" s="39"/>
      <c r="B1762" s="39"/>
      <c r="C1762" s="3"/>
      <c r="D1762" s="40"/>
      <c r="E1762" s="38"/>
      <c r="F1762" s="38"/>
      <c r="G1762" s="4"/>
      <c r="H1762" s="4"/>
      <c r="I1762" s="41"/>
      <c r="J1762" s="41"/>
      <c r="K1762" s="41"/>
      <c r="L1762" s="41"/>
      <c r="M1762" s="41"/>
      <c r="N1762" s="41"/>
      <c r="O1762" s="35"/>
      <c r="P1762" s="42"/>
    </row>
    <row r="1763">
      <c r="A1763" s="39"/>
      <c r="B1763" s="39"/>
      <c r="C1763" s="3"/>
      <c r="D1763" s="40"/>
      <c r="E1763" s="38"/>
      <c r="F1763" s="38"/>
      <c r="G1763" s="4"/>
      <c r="H1763" s="4"/>
      <c r="I1763" s="41"/>
      <c r="J1763" s="41"/>
      <c r="K1763" s="41"/>
      <c r="L1763" s="41"/>
      <c r="M1763" s="41"/>
      <c r="N1763" s="41"/>
      <c r="O1763" s="35"/>
      <c r="P1763" s="42"/>
    </row>
    <row r="1764">
      <c r="A1764" s="39"/>
      <c r="B1764" s="39"/>
      <c r="C1764" s="3"/>
      <c r="D1764" s="40"/>
      <c r="E1764" s="38"/>
      <c r="F1764" s="38"/>
      <c r="G1764" s="4"/>
      <c r="H1764" s="4"/>
      <c r="I1764" s="41"/>
      <c r="J1764" s="41"/>
      <c r="K1764" s="41"/>
      <c r="L1764" s="41"/>
      <c r="M1764" s="41"/>
      <c r="N1764" s="41"/>
      <c r="O1764" s="35"/>
      <c r="P1764" s="42"/>
    </row>
    <row r="1765">
      <c r="A1765" s="39"/>
      <c r="B1765" s="39"/>
      <c r="C1765" s="3"/>
      <c r="D1765" s="40"/>
      <c r="E1765" s="38"/>
      <c r="F1765" s="38"/>
      <c r="G1765" s="4"/>
      <c r="H1765" s="4"/>
      <c r="I1765" s="41"/>
      <c r="J1765" s="41"/>
      <c r="K1765" s="41"/>
      <c r="L1765" s="41"/>
      <c r="M1765" s="41"/>
      <c r="N1765" s="41"/>
      <c r="O1765" s="35"/>
      <c r="P1765" s="42"/>
    </row>
    <row r="1766">
      <c r="A1766" s="39"/>
      <c r="B1766" s="39"/>
      <c r="C1766" s="3"/>
      <c r="D1766" s="40"/>
      <c r="E1766" s="38"/>
      <c r="F1766" s="38"/>
      <c r="G1766" s="4"/>
      <c r="H1766" s="4"/>
      <c r="I1766" s="41"/>
      <c r="J1766" s="41"/>
      <c r="K1766" s="41"/>
      <c r="L1766" s="41"/>
      <c r="M1766" s="41"/>
      <c r="N1766" s="41"/>
      <c r="O1766" s="35"/>
      <c r="P1766" s="42"/>
    </row>
    <row r="1767">
      <c r="A1767" s="39"/>
      <c r="B1767" s="39"/>
      <c r="C1767" s="3"/>
      <c r="D1767" s="40"/>
      <c r="E1767" s="38"/>
      <c r="F1767" s="38"/>
      <c r="G1767" s="4"/>
      <c r="H1767" s="4"/>
      <c r="I1767" s="41"/>
      <c r="J1767" s="41"/>
      <c r="K1767" s="41"/>
      <c r="L1767" s="41"/>
      <c r="M1767" s="41"/>
      <c r="N1767" s="41"/>
      <c r="O1767" s="35"/>
      <c r="P1767" s="42"/>
    </row>
    <row r="1768">
      <c r="A1768" s="39"/>
      <c r="B1768" s="39"/>
      <c r="C1768" s="3"/>
      <c r="D1768" s="40"/>
      <c r="E1768" s="38"/>
      <c r="F1768" s="38"/>
      <c r="G1768" s="4"/>
      <c r="H1768" s="4"/>
      <c r="I1768" s="41"/>
      <c r="J1768" s="41"/>
      <c r="K1768" s="41"/>
      <c r="L1768" s="41"/>
      <c r="M1768" s="41"/>
      <c r="N1768" s="41"/>
      <c r="O1768" s="35"/>
      <c r="P1768" s="42"/>
    </row>
    <row r="1769">
      <c r="A1769" s="39"/>
      <c r="B1769" s="39"/>
      <c r="C1769" s="3"/>
      <c r="D1769" s="40"/>
      <c r="E1769" s="38"/>
      <c r="F1769" s="38"/>
      <c r="G1769" s="4"/>
      <c r="H1769" s="4"/>
      <c r="I1769" s="41"/>
      <c r="J1769" s="41"/>
      <c r="K1769" s="41"/>
      <c r="L1769" s="41"/>
      <c r="M1769" s="41"/>
      <c r="N1769" s="41"/>
      <c r="O1769" s="35"/>
      <c r="P1769" s="42"/>
    </row>
    <row r="1770">
      <c r="A1770" s="39"/>
      <c r="B1770" s="39"/>
      <c r="C1770" s="3"/>
      <c r="D1770" s="40"/>
      <c r="E1770" s="38"/>
      <c r="F1770" s="38"/>
      <c r="G1770" s="4"/>
      <c r="H1770" s="4"/>
      <c r="I1770" s="41"/>
      <c r="J1770" s="41"/>
      <c r="K1770" s="41"/>
      <c r="L1770" s="41"/>
      <c r="M1770" s="41"/>
      <c r="N1770" s="41"/>
      <c r="O1770" s="35"/>
      <c r="P1770" s="42"/>
    </row>
    <row r="1771">
      <c r="A1771" s="39"/>
      <c r="B1771" s="39"/>
      <c r="C1771" s="3"/>
      <c r="D1771" s="40"/>
      <c r="E1771" s="38"/>
      <c r="F1771" s="38"/>
      <c r="G1771" s="4"/>
      <c r="H1771" s="4"/>
      <c r="I1771" s="41"/>
      <c r="J1771" s="41"/>
      <c r="K1771" s="41"/>
      <c r="L1771" s="41"/>
      <c r="M1771" s="41"/>
      <c r="N1771" s="41"/>
      <c r="O1771" s="35"/>
      <c r="P1771" s="42"/>
    </row>
    <row r="1772">
      <c r="A1772" s="39"/>
      <c r="B1772" s="39"/>
      <c r="C1772" s="3"/>
      <c r="D1772" s="40"/>
      <c r="E1772" s="38"/>
      <c r="F1772" s="38"/>
      <c r="G1772" s="4"/>
      <c r="H1772" s="4"/>
      <c r="I1772" s="41"/>
      <c r="J1772" s="41"/>
      <c r="K1772" s="41"/>
      <c r="L1772" s="41"/>
      <c r="M1772" s="41"/>
      <c r="N1772" s="41"/>
      <c r="O1772" s="35"/>
      <c r="P1772" s="42"/>
    </row>
    <row r="1773">
      <c r="A1773" s="39"/>
      <c r="B1773" s="39"/>
      <c r="C1773" s="3"/>
      <c r="D1773" s="40"/>
      <c r="E1773" s="38"/>
      <c r="F1773" s="38"/>
      <c r="G1773" s="4"/>
      <c r="H1773" s="4"/>
      <c r="I1773" s="41"/>
      <c r="J1773" s="41"/>
      <c r="K1773" s="41"/>
      <c r="L1773" s="41"/>
      <c r="M1773" s="41"/>
      <c r="N1773" s="41"/>
      <c r="O1773" s="35"/>
      <c r="P1773" s="42"/>
    </row>
    <row r="1774">
      <c r="A1774" s="39"/>
      <c r="B1774" s="39"/>
      <c r="C1774" s="3"/>
      <c r="D1774" s="40"/>
      <c r="E1774" s="38"/>
      <c r="F1774" s="38"/>
      <c r="G1774" s="4"/>
      <c r="H1774" s="4"/>
      <c r="I1774" s="41"/>
      <c r="J1774" s="41"/>
      <c r="K1774" s="41"/>
      <c r="L1774" s="41"/>
      <c r="M1774" s="41"/>
      <c r="N1774" s="41"/>
      <c r="O1774" s="35"/>
      <c r="P1774" s="42"/>
    </row>
    <row r="1775">
      <c r="A1775" s="39"/>
      <c r="B1775" s="39"/>
      <c r="C1775" s="3"/>
      <c r="D1775" s="40"/>
      <c r="E1775" s="38"/>
      <c r="F1775" s="38"/>
      <c r="G1775" s="4"/>
      <c r="H1775" s="4"/>
      <c r="I1775" s="41"/>
      <c r="J1775" s="41"/>
      <c r="K1775" s="41"/>
      <c r="L1775" s="41"/>
      <c r="M1775" s="41"/>
      <c r="N1775" s="41"/>
      <c r="O1775" s="35"/>
      <c r="P1775" s="42"/>
    </row>
    <row r="1776">
      <c r="A1776" s="39"/>
      <c r="B1776" s="39"/>
      <c r="C1776" s="3"/>
      <c r="D1776" s="40"/>
      <c r="E1776" s="38"/>
      <c r="F1776" s="38"/>
      <c r="G1776" s="4"/>
      <c r="H1776" s="4"/>
      <c r="I1776" s="41"/>
      <c r="J1776" s="41"/>
      <c r="K1776" s="41"/>
      <c r="L1776" s="41"/>
      <c r="M1776" s="41"/>
      <c r="N1776" s="41"/>
      <c r="O1776" s="35"/>
      <c r="P1776" s="42"/>
    </row>
    <row r="1777">
      <c r="A1777" s="39"/>
      <c r="B1777" s="39"/>
      <c r="C1777" s="3"/>
      <c r="D1777" s="40"/>
      <c r="E1777" s="38"/>
      <c r="F1777" s="38"/>
      <c r="G1777" s="4"/>
      <c r="H1777" s="4"/>
      <c r="I1777" s="41"/>
      <c r="J1777" s="41"/>
      <c r="K1777" s="41"/>
      <c r="L1777" s="41"/>
      <c r="M1777" s="41"/>
      <c r="N1777" s="41"/>
      <c r="O1777" s="35"/>
      <c r="P1777" s="42"/>
    </row>
    <row r="1778">
      <c r="A1778" s="39"/>
      <c r="B1778" s="39"/>
      <c r="C1778" s="3"/>
      <c r="D1778" s="40"/>
      <c r="E1778" s="38"/>
      <c r="F1778" s="38"/>
      <c r="G1778" s="4"/>
      <c r="H1778" s="4"/>
      <c r="I1778" s="41"/>
      <c r="J1778" s="41"/>
      <c r="K1778" s="41"/>
      <c r="L1778" s="41"/>
      <c r="M1778" s="41"/>
      <c r="N1778" s="41"/>
      <c r="O1778" s="35"/>
      <c r="P1778" s="42"/>
    </row>
    <row r="1779">
      <c r="A1779" s="39"/>
      <c r="B1779" s="39"/>
      <c r="C1779" s="3"/>
      <c r="D1779" s="40"/>
      <c r="E1779" s="38"/>
      <c r="F1779" s="38"/>
      <c r="G1779" s="4"/>
      <c r="H1779" s="4"/>
      <c r="I1779" s="41"/>
      <c r="J1779" s="41"/>
      <c r="K1779" s="41"/>
      <c r="L1779" s="41"/>
      <c r="M1779" s="41"/>
      <c r="N1779" s="41"/>
      <c r="O1779" s="35"/>
      <c r="P1779" s="42"/>
    </row>
    <row r="1780">
      <c r="A1780" s="39"/>
      <c r="B1780" s="39"/>
      <c r="C1780" s="3"/>
      <c r="D1780" s="40"/>
      <c r="E1780" s="38"/>
      <c r="F1780" s="38"/>
      <c r="G1780" s="4"/>
      <c r="H1780" s="4"/>
      <c r="I1780" s="41"/>
      <c r="J1780" s="41"/>
      <c r="K1780" s="41"/>
      <c r="L1780" s="41"/>
      <c r="M1780" s="41"/>
      <c r="N1780" s="41"/>
      <c r="O1780" s="35"/>
      <c r="P1780" s="42"/>
    </row>
    <row r="1781">
      <c r="A1781" s="39"/>
      <c r="B1781" s="39"/>
      <c r="C1781" s="3"/>
      <c r="D1781" s="40"/>
      <c r="E1781" s="38"/>
      <c r="F1781" s="38"/>
      <c r="G1781" s="4"/>
      <c r="H1781" s="4"/>
      <c r="I1781" s="41"/>
      <c r="J1781" s="41"/>
      <c r="K1781" s="41"/>
      <c r="L1781" s="41"/>
      <c r="M1781" s="41"/>
      <c r="N1781" s="41"/>
      <c r="O1781" s="35"/>
      <c r="P1781" s="42"/>
    </row>
    <row r="1782">
      <c r="A1782" s="39"/>
      <c r="B1782" s="39"/>
      <c r="C1782" s="3"/>
      <c r="D1782" s="40"/>
      <c r="E1782" s="38"/>
      <c r="F1782" s="38"/>
      <c r="G1782" s="4"/>
      <c r="H1782" s="4"/>
      <c r="I1782" s="41"/>
      <c r="J1782" s="41"/>
      <c r="K1782" s="41"/>
      <c r="L1782" s="41"/>
      <c r="M1782" s="41"/>
      <c r="N1782" s="41"/>
      <c r="O1782" s="35"/>
      <c r="P1782" s="42"/>
    </row>
    <row r="1783">
      <c r="A1783" s="39"/>
      <c r="B1783" s="39"/>
      <c r="C1783" s="3"/>
      <c r="D1783" s="40"/>
      <c r="E1783" s="38"/>
      <c r="F1783" s="38"/>
      <c r="G1783" s="4"/>
      <c r="H1783" s="4"/>
      <c r="I1783" s="41"/>
      <c r="J1783" s="41"/>
      <c r="K1783" s="41"/>
      <c r="L1783" s="41"/>
      <c r="M1783" s="41"/>
      <c r="N1783" s="41"/>
      <c r="O1783" s="35"/>
      <c r="P1783" s="42"/>
    </row>
    <row r="1784">
      <c r="A1784" s="39"/>
      <c r="B1784" s="39"/>
      <c r="C1784" s="3"/>
      <c r="D1784" s="40"/>
      <c r="E1784" s="38"/>
      <c r="F1784" s="38"/>
      <c r="G1784" s="4"/>
      <c r="H1784" s="4"/>
      <c r="I1784" s="41"/>
      <c r="J1784" s="41"/>
      <c r="K1784" s="41"/>
      <c r="L1784" s="41"/>
      <c r="M1784" s="41"/>
      <c r="N1784" s="41"/>
      <c r="O1784" s="35"/>
      <c r="P1784" s="42"/>
    </row>
    <row r="1785">
      <c r="A1785" s="39"/>
      <c r="B1785" s="39"/>
      <c r="C1785" s="3"/>
      <c r="D1785" s="40"/>
      <c r="E1785" s="38"/>
      <c r="F1785" s="38"/>
      <c r="G1785" s="4"/>
      <c r="H1785" s="4"/>
      <c r="I1785" s="41"/>
      <c r="J1785" s="41"/>
      <c r="K1785" s="41"/>
      <c r="L1785" s="41"/>
      <c r="M1785" s="41"/>
      <c r="N1785" s="41"/>
      <c r="O1785" s="35"/>
      <c r="P1785" s="42"/>
    </row>
    <row r="1786">
      <c r="A1786" s="39"/>
      <c r="B1786" s="39"/>
      <c r="C1786" s="3"/>
      <c r="D1786" s="40"/>
      <c r="E1786" s="38"/>
      <c r="F1786" s="38"/>
      <c r="G1786" s="4"/>
      <c r="H1786" s="4"/>
      <c r="I1786" s="41"/>
      <c r="J1786" s="41"/>
      <c r="K1786" s="41"/>
      <c r="L1786" s="41"/>
      <c r="M1786" s="41"/>
      <c r="N1786" s="41"/>
      <c r="O1786" s="35"/>
      <c r="P1786" s="42"/>
    </row>
    <row r="1787">
      <c r="A1787" s="39"/>
      <c r="B1787" s="39"/>
      <c r="C1787" s="3"/>
      <c r="D1787" s="40"/>
      <c r="E1787" s="38"/>
      <c r="F1787" s="38"/>
      <c r="G1787" s="4"/>
      <c r="H1787" s="4"/>
      <c r="I1787" s="41"/>
      <c r="J1787" s="41"/>
      <c r="K1787" s="41"/>
      <c r="L1787" s="41"/>
      <c r="M1787" s="41"/>
      <c r="N1787" s="41"/>
      <c r="O1787" s="35"/>
      <c r="P1787" s="42"/>
    </row>
    <row r="1788">
      <c r="A1788" s="39"/>
      <c r="B1788" s="39"/>
      <c r="C1788" s="3"/>
      <c r="D1788" s="40"/>
      <c r="E1788" s="38"/>
      <c r="F1788" s="38"/>
      <c r="G1788" s="4"/>
      <c r="H1788" s="4"/>
      <c r="I1788" s="41"/>
      <c r="J1788" s="41"/>
      <c r="K1788" s="41"/>
      <c r="L1788" s="41"/>
      <c r="M1788" s="41"/>
      <c r="N1788" s="41"/>
      <c r="O1788" s="35"/>
      <c r="P1788" s="42"/>
    </row>
    <row r="1789">
      <c r="A1789" s="39"/>
      <c r="B1789" s="39"/>
      <c r="C1789" s="3"/>
      <c r="D1789" s="40"/>
      <c r="E1789" s="38"/>
      <c r="F1789" s="38"/>
      <c r="G1789" s="4"/>
      <c r="H1789" s="4"/>
      <c r="I1789" s="41"/>
      <c r="J1789" s="41"/>
      <c r="K1789" s="41"/>
      <c r="L1789" s="41"/>
      <c r="M1789" s="41"/>
      <c r="N1789" s="41"/>
      <c r="O1789" s="35"/>
      <c r="P1789" s="42"/>
    </row>
    <row r="1790">
      <c r="A1790" s="39"/>
      <c r="B1790" s="39"/>
      <c r="C1790" s="3"/>
      <c r="D1790" s="40"/>
      <c r="E1790" s="38"/>
      <c r="F1790" s="38"/>
      <c r="G1790" s="4"/>
      <c r="H1790" s="4"/>
      <c r="I1790" s="41"/>
      <c r="J1790" s="41"/>
      <c r="K1790" s="41"/>
      <c r="L1790" s="41"/>
      <c r="M1790" s="41"/>
      <c r="N1790" s="41"/>
      <c r="O1790" s="35"/>
      <c r="P1790" s="42"/>
    </row>
    <row r="1791">
      <c r="A1791" s="39"/>
      <c r="B1791" s="39"/>
      <c r="C1791" s="3"/>
      <c r="D1791" s="40"/>
      <c r="E1791" s="38"/>
      <c r="F1791" s="38"/>
      <c r="G1791" s="4"/>
      <c r="H1791" s="4"/>
      <c r="I1791" s="41"/>
      <c r="J1791" s="41"/>
      <c r="K1791" s="41"/>
      <c r="L1791" s="41"/>
      <c r="M1791" s="41"/>
      <c r="N1791" s="41"/>
      <c r="O1791" s="35"/>
      <c r="P1791" s="42"/>
    </row>
    <row r="1792">
      <c r="A1792" s="39"/>
      <c r="B1792" s="39"/>
      <c r="C1792" s="3"/>
      <c r="D1792" s="40"/>
      <c r="E1792" s="38"/>
      <c r="F1792" s="38"/>
      <c r="G1792" s="4"/>
      <c r="H1792" s="4"/>
      <c r="I1792" s="41"/>
      <c r="J1792" s="41"/>
      <c r="K1792" s="41"/>
      <c r="L1792" s="41"/>
      <c r="M1792" s="41"/>
      <c r="N1792" s="41"/>
      <c r="O1792" s="35"/>
      <c r="P1792" s="42"/>
    </row>
    <row r="1793">
      <c r="A1793" s="39"/>
      <c r="B1793" s="39"/>
      <c r="C1793" s="3"/>
      <c r="D1793" s="40"/>
      <c r="E1793" s="38"/>
      <c r="F1793" s="38"/>
      <c r="G1793" s="4"/>
      <c r="H1793" s="4"/>
      <c r="I1793" s="41"/>
      <c r="J1793" s="41"/>
      <c r="K1793" s="41"/>
      <c r="L1793" s="41"/>
      <c r="M1793" s="41"/>
      <c r="N1793" s="41"/>
      <c r="O1793" s="35"/>
      <c r="P1793" s="42"/>
    </row>
    <row r="1794">
      <c r="A1794" s="39"/>
      <c r="B1794" s="39"/>
      <c r="C1794" s="3"/>
      <c r="D1794" s="40"/>
      <c r="E1794" s="38"/>
      <c r="F1794" s="38"/>
      <c r="G1794" s="4"/>
      <c r="H1794" s="4"/>
      <c r="I1794" s="41"/>
      <c r="J1794" s="41"/>
      <c r="K1794" s="41"/>
      <c r="L1794" s="41"/>
      <c r="M1794" s="41"/>
      <c r="N1794" s="41"/>
      <c r="O1794" s="35"/>
      <c r="P1794" s="42"/>
    </row>
    <row r="1795">
      <c r="A1795" s="39"/>
      <c r="B1795" s="39"/>
      <c r="C1795" s="3"/>
      <c r="D1795" s="40"/>
      <c r="E1795" s="38"/>
      <c r="F1795" s="38"/>
      <c r="G1795" s="4"/>
      <c r="H1795" s="4"/>
      <c r="I1795" s="41"/>
      <c r="J1795" s="41"/>
      <c r="K1795" s="41"/>
      <c r="L1795" s="41"/>
      <c r="M1795" s="41"/>
      <c r="N1795" s="41"/>
      <c r="O1795" s="35"/>
      <c r="P1795" s="42"/>
    </row>
    <row r="1796">
      <c r="A1796" s="39"/>
      <c r="B1796" s="39"/>
      <c r="C1796" s="3"/>
      <c r="D1796" s="40"/>
      <c r="E1796" s="38"/>
      <c r="F1796" s="38"/>
      <c r="G1796" s="4"/>
      <c r="H1796" s="4"/>
      <c r="I1796" s="41"/>
      <c r="J1796" s="41"/>
      <c r="K1796" s="41"/>
      <c r="L1796" s="41"/>
      <c r="M1796" s="41"/>
      <c r="N1796" s="41"/>
      <c r="O1796" s="35"/>
      <c r="P1796" s="42"/>
    </row>
    <row r="1797">
      <c r="A1797" s="39"/>
      <c r="B1797" s="39"/>
      <c r="C1797" s="3"/>
      <c r="D1797" s="40"/>
      <c r="E1797" s="38"/>
      <c r="F1797" s="38"/>
      <c r="G1797" s="4"/>
      <c r="H1797" s="4"/>
      <c r="I1797" s="41"/>
      <c r="J1797" s="41"/>
      <c r="K1797" s="41"/>
      <c r="L1797" s="41"/>
      <c r="M1797" s="41"/>
      <c r="N1797" s="41"/>
      <c r="O1797" s="35"/>
      <c r="P1797" s="42"/>
    </row>
    <row r="1798">
      <c r="A1798" s="39"/>
      <c r="B1798" s="39"/>
      <c r="C1798" s="3"/>
      <c r="D1798" s="40"/>
      <c r="E1798" s="38"/>
      <c r="F1798" s="38"/>
      <c r="G1798" s="4"/>
      <c r="H1798" s="4"/>
      <c r="I1798" s="41"/>
      <c r="J1798" s="41"/>
      <c r="K1798" s="41"/>
      <c r="L1798" s="41"/>
      <c r="M1798" s="41"/>
      <c r="N1798" s="41"/>
      <c r="O1798" s="35"/>
      <c r="P1798" s="42"/>
    </row>
    <row r="1799">
      <c r="A1799" s="39"/>
      <c r="B1799" s="39"/>
      <c r="C1799" s="3"/>
      <c r="D1799" s="40"/>
      <c r="E1799" s="38"/>
      <c r="F1799" s="38"/>
      <c r="G1799" s="4"/>
      <c r="H1799" s="4"/>
      <c r="I1799" s="41"/>
      <c r="J1799" s="41"/>
      <c r="K1799" s="41"/>
      <c r="L1799" s="41"/>
      <c r="M1799" s="41"/>
      <c r="N1799" s="41"/>
      <c r="O1799" s="35"/>
      <c r="P1799" s="42"/>
    </row>
    <row r="1800">
      <c r="A1800" s="39"/>
      <c r="B1800" s="39"/>
      <c r="C1800" s="3"/>
      <c r="D1800" s="40"/>
      <c r="E1800" s="38"/>
      <c r="F1800" s="38"/>
      <c r="G1800" s="4"/>
      <c r="H1800" s="4"/>
      <c r="I1800" s="41"/>
      <c r="J1800" s="41"/>
      <c r="K1800" s="41"/>
      <c r="L1800" s="41"/>
      <c r="M1800" s="41"/>
      <c r="N1800" s="41"/>
      <c r="O1800" s="35"/>
      <c r="P1800" s="42"/>
    </row>
    <row r="1801">
      <c r="A1801" s="39"/>
      <c r="B1801" s="39"/>
      <c r="C1801" s="3"/>
      <c r="D1801" s="40"/>
      <c r="E1801" s="38"/>
      <c r="F1801" s="38"/>
      <c r="G1801" s="4"/>
      <c r="H1801" s="4"/>
      <c r="I1801" s="41"/>
      <c r="J1801" s="41"/>
      <c r="K1801" s="41"/>
      <c r="L1801" s="41"/>
      <c r="M1801" s="41"/>
      <c r="N1801" s="41"/>
      <c r="O1801" s="35"/>
      <c r="P1801" s="42"/>
    </row>
    <row r="1802">
      <c r="A1802" s="39"/>
      <c r="B1802" s="39"/>
      <c r="C1802" s="3"/>
      <c r="D1802" s="40"/>
      <c r="E1802" s="38"/>
      <c r="F1802" s="38"/>
      <c r="G1802" s="4"/>
      <c r="H1802" s="4"/>
      <c r="I1802" s="41"/>
      <c r="J1802" s="41"/>
      <c r="K1802" s="41"/>
      <c r="L1802" s="41"/>
      <c r="M1802" s="41"/>
      <c r="N1802" s="41"/>
      <c r="O1802" s="35"/>
      <c r="P1802" s="42"/>
    </row>
    <row r="1803">
      <c r="A1803" s="39"/>
      <c r="B1803" s="39"/>
      <c r="C1803" s="3"/>
      <c r="D1803" s="40"/>
      <c r="E1803" s="38"/>
      <c r="F1803" s="38"/>
      <c r="G1803" s="4"/>
      <c r="H1803" s="4"/>
      <c r="I1803" s="41"/>
      <c r="J1803" s="41"/>
      <c r="K1803" s="41"/>
      <c r="L1803" s="41"/>
      <c r="M1803" s="41"/>
      <c r="N1803" s="41"/>
      <c r="O1803" s="35"/>
      <c r="P1803" s="42"/>
    </row>
    <row r="1804">
      <c r="A1804" s="39"/>
      <c r="B1804" s="39"/>
      <c r="C1804" s="3"/>
      <c r="D1804" s="40"/>
      <c r="E1804" s="38"/>
      <c r="F1804" s="38"/>
      <c r="G1804" s="4"/>
      <c r="H1804" s="4"/>
      <c r="I1804" s="41"/>
      <c r="J1804" s="41"/>
      <c r="K1804" s="41"/>
      <c r="L1804" s="41"/>
      <c r="M1804" s="41"/>
      <c r="N1804" s="41"/>
      <c r="O1804" s="35"/>
      <c r="P1804" s="42"/>
    </row>
    <row r="1805">
      <c r="A1805" s="39"/>
      <c r="B1805" s="39"/>
      <c r="C1805" s="3"/>
      <c r="D1805" s="40"/>
      <c r="E1805" s="38"/>
      <c r="F1805" s="38"/>
      <c r="G1805" s="4"/>
      <c r="H1805" s="4"/>
      <c r="I1805" s="41"/>
      <c r="J1805" s="41"/>
      <c r="K1805" s="41"/>
      <c r="L1805" s="41"/>
      <c r="M1805" s="41"/>
      <c r="N1805" s="41"/>
      <c r="O1805" s="35"/>
      <c r="P1805" s="42"/>
    </row>
    <row r="1806">
      <c r="A1806" s="39"/>
      <c r="B1806" s="39"/>
      <c r="C1806" s="3"/>
      <c r="D1806" s="40"/>
      <c r="E1806" s="38"/>
      <c r="F1806" s="38"/>
      <c r="G1806" s="4"/>
      <c r="H1806" s="4"/>
      <c r="I1806" s="41"/>
      <c r="J1806" s="41"/>
      <c r="K1806" s="41"/>
      <c r="L1806" s="41"/>
      <c r="M1806" s="41"/>
      <c r="N1806" s="41"/>
      <c r="O1806" s="35"/>
      <c r="P1806" s="42"/>
    </row>
    <row r="1807">
      <c r="A1807" s="39"/>
      <c r="B1807" s="39"/>
      <c r="C1807" s="3"/>
      <c r="D1807" s="40"/>
      <c r="E1807" s="38"/>
      <c r="F1807" s="38"/>
      <c r="G1807" s="4"/>
      <c r="H1807" s="4"/>
      <c r="I1807" s="41"/>
      <c r="J1807" s="41"/>
      <c r="K1807" s="41"/>
      <c r="L1807" s="41"/>
      <c r="M1807" s="41"/>
      <c r="N1807" s="41"/>
      <c r="O1807" s="35"/>
      <c r="P1807" s="42"/>
    </row>
    <row r="1808">
      <c r="A1808" s="39"/>
      <c r="B1808" s="39"/>
      <c r="C1808" s="3"/>
      <c r="D1808" s="40"/>
      <c r="E1808" s="38"/>
      <c r="F1808" s="38"/>
      <c r="G1808" s="4"/>
      <c r="H1808" s="4"/>
      <c r="I1808" s="41"/>
      <c r="J1808" s="41"/>
      <c r="K1808" s="41"/>
      <c r="L1808" s="41"/>
      <c r="M1808" s="41"/>
      <c r="N1808" s="41"/>
      <c r="O1808" s="35"/>
      <c r="P1808" s="42"/>
    </row>
    <row r="1809">
      <c r="A1809" s="39"/>
      <c r="B1809" s="39"/>
      <c r="C1809" s="3"/>
      <c r="D1809" s="40"/>
      <c r="E1809" s="38"/>
      <c r="F1809" s="38"/>
      <c r="G1809" s="4"/>
      <c r="H1809" s="4"/>
      <c r="I1809" s="41"/>
      <c r="J1809" s="41"/>
      <c r="K1809" s="41"/>
      <c r="L1809" s="41"/>
      <c r="M1809" s="41"/>
      <c r="N1809" s="41"/>
      <c r="O1809" s="35"/>
      <c r="P1809" s="42"/>
    </row>
    <row r="1810">
      <c r="A1810" s="39"/>
      <c r="B1810" s="39"/>
      <c r="C1810" s="3"/>
      <c r="D1810" s="40"/>
      <c r="E1810" s="38"/>
      <c r="F1810" s="38"/>
      <c r="G1810" s="4"/>
      <c r="H1810" s="4"/>
      <c r="I1810" s="41"/>
      <c r="J1810" s="41"/>
      <c r="K1810" s="41"/>
      <c r="L1810" s="41"/>
      <c r="M1810" s="41"/>
      <c r="N1810" s="41"/>
      <c r="O1810" s="35"/>
      <c r="P1810" s="42"/>
    </row>
    <row r="1811">
      <c r="A1811" s="39"/>
      <c r="B1811" s="39"/>
      <c r="C1811" s="3"/>
      <c r="D1811" s="40"/>
      <c r="E1811" s="38"/>
      <c r="F1811" s="38"/>
      <c r="G1811" s="4"/>
      <c r="H1811" s="4"/>
      <c r="I1811" s="41"/>
      <c r="J1811" s="41"/>
      <c r="K1811" s="41"/>
      <c r="L1811" s="41"/>
      <c r="M1811" s="41"/>
      <c r="N1811" s="41"/>
      <c r="O1811" s="35"/>
      <c r="P1811" s="42"/>
    </row>
    <row r="1812">
      <c r="A1812" s="39"/>
      <c r="B1812" s="39"/>
      <c r="C1812" s="3"/>
      <c r="D1812" s="40"/>
      <c r="E1812" s="38"/>
      <c r="F1812" s="38"/>
      <c r="G1812" s="4"/>
      <c r="H1812" s="4"/>
      <c r="I1812" s="41"/>
      <c r="J1812" s="41"/>
      <c r="K1812" s="41"/>
      <c r="L1812" s="41"/>
      <c r="M1812" s="41"/>
      <c r="N1812" s="41"/>
      <c r="O1812" s="35"/>
      <c r="P1812" s="42"/>
    </row>
    <row r="1813">
      <c r="A1813" s="39"/>
      <c r="B1813" s="39"/>
      <c r="C1813" s="3"/>
      <c r="D1813" s="40"/>
      <c r="E1813" s="38"/>
      <c r="F1813" s="38"/>
      <c r="G1813" s="4"/>
      <c r="H1813" s="4"/>
      <c r="I1813" s="41"/>
      <c r="J1813" s="41"/>
      <c r="K1813" s="41"/>
      <c r="L1813" s="41"/>
      <c r="M1813" s="41"/>
      <c r="N1813" s="41"/>
      <c r="O1813" s="35"/>
      <c r="P1813" s="42"/>
    </row>
    <row r="1814">
      <c r="A1814" s="39"/>
      <c r="B1814" s="39"/>
      <c r="C1814" s="3"/>
      <c r="D1814" s="40"/>
      <c r="E1814" s="38"/>
      <c r="F1814" s="38"/>
      <c r="G1814" s="4"/>
      <c r="H1814" s="4"/>
      <c r="I1814" s="41"/>
      <c r="J1814" s="41"/>
      <c r="K1814" s="41"/>
      <c r="L1814" s="41"/>
      <c r="M1814" s="41"/>
      <c r="N1814" s="41"/>
      <c r="O1814" s="35"/>
      <c r="P1814" s="42"/>
    </row>
    <row r="1815">
      <c r="A1815" s="39"/>
      <c r="B1815" s="39"/>
      <c r="C1815" s="3"/>
      <c r="D1815" s="40"/>
      <c r="E1815" s="38"/>
      <c r="F1815" s="38"/>
      <c r="G1815" s="4"/>
      <c r="H1815" s="4"/>
      <c r="I1815" s="41"/>
      <c r="J1815" s="41"/>
      <c r="K1815" s="41"/>
      <c r="L1815" s="41"/>
      <c r="M1815" s="41"/>
      <c r="N1815" s="41"/>
      <c r="O1815" s="35"/>
      <c r="P1815" s="42"/>
    </row>
    <row r="1816">
      <c r="A1816" s="39"/>
      <c r="B1816" s="39"/>
      <c r="C1816" s="3"/>
      <c r="D1816" s="40"/>
      <c r="E1816" s="38"/>
      <c r="F1816" s="38"/>
      <c r="G1816" s="4"/>
      <c r="H1816" s="4"/>
      <c r="I1816" s="41"/>
      <c r="J1816" s="41"/>
      <c r="K1816" s="41"/>
      <c r="L1816" s="41"/>
      <c r="M1816" s="41"/>
      <c r="N1816" s="41"/>
      <c r="O1816" s="35"/>
      <c r="P1816" s="42"/>
    </row>
    <row r="1817">
      <c r="A1817" s="39"/>
      <c r="B1817" s="39"/>
      <c r="C1817" s="3"/>
      <c r="D1817" s="40"/>
      <c r="E1817" s="38"/>
      <c r="F1817" s="38"/>
      <c r="G1817" s="4"/>
      <c r="H1817" s="4"/>
      <c r="I1817" s="41"/>
      <c r="J1817" s="41"/>
      <c r="K1817" s="41"/>
      <c r="L1817" s="41"/>
      <c r="M1817" s="41"/>
      <c r="N1817" s="41"/>
      <c r="O1817" s="35"/>
      <c r="P1817" s="42"/>
    </row>
    <row r="1818">
      <c r="A1818" s="39"/>
      <c r="B1818" s="39"/>
      <c r="C1818" s="3"/>
      <c r="D1818" s="40"/>
      <c r="E1818" s="38"/>
      <c r="F1818" s="38"/>
      <c r="G1818" s="4"/>
      <c r="H1818" s="4"/>
      <c r="I1818" s="41"/>
      <c r="J1818" s="41"/>
      <c r="K1818" s="41"/>
      <c r="L1818" s="41"/>
      <c r="M1818" s="41"/>
      <c r="N1818" s="41"/>
      <c r="O1818" s="35"/>
      <c r="P1818" s="42"/>
    </row>
    <row r="1819">
      <c r="A1819" s="39"/>
      <c r="B1819" s="39"/>
      <c r="C1819" s="3"/>
      <c r="D1819" s="40"/>
      <c r="E1819" s="38"/>
      <c r="F1819" s="38"/>
      <c r="G1819" s="4"/>
      <c r="H1819" s="4"/>
      <c r="I1819" s="41"/>
      <c r="J1819" s="41"/>
      <c r="K1819" s="41"/>
      <c r="L1819" s="41"/>
      <c r="M1819" s="41"/>
      <c r="N1819" s="41"/>
      <c r="O1819" s="35"/>
      <c r="P1819" s="42"/>
    </row>
    <row r="1820">
      <c r="A1820" s="39"/>
      <c r="B1820" s="39"/>
      <c r="C1820" s="3"/>
      <c r="D1820" s="40"/>
      <c r="E1820" s="38"/>
      <c r="F1820" s="38"/>
      <c r="G1820" s="4"/>
      <c r="H1820" s="4"/>
      <c r="I1820" s="41"/>
      <c r="J1820" s="41"/>
      <c r="K1820" s="41"/>
      <c r="L1820" s="41"/>
      <c r="M1820" s="41"/>
      <c r="N1820" s="41"/>
      <c r="O1820" s="35"/>
      <c r="P1820" s="42"/>
    </row>
    <row r="1821">
      <c r="A1821" s="39"/>
      <c r="B1821" s="39"/>
      <c r="C1821" s="3"/>
      <c r="D1821" s="40"/>
      <c r="E1821" s="38"/>
      <c r="F1821" s="38"/>
      <c r="G1821" s="4"/>
      <c r="H1821" s="4"/>
      <c r="I1821" s="41"/>
      <c r="J1821" s="41"/>
      <c r="K1821" s="41"/>
      <c r="L1821" s="41"/>
      <c r="M1821" s="41"/>
      <c r="N1821" s="41"/>
      <c r="O1821" s="35"/>
      <c r="P1821" s="42"/>
    </row>
    <row r="1822">
      <c r="A1822" s="39"/>
      <c r="B1822" s="39"/>
      <c r="C1822" s="3"/>
      <c r="D1822" s="40"/>
      <c r="E1822" s="38"/>
      <c r="F1822" s="38"/>
      <c r="G1822" s="4"/>
      <c r="H1822" s="4"/>
      <c r="I1822" s="41"/>
      <c r="J1822" s="41"/>
      <c r="K1822" s="41"/>
      <c r="L1822" s="41"/>
      <c r="M1822" s="41"/>
      <c r="N1822" s="41"/>
      <c r="O1822" s="35"/>
      <c r="P1822" s="42"/>
    </row>
    <row r="1823">
      <c r="A1823" s="39"/>
      <c r="B1823" s="39"/>
      <c r="C1823" s="3"/>
      <c r="D1823" s="40"/>
      <c r="E1823" s="38"/>
      <c r="F1823" s="38"/>
      <c r="G1823" s="4"/>
      <c r="H1823" s="4"/>
      <c r="I1823" s="41"/>
      <c r="J1823" s="41"/>
      <c r="K1823" s="41"/>
      <c r="L1823" s="41"/>
      <c r="M1823" s="41"/>
      <c r="N1823" s="41"/>
      <c r="O1823" s="35"/>
      <c r="P1823" s="42"/>
    </row>
    <row r="1824">
      <c r="A1824" s="39"/>
      <c r="B1824" s="39"/>
      <c r="C1824" s="3"/>
      <c r="D1824" s="40"/>
      <c r="E1824" s="38"/>
      <c r="F1824" s="38"/>
      <c r="G1824" s="4"/>
      <c r="H1824" s="4"/>
      <c r="I1824" s="41"/>
      <c r="J1824" s="41"/>
      <c r="K1824" s="41"/>
      <c r="L1824" s="41"/>
      <c r="M1824" s="41"/>
      <c r="N1824" s="41"/>
      <c r="O1824" s="35"/>
      <c r="P1824" s="42"/>
    </row>
    <row r="1825">
      <c r="A1825" s="39"/>
      <c r="B1825" s="39"/>
      <c r="C1825" s="3"/>
      <c r="D1825" s="40"/>
      <c r="E1825" s="38"/>
      <c r="F1825" s="38"/>
      <c r="G1825" s="4"/>
      <c r="H1825" s="4"/>
      <c r="I1825" s="41"/>
      <c r="J1825" s="41"/>
      <c r="K1825" s="41"/>
      <c r="L1825" s="41"/>
      <c r="M1825" s="41"/>
      <c r="N1825" s="41"/>
      <c r="O1825" s="35"/>
      <c r="P1825" s="42"/>
    </row>
    <row r="1826">
      <c r="A1826" s="39"/>
      <c r="B1826" s="39"/>
      <c r="C1826" s="3"/>
      <c r="D1826" s="40"/>
      <c r="E1826" s="38"/>
      <c r="F1826" s="38"/>
      <c r="G1826" s="4"/>
      <c r="H1826" s="4"/>
      <c r="I1826" s="41"/>
      <c r="J1826" s="41"/>
      <c r="K1826" s="41"/>
      <c r="L1826" s="41"/>
      <c r="M1826" s="41"/>
      <c r="N1826" s="41"/>
      <c r="O1826" s="35"/>
      <c r="P1826" s="42"/>
    </row>
    <row r="1827">
      <c r="A1827" s="39"/>
      <c r="B1827" s="39"/>
      <c r="C1827" s="3"/>
      <c r="D1827" s="40"/>
      <c r="E1827" s="38"/>
      <c r="F1827" s="38"/>
      <c r="G1827" s="4"/>
      <c r="H1827" s="4"/>
      <c r="I1827" s="41"/>
      <c r="J1827" s="41"/>
      <c r="K1827" s="41"/>
      <c r="L1827" s="41"/>
      <c r="M1827" s="41"/>
      <c r="N1827" s="41"/>
      <c r="O1827" s="35"/>
      <c r="P1827" s="42"/>
    </row>
    <row r="1828">
      <c r="A1828" s="39"/>
      <c r="B1828" s="39"/>
      <c r="C1828" s="3"/>
      <c r="D1828" s="40"/>
      <c r="E1828" s="38"/>
      <c r="F1828" s="38"/>
      <c r="G1828" s="4"/>
      <c r="H1828" s="4"/>
      <c r="I1828" s="41"/>
      <c r="J1828" s="41"/>
      <c r="K1828" s="41"/>
      <c r="L1828" s="41"/>
      <c r="M1828" s="41"/>
      <c r="N1828" s="41"/>
      <c r="O1828" s="35"/>
      <c r="P1828" s="42"/>
    </row>
    <row r="1829">
      <c r="A1829" s="39"/>
      <c r="B1829" s="39"/>
      <c r="C1829" s="3"/>
      <c r="D1829" s="40"/>
      <c r="E1829" s="38"/>
      <c r="F1829" s="38"/>
      <c r="G1829" s="4"/>
      <c r="H1829" s="4"/>
      <c r="I1829" s="41"/>
      <c r="J1829" s="41"/>
      <c r="K1829" s="41"/>
      <c r="L1829" s="41"/>
      <c r="M1829" s="41"/>
      <c r="N1829" s="41"/>
      <c r="O1829" s="35"/>
      <c r="P1829" s="42"/>
    </row>
    <row r="1830">
      <c r="A1830" s="39"/>
      <c r="B1830" s="39"/>
      <c r="C1830" s="3"/>
      <c r="D1830" s="40"/>
      <c r="E1830" s="38"/>
      <c r="F1830" s="38"/>
      <c r="G1830" s="4"/>
      <c r="H1830" s="4"/>
      <c r="I1830" s="41"/>
      <c r="J1830" s="41"/>
      <c r="K1830" s="41"/>
      <c r="L1830" s="41"/>
      <c r="M1830" s="41"/>
      <c r="N1830" s="41"/>
      <c r="O1830" s="35"/>
      <c r="P1830" s="42"/>
    </row>
    <row r="1831">
      <c r="A1831" s="39"/>
      <c r="B1831" s="39"/>
      <c r="C1831" s="3"/>
      <c r="D1831" s="40"/>
      <c r="E1831" s="38"/>
      <c r="F1831" s="38"/>
      <c r="G1831" s="4"/>
      <c r="H1831" s="4"/>
      <c r="I1831" s="41"/>
      <c r="J1831" s="41"/>
      <c r="K1831" s="41"/>
      <c r="L1831" s="41"/>
      <c r="M1831" s="41"/>
      <c r="N1831" s="41"/>
      <c r="O1831" s="35"/>
      <c r="P1831" s="42"/>
    </row>
    <row r="1832">
      <c r="A1832" s="39"/>
      <c r="B1832" s="39"/>
      <c r="C1832" s="3"/>
      <c r="D1832" s="40"/>
      <c r="E1832" s="38"/>
      <c r="F1832" s="38"/>
      <c r="G1832" s="4"/>
      <c r="H1832" s="4"/>
      <c r="I1832" s="41"/>
      <c r="J1832" s="41"/>
      <c r="K1832" s="41"/>
      <c r="L1832" s="41"/>
      <c r="M1832" s="41"/>
      <c r="N1832" s="41"/>
      <c r="O1832" s="35"/>
      <c r="P1832" s="42"/>
    </row>
    <row r="1833">
      <c r="A1833" s="39"/>
      <c r="B1833" s="39"/>
      <c r="C1833" s="3"/>
      <c r="D1833" s="40"/>
      <c r="E1833" s="38"/>
      <c r="F1833" s="38"/>
      <c r="G1833" s="4"/>
      <c r="H1833" s="4"/>
      <c r="I1833" s="41"/>
      <c r="J1833" s="41"/>
      <c r="K1833" s="41"/>
      <c r="L1833" s="41"/>
      <c r="M1833" s="41"/>
      <c r="N1833" s="41"/>
      <c r="O1833" s="35"/>
      <c r="P1833" s="42"/>
    </row>
    <row r="1834">
      <c r="A1834" s="39"/>
      <c r="B1834" s="39"/>
      <c r="C1834" s="3"/>
      <c r="D1834" s="40"/>
      <c r="E1834" s="38"/>
      <c r="F1834" s="38"/>
      <c r="G1834" s="4"/>
      <c r="H1834" s="4"/>
      <c r="I1834" s="41"/>
      <c r="J1834" s="41"/>
      <c r="K1834" s="41"/>
      <c r="L1834" s="41"/>
      <c r="M1834" s="41"/>
      <c r="N1834" s="41"/>
      <c r="O1834" s="35"/>
      <c r="P1834" s="42"/>
    </row>
    <row r="1835">
      <c r="A1835" s="39"/>
      <c r="B1835" s="39"/>
      <c r="C1835" s="3"/>
      <c r="D1835" s="40"/>
      <c r="E1835" s="38"/>
      <c r="F1835" s="38"/>
      <c r="G1835" s="4"/>
      <c r="H1835" s="4"/>
      <c r="I1835" s="41"/>
      <c r="J1835" s="41"/>
      <c r="K1835" s="41"/>
      <c r="L1835" s="41"/>
      <c r="M1835" s="41"/>
      <c r="N1835" s="41"/>
      <c r="O1835" s="35"/>
      <c r="P1835" s="42"/>
    </row>
    <row r="1836">
      <c r="A1836" s="39"/>
      <c r="B1836" s="39"/>
      <c r="C1836" s="3"/>
      <c r="D1836" s="40"/>
      <c r="E1836" s="38"/>
      <c r="F1836" s="38"/>
      <c r="G1836" s="4"/>
      <c r="H1836" s="4"/>
      <c r="I1836" s="41"/>
      <c r="J1836" s="41"/>
      <c r="K1836" s="41"/>
      <c r="L1836" s="41"/>
      <c r="M1836" s="41"/>
      <c r="N1836" s="41"/>
      <c r="O1836" s="35"/>
      <c r="P1836" s="42"/>
    </row>
    <row r="1837">
      <c r="A1837" s="39"/>
      <c r="B1837" s="39"/>
      <c r="C1837" s="3"/>
      <c r="D1837" s="40"/>
      <c r="E1837" s="38"/>
      <c r="F1837" s="38"/>
      <c r="G1837" s="4"/>
      <c r="H1837" s="4"/>
      <c r="I1837" s="41"/>
      <c r="J1837" s="41"/>
      <c r="K1837" s="41"/>
      <c r="L1837" s="41"/>
      <c r="M1837" s="41"/>
      <c r="N1837" s="41"/>
      <c r="O1837" s="35"/>
      <c r="P1837" s="42"/>
    </row>
    <row r="1838">
      <c r="A1838" s="39"/>
      <c r="B1838" s="39"/>
      <c r="C1838" s="3"/>
      <c r="D1838" s="40"/>
      <c r="E1838" s="38"/>
      <c r="F1838" s="38"/>
      <c r="G1838" s="4"/>
      <c r="H1838" s="4"/>
      <c r="I1838" s="41"/>
      <c r="J1838" s="41"/>
      <c r="K1838" s="41"/>
      <c r="L1838" s="41"/>
      <c r="M1838" s="41"/>
      <c r="N1838" s="41"/>
      <c r="O1838" s="35"/>
      <c r="P1838" s="42"/>
    </row>
    <row r="1839">
      <c r="A1839" s="39"/>
      <c r="B1839" s="39"/>
      <c r="C1839" s="3"/>
      <c r="D1839" s="40"/>
      <c r="E1839" s="38"/>
      <c r="F1839" s="38"/>
      <c r="G1839" s="4"/>
      <c r="H1839" s="4"/>
      <c r="I1839" s="41"/>
      <c r="J1839" s="41"/>
      <c r="K1839" s="41"/>
      <c r="L1839" s="41"/>
      <c r="M1839" s="41"/>
      <c r="N1839" s="41"/>
      <c r="O1839" s="35"/>
      <c r="P1839" s="42"/>
    </row>
    <row r="1840">
      <c r="A1840" s="39"/>
      <c r="B1840" s="39"/>
      <c r="C1840" s="3"/>
      <c r="D1840" s="40"/>
      <c r="E1840" s="38"/>
      <c r="F1840" s="38"/>
      <c r="G1840" s="4"/>
      <c r="H1840" s="4"/>
      <c r="I1840" s="41"/>
      <c r="J1840" s="41"/>
      <c r="K1840" s="41"/>
      <c r="L1840" s="41"/>
      <c r="M1840" s="41"/>
      <c r="N1840" s="41"/>
      <c r="O1840" s="35"/>
      <c r="P1840" s="42"/>
    </row>
    <row r="1841">
      <c r="A1841" s="39"/>
      <c r="B1841" s="39"/>
      <c r="C1841" s="3"/>
      <c r="D1841" s="40"/>
      <c r="E1841" s="38"/>
      <c r="F1841" s="38"/>
      <c r="G1841" s="4"/>
      <c r="H1841" s="4"/>
      <c r="I1841" s="41"/>
      <c r="J1841" s="41"/>
      <c r="K1841" s="41"/>
      <c r="L1841" s="41"/>
      <c r="M1841" s="41"/>
      <c r="N1841" s="41"/>
      <c r="O1841" s="35"/>
      <c r="P1841" s="42"/>
    </row>
    <row r="1842">
      <c r="A1842" s="39"/>
      <c r="B1842" s="39"/>
      <c r="C1842" s="3"/>
      <c r="D1842" s="40"/>
      <c r="E1842" s="38"/>
      <c r="F1842" s="38"/>
      <c r="G1842" s="4"/>
      <c r="H1842" s="4"/>
      <c r="I1842" s="41"/>
      <c r="J1842" s="41"/>
      <c r="K1842" s="41"/>
      <c r="L1842" s="41"/>
      <c r="M1842" s="41"/>
      <c r="N1842" s="41"/>
      <c r="O1842" s="35"/>
      <c r="P1842" s="42"/>
    </row>
    <row r="1843">
      <c r="A1843" s="39"/>
      <c r="B1843" s="39"/>
      <c r="C1843" s="3"/>
      <c r="D1843" s="40"/>
      <c r="E1843" s="38"/>
      <c r="F1843" s="38"/>
      <c r="G1843" s="4"/>
      <c r="H1843" s="4"/>
      <c r="I1843" s="41"/>
      <c r="J1843" s="41"/>
      <c r="K1843" s="41"/>
      <c r="L1843" s="41"/>
      <c r="M1843" s="41"/>
      <c r="N1843" s="41"/>
      <c r="O1843" s="35"/>
      <c r="P1843" s="42"/>
    </row>
    <row r="1844">
      <c r="A1844" s="39"/>
      <c r="B1844" s="39"/>
      <c r="C1844" s="3"/>
      <c r="D1844" s="40"/>
      <c r="E1844" s="38"/>
      <c r="F1844" s="38"/>
      <c r="G1844" s="4"/>
      <c r="H1844" s="4"/>
      <c r="I1844" s="41"/>
      <c r="J1844" s="41"/>
      <c r="K1844" s="41"/>
      <c r="L1844" s="41"/>
      <c r="M1844" s="41"/>
      <c r="N1844" s="41"/>
      <c r="O1844" s="35"/>
      <c r="P1844" s="42"/>
    </row>
    <row r="1845">
      <c r="A1845" s="39"/>
      <c r="B1845" s="39"/>
      <c r="C1845" s="3"/>
      <c r="D1845" s="40"/>
      <c r="E1845" s="38"/>
      <c r="F1845" s="38"/>
      <c r="G1845" s="4"/>
      <c r="H1845" s="4"/>
      <c r="I1845" s="41"/>
      <c r="J1845" s="41"/>
      <c r="K1845" s="41"/>
      <c r="L1845" s="41"/>
      <c r="M1845" s="41"/>
      <c r="N1845" s="41"/>
      <c r="O1845" s="35"/>
      <c r="P1845" s="42"/>
    </row>
    <row r="1846">
      <c r="A1846" s="39"/>
      <c r="B1846" s="39"/>
      <c r="C1846" s="3"/>
      <c r="D1846" s="40"/>
      <c r="E1846" s="38"/>
      <c r="F1846" s="38"/>
      <c r="G1846" s="4"/>
      <c r="H1846" s="4"/>
      <c r="I1846" s="41"/>
      <c r="J1846" s="41"/>
      <c r="K1846" s="41"/>
      <c r="L1846" s="41"/>
      <c r="M1846" s="41"/>
      <c r="N1846" s="41"/>
      <c r="O1846" s="35"/>
      <c r="P1846" s="42"/>
    </row>
    <row r="1847">
      <c r="A1847" s="39"/>
      <c r="B1847" s="39"/>
      <c r="C1847" s="3"/>
      <c r="D1847" s="40"/>
      <c r="E1847" s="38"/>
      <c r="F1847" s="38"/>
      <c r="G1847" s="4"/>
      <c r="H1847" s="4"/>
      <c r="I1847" s="41"/>
      <c r="J1847" s="41"/>
      <c r="K1847" s="41"/>
      <c r="L1847" s="41"/>
      <c r="M1847" s="41"/>
      <c r="N1847" s="41"/>
      <c r="O1847" s="35"/>
      <c r="P1847" s="42"/>
    </row>
    <row r="1848">
      <c r="A1848" s="39"/>
      <c r="B1848" s="39"/>
      <c r="C1848" s="3"/>
      <c r="D1848" s="40"/>
      <c r="E1848" s="38"/>
      <c r="F1848" s="38"/>
      <c r="G1848" s="4"/>
      <c r="H1848" s="4"/>
      <c r="I1848" s="41"/>
      <c r="J1848" s="41"/>
      <c r="K1848" s="41"/>
      <c r="L1848" s="41"/>
      <c r="M1848" s="41"/>
      <c r="N1848" s="41"/>
      <c r="O1848" s="35"/>
      <c r="P1848" s="42"/>
    </row>
    <row r="1849">
      <c r="A1849" s="39"/>
      <c r="B1849" s="39"/>
      <c r="C1849" s="3"/>
      <c r="D1849" s="40"/>
      <c r="E1849" s="38"/>
      <c r="F1849" s="38"/>
      <c r="G1849" s="4"/>
      <c r="H1849" s="4"/>
      <c r="I1849" s="41"/>
      <c r="J1849" s="41"/>
      <c r="K1849" s="41"/>
      <c r="L1849" s="41"/>
      <c r="M1849" s="41"/>
      <c r="N1849" s="41"/>
      <c r="O1849" s="35"/>
      <c r="P1849" s="42"/>
    </row>
    <row r="1850">
      <c r="A1850" s="39"/>
      <c r="B1850" s="39"/>
      <c r="C1850" s="3"/>
      <c r="D1850" s="40"/>
      <c r="E1850" s="38"/>
      <c r="F1850" s="38"/>
      <c r="G1850" s="4"/>
      <c r="H1850" s="4"/>
      <c r="I1850" s="41"/>
      <c r="J1850" s="41"/>
      <c r="K1850" s="41"/>
      <c r="L1850" s="41"/>
      <c r="M1850" s="41"/>
      <c r="N1850" s="41"/>
      <c r="O1850" s="35"/>
      <c r="P1850" s="42"/>
    </row>
    <row r="1851">
      <c r="A1851" s="39"/>
      <c r="B1851" s="39"/>
      <c r="C1851" s="3"/>
      <c r="D1851" s="40"/>
      <c r="E1851" s="38"/>
      <c r="F1851" s="38"/>
      <c r="G1851" s="4"/>
      <c r="H1851" s="4"/>
      <c r="I1851" s="41"/>
      <c r="J1851" s="41"/>
      <c r="K1851" s="41"/>
      <c r="L1851" s="41"/>
      <c r="M1851" s="41"/>
      <c r="N1851" s="41"/>
      <c r="O1851" s="35"/>
      <c r="P1851" s="42"/>
    </row>
    <row r="1852">
      <c r="A1852" s="39"/>
      <c r="B1852" s="39"/>
      <c r="C1852" s="3"/>
      <c r="D1852" s="40"/>
      <c r="E1852" s="38"/>
      <c r="F1852" s="38"/>
      <c r="G1852" s="4"/>
      <c r="H1852" s="4"/>
      <c r="I1852" s="41"/>
      <c r="J1852" s="41"/>
      <c r="K1852" s="41"/>
      <c r="L1852" s="41"/>
      <c r="M1852" s="41"/>
      <c r="N1852" s="41"/>
      <c r="O1852" s="35"/>
      <c r="P1852" s="42"/>
    </row>
    <row r="1853">
      <c r="A1853" s="39"/>
      <c r="B1853" s="39"/>
      <c r="C1853" s="3"/>
      <c r="D1853" s="40"/>
      <c r="E1853" s="38"/>
      <c r="F1853" s="38"/>
      <c r="G1853" s="4"/>
      <c r="H1853" s="4"/>
      <c r="I1853" s="41"/>
      <c r="J1853" s="41"/>
      <c r="K1853" s="41"/>
      <c r="L1853" s="41"/>
      <c r="M1853" s="41"/>
      <c r="N1853" s="41"/>
      <c r="O1853" s="35"/>
      <c r="P1853" s="42"/>
    </row>
    <row r="1854">
      <c r="A1854" s="39"/>
      <c r="B1854" s="39"/>
      <c r="C1854" s="3"/>
      <c r="D1854" s="40"/>
      <c r="E1854" s="38"/>
      <c r="F1854" s="38"/>
      <c r="G1854" s="4"/>
      <c r="H1854" s="4"/>
      <c r="I1854" s="41"/>
      <c r="J1854" s="41"/>
      <c r="K1854" s="41"/>
      <c r="L1854" s="41"/>
      <c r="M1854" s="41"/>
      <c r="N1854" s="41"/>
      <c r="O1854" s="35"/>
      <c r="P1854" s="42"/>
    </row>
    <row r="1855">
      <c r="A1855" s="39"/>
      <c r="B1855" s="39"/>
      <c r="C1855" s="3"/>
      <c r="D1855" s="40"/>
      <c r="E1855" s="38"/>
      <c r="F1855" s="38"/>
      <c r="G1855" s="4"/>
      <c r="H1855" s="4"/>
      <c r="I1855" s="41"/>
      <c r="J1855" s="41"/>
      <c r="K1855" s="41"/>
      <c r="L1855" s="41"/>
      <c r="M1855" s="41"/>
      <c r="N1855" s="41"/>
      <c r="O1855" s="35"/>
      <c r="P1855" s="42"/>
    </row>
    <row r="1856">
      <c r="A1856" s="39"/>
      <c r="B1856" s="39"/>
      <c r="C1856" s="3"/>
      <c r="D1856" s="40"/>
      <c r="E1856" s="38"/>
      <c r="F1856" s="38"/>
      <c r="G1856" s="4"/>
      <c r="H1856" s="4"/>
      <c r="I1856" s="41"/>
      <c r="J1856" s="41"/>
      <c r="K1856" s="41"/>
      <c r="L1856" s="41"/>
      <c r="M1856" s="41"/>
      <c r="N1856" s="41"/>
      <c r="O1856" s="35"/>
      <c r="P1856" s="42"/>
    </row>
    <row r="1857">
      <c r="A1857" s="39"/>
      <c r="B1857" s="39"/>
      <c r="C1857" s="3"/>
      <c r="D1857" s="40"/>
      <c r="E1857" s="38"/>
      <c r="F1857" s="38"/>
      <c r="G1857" s="4"/>
      <c r="H1857" s="4"/>
      <c r="I1857" s="41"/>
      <c r="J1857" s="41"/>
      <c r="K1857" s="41"/>
      <c r="L1857" s="41"/>
      <c r="M1857" s="41"/>
      <c r="N1857" s="41"/>
      <c r="O1857" s="35"/>
      <c r="P1857" s="42"/>
    </row>
    <row r="1858">
      <c r="A1858" s="39"/>
      <c r="B1858" s="39"/>
      <c r="C1858" s="3"/>
      <c r="D1858" s="40"/>
      <c r="E1858" s="38"/>
      <c r="F1858" s="38"/>
      <c r="G1858" s="4"/>
      <c r="H1858" s="4"/>
      <c r="I1858" s="41"/>
      <c r="J1858" s="41"/>
      <c r="K1858" s="41"/>
      <c r="L1858" s="41"/>
      <c r="M1858" s="41"/>
      <c r="N1858" s="41"/>
      <c r="O1858" s="35"/>
      <c r="P1858" s="42"/>
    </row>
    <row r="1859">
      <c r="A1859" s="39"/>
      <c r="B1859" s="39"/>
      <c r="C1859" s="3"/>
      <c r="D1859" s="40"/>
      <c r="E1859" s="38"/>
      <c r="F1859" s="38"/>
      <c r="G1859" s="4"/>
      <c r="H1859" s="4"/>
      <c r="I1859" s="41"/>
      <c r="J1859" s="41"/>
      <c r="K1859" s="41"/>
      <c r="L1859" s="41"/>
      <c r="M1859" s="41"/>
      <c r="N1859" s="41"/>
      <c r="O1859" s="35"/>
      <c r="P1859" s="42"/>
    </row>
    <row r="1860">
      <c r="A1860" s="39"/>
      <c r="B1860" s="39"/>
      <c r="C1860" s="3"/>
      <c r="D1860" s="40"/>
      <c r="E1860" s="38"/>
      <c r="F1860" s="38"/>
      <c r="G1860" s="4"/>
      <c r="H1860" s="4"/>
      <c r="I1860" s="41"/>
      <c r="J1860" s="41"/>
      <c r="K1860" s="41"/>
      <c r="L1860" s="41"/>
      <c r="M1860" s="41"/>
      <c r="N1860" s="41"/>
      <c r="O1860" s="35"/>
      <c r="P1860" s="42"/>
    </row>
    <row r="1861">
      <c r="A1861" s="39"/>
      <c r="B1861" s="39"/>
      <c r="C1861" s="3"/>
      <c r="D1861" s="40"/>
      <c r="E1861" s="38"/>
      <c r="F1861" s="38"/>
      <c r="G1861" s="4"/>
      <c r="H1861" s="4"/>
      <c r="I1861" s="41"/>
      <c r="J1861" s="41"/>
      <c r="K1861" s="41"/>
      <c r="L1861" s="41"/>
      <c r="M1861" s="41"/>
      <c r="N1861" s="41"/>
      <c r="O1861" s="35"/>
      <c r="P1861" s="42"/>
    </row>
    <row r="1862">
      <c r="A1862" s="39"/>
      <c r="B1862" s="39"/>
      <c r="C1862" s="3"/>
      <c r="D1862" s="40"/>
      <c r="E1862" s="38"/>
      <c r="F1862" s="38"/>
      <c r="G1862" s="4"/>
      <c r="H1862" s="4"/>
      <c r="I1862" s="41"/>
      <c r="J1862" s="41"/>
      <c r="K1862" s="41"/>
      <c r="L1862" s="41"/>
      <c r="M1862" s="41"/>
      <c r="N1862" s="41"/>
      <c r="O1862" s="35"/>
      <c r="P1862" s="42"/>
    </row>
    <row r="1863">
      <c r="A1863" s="39"/>
      <c r="B1863" s="39"/>
      <c r="C1863" s="3"/>
      <c r="D1863" s="40"/>
      <c r="E1863" s="38"/>
      <c r="F1863" s="38"/>
      <c r="G1863" s="4"/>
      <c r="H1863" s="4"/>
      <c r="I1863" s="41"/>
      <c r="J1863" s="41"/>
      <c r="K1863" s="41"/>
      <c r="L1863" s="41"/>
      <c r="M1863" s="41"/>
      <c r="N1863" s="41"/>
      <c r="O1863" s="35"/>
      <c r="P1863" s="42"/>
    </row>
    <row r="1864">
      <c r="A1864" s="39"/>
      <c r="B1864" s="39"/>
      <c r="C1864" s="3"/>
      <c r="D1864" s="40"/>
      <c r="E1864" s="38"/>
      <c r="F1864" s="38"/>
      <c r="G1864" s="4"/>
      <c r="H1864" s="4"/>
      <c r="I1864" s="41"/>
      <c r="J1864" s="41"/>
      <c r="K1864" s="41"/>
      <c r="L1864" s="41"/>
      <c r="M1864" s="41"/>
      <c r="N1864" s="41"/>
      <c r="O1864" s="35"/>
      <c r="P1864" s="42"/>
    </row>
    <row r="1865">
      <c r="A1865" s="39"/>
      <c r="B1865" s="39"/>
      <c r="C1865" s="3"/>
      <c r="D1865" s="40"/>
      <c r="E1865" s="38"/>
      <c r="F1865" s="38"/>
      <c r="G1865" s="4"/>
      <c r="H1865" s="4"/>
      <c r="I1865" s="41"/>
      <c r="J1865" s="41"/>
      <c r="K1865" s="41"/>
      <c r="L1865" s="41"/>
      <c r="M1865" s="41"/>
      <c r="N1865" s="41"/>
      <c r="O1865" s="35"/>
      <c r="P1865" s="42"/>
    </row>
    <row r="1866">
      <c r="A1866" s="39"/>
      <c r="B1866" s="39"/>
      <c r="C1866" s="3"/>
      <c r="D1866" s="40"/>
      <c r="E1866" s="38"/>
      <c r="F1866" s="38"/>
      <c r="G1866" s="4"/>
      <c r="H1866" s="4"/>
      <c r="I1866" s="41"/>
      <c r="J1866" s="41"/>
      <c r="K1866" s="41"/>
      <c r="L1866" s="41"/>
      <c r="M1866" s="41"/>
      <c r="N1866" s="41"/>
      <c r="O1866" s="35"/>
      <c r="P1866" s="42"/>
    </row>
    <row r="1867">
      <c r="A1867" s="39"/>
      <c r="B1867" s="39"/>
      <c r="C1867" s="3"/>
      <c r="D1867" s="40"/>
      <c r="E1867" s="38"/>
      <c r="F1867" s="38"/>
      <c r="G1867" s="4"/>
      <c r="H1867" s="4"/>
      <c r="I1867" s="41"/>
      <c r="J1867" s="41"/>
      <c r="K1867" s="41"/>
      <c r="L1867" s="41"/>
      <c r="M1867" s="41"/>
      <c r="N1867" s="41"/>
      <c r="O1867" s="35"/>
      <c r="P1867" s="42"/>
    </row>
    <row r="1868">
      <c r="A1868" s="39"/>
      <c r="B1868" s="39"/>
      <c r="C1868" s="3"/>
      <c r="D1868" s="40"/>
      <c r="E1868" s="38"/>
      <c r="F1868" s="38"/>
      <c r="G1868" s="4"/>
      <c r="H1868" s="4"/>
      <c r="I1868" s="41"/>
      <c r="J1868" s="41"/>
      <c r="K1868" s="41"/>
      <c r="L1868" s="41"/>
      <c r="M1868" s="41"/>
      <c r="N1868" s="41"/>
      <c r="O1868" s="35"/>
      <c r="P1868" s="42"/>
    </row>
    <row r="1869">
      <c r="A1869" s="39"/>
      <c r="B1869" s="39"/>
      <c r="C1869" s="3"/>
      <c r="D1869" s="40"/>
      <c r="E1869" s="38"/>
      <c r="F1869" s="38"/>
      <c r="G1869" s="4"/>
      <c r="H1869" s="4"/>
      <c r="I1869" s="41"/>
      <c r="J1869" s="41"/>
      <c r="K1869" s="41"/>
      <c r="L1869" s="41"/>
      <c r="M1869" s="41"/>
      <c r="N1869" s="41"/>
      <c r="O1869" s="35"/>
      <c r="P1869" s="42"/>
    </row>
    <row r="1870">
      <c r="A1870" s="39"/>
      <c r="B1870" s="39"/>
      <c r="C1870" s="3"/>
      <c r="D1870" s="40"/>
      <c r="E1870" s="38"/>
      <c r="F1870" s="38"/>
      <c r="G1870" s="4"/>
      <c r="H1870" s="4"/>
      <c r="I1870" s="41"/>
      <c r="J1870" s="41"/>
      <c r="K1870" s="41"/>
      <c r="L1870" s="41"/>
      <c r="M1870" s="41"/>
      <c r="N1870" s="41"/>
      <c r="O1870" s="35"/>
      <c r="P1870" s="42"/>
    </row>
    <row r="1871">
      <c r="A1871" s="39"/>
      <c r="B1871" s="39"/>
      <c r="C1871" s="3"/>
      <c r="D1871" s="40"/>
      <c r="E1871" s="38"/>
      <c r="F1871" s="38"/>
      <c r="G1871" s="4"/>
      <c r="H1871" s="4"/>
      <c r="I1871" s="41"/>
      <c r="J1871" s="41"/>
      <c r="K1871" s="41"/>
      <c r="L1871" s="41"/>
      <c r="M1871" s="41"/>
      <c r="N1871" s="41"/>
      <c r="O1871" s="35"/>
      <c r="P1871" s="42"/>
    </row>
    <row r="1872">
      <c r="A1872" s="39"/>
      <c r="B1872" s="39"/>
      <c r="C1872" s="3"/>
      <c r="D1872" s="40"/>
      <c r="E1872" s="38"/>
      <c r="F1872" s="38"/>
      <c r="G1872" s="4"/>
      <c r="H1872" s="4"/>
      <c r="I1872" s="41"/>
      <c r="J1872" s="41"/>
      <c r="K1872" s="41"/>
      <c r="L1872" s="41"/>
      <c r="M1872" s="41"/>
      <c r="N1872" s="41"/>
      <c r="O1872" s="35"/>
      <c r="P1872" s="42"/>
    </row>
    <row r="1873">
      <c r="A1873" s="39"/>
      <c r="B1873" s="39"/>
      <c r="C1873" s="3"/>
      <c r="D1873" s="40"/>
      <c r="E1873" s="38"/>
      <c r="F1873" s="38"/>
      <c r="G1873" s="4"/>
      <c r="H1873" s="4"/>
      <c r="I1873" s="41"/>
      <c r="J1873" s="41"/>
      <c r="K1873" s="41"/>
      <c r="L1873" s="41"/>
      <c r="M1873" s="41"/>
      <c r="N1873" s="41"/>
      <c r="O1873" s="35"/>
      <c r="P1873" s="42"/>
    </row>
    <row r="1874">
      <c r="A1874" s="39"/>
      <c r="B1874" s="39"/>
      <c r="C1874" s="3"/>
      <c r="D1874" s="40"/>
      <c r="E1874" s="38"/>
      <c r="F1874" s="38"/>
      <c r="G1874" s="4"/>
      <c r="H1874" s="4"/>
      <c r="I1874" s="41"/>
      <c r="J1874" s="41"/>
      <c r="K1874" s="41"/>
      <c r="L1874" s="41"/>
      <c r="M1874" s="41"/>
      <c r="N1874" s="41"/>
      <c r="O1874" s="35"/>
      <c r="P1874" s="42"/>
    </row>
    <row r="1875">
      <c r="A1875" s="39"/>
      <c r="B1875" s="39"/>
      <c r="C1875" s="3"/>
      <c r="D1875" s="40"/>
      <c r="E1875" s="38"/>
      <c r="F1875" s="38"/>
      <c r="G1875" s="4"/>
      <c r="H1875" s="4"/>
      <c r="I1875" s="41"/>
      <c r="J1875" s="41"/>
      <c r="K1875" s="41"/>
      <c r="L1875" s="41"/>
      <c r="M1875" s="41"/>
      <c r="N1875" s="41"/>
      <c r="O1875" s="35"/>
      <c r="P1875" s="42"/>
    </row>
    <row r="1876">
      <c r="A1876" s="39"/>
      <c r="B1876" s="39"/>
      <c r="C1876" s="3"/>
      <c r="D1876" s="40"/>
      <c r="E1876" s="38"/>
      <c r="F1876" s="38"/>
      <c r="G1876" s="4"/>
      <c r="H1876" s="4"/>
      <c r="I1876" s="41"/>
      <c r="J1876" s="41"/>
      <c r="K1876" s="41"/>
      <c r="L1876" s="41"/>
      <c r="M1876" s="41"/>
      <c r="N1876" s="41"/>
      <c r="O1876" s="35"/>
      <c r="P1876" s="42"/>
    </row>
    <row r="1877">
      <c r="A1877" s="39"/>
      <c r="B1877" s="39"/>
      <c r="C1877" s="3"/>
      <c r="D1877" s="40"/>
      <c r="E1877" s="38"/>
      <c r="F1877" s="38"/>
      <c r="G1877" s="4"/>
      <c r="H1877" s="4"/>
      <c r="I1877" s="41"/>
      <c r="J1877" s="41"/>
      <c r="K1877" s="41"/>
      <c r="L1877" s="41"/>
      <c r="M1877" s="41"/>
      <c r="N1877" s="41"/>
      <c r="O1877" s="35"/>
      <c r="P1877" s="42"/>
    </row>
    <row r="1878">
      <c r="A1878" s="39"/>
      <c r="B1878" s="39"/>
      <c r="C1878" s="3"/>
      <c r="D1878" s="40"/>
      <c r="E1878" s="38"/>
      <c r="F1878" s="38"/>
      <c r="G1878" s="4"/>
      <c r="H1878" s="4"/>
      <c r="I1878" s="41"/>
      <c r="J1878" s="41"/>
      <c r="K1878" s="41"/>
      <c r="L1878" s="41"/>
      <c r="M1878" s="41"/>
      <c r="N1878" s="41"/>
      <c r="O1878" s="35"/>
      <c r="P1878" s="42"/>
    </row>
    <row r="1879">
      <c r="A1879" s="39"/>
      <c r="B1879" s="39"/>
      <c r="C1879" s="3"/>
      <c r="D1879" s="40"/>
      <c r="E1879" s="38"/>
      <c r="F1879" s="38"/>
      <c r="G1879" s="4"/>
      <c r="H1879" s="4"/>
      <c r="I1879" s="41"/>
      <c r="J1879" s="41"/>
      <c r="K1879" s="41"/>
      <c r="L1879" s="41"/>
      <c r="M1879" s="41"/>
      <c r="N1879" s="41"/>
      <c r="O1879" s="35"/>
      <c r="P1879" s="42"/>
    </row>
  </sheetData>
  <conditionalFormatting sqref="O2:O1879 P796:P1879">
    <cfRule type="notContainsBlanks" dxfId="0" priority="1">
      <formula>LEN(TRIM(O2))&gt;0</formula>
    </cfRule>
  </conditionalFormatting>
  <hyperlinks>
    <hyperlink r:id="rId2" ref="C2"/>
    <hyperlink r:id="rId3" ref="C3"/>
    <hyperlink r:id="rId4" ref="C4"/>
    <hyperlink r:id="rId5" ref="C5"/>
    <hyperlink r:id="rId6" ref="C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C16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5"/>
    <hyperlink r:id="rId26" ref="C26"/>
    <hyperlink r:id="rId27" ref="C27"/>
    <hyperlink r:id="rId28" ref="C28"/>
    <hyperlink r:id="rId29" ref="C29"/>
    <hyperlink r:id="rId30" ref="C30"/>
    <hyperlink r:id="rId31" ref="C31"/>
    <hyperlink r:id="rId32" ref="C32"/>
    <hyperlink r:id="rId33" ref="C33"/>
    <hyperlink r:id="rId34" ref="C34"/>
    <hyperlink r:id="rId35" ref="C35"/>
    <hyperlink r:id="rId36" ref="C36"/>
    <hyperlink r:id="rId37" ref="C37"/>
    <hyperlink r:id="rId38" ref="C38"/>
    <hyperlink r:id="rId39" ref="C39"/>
    <hyperlink r:id="rId40" ref="C40"/>
    <hyperlink r:id="rId41" ref="C41"/>
    <hyperlink r:id="rId42" ref="C42"/>
    <hyperlink r:id="rId43" ref="C43"/>
    <hyperlink r:id="rId44" ref="C44"/>
    <hyperlink r:id="rId45" ref="C45"/>
    <hyperlink r:id="rId46" ref="C46"/>
    <hyperlink r:id="rId47" ref="C47"/>
    <hyperlink r:id="rId48" ref="C48"/>
    <hyperlink r:id="rId49" ref="C49"/>
    <hyperlink r:id="rId50" ref="C50"/>
    <hyperlink r:id="rId51" ref="C51"/>
    <hyperlink r:id="rId52" ref="C52"/>
    <hyperlink r:id="rId53" ref="C53"/>
    <hyperlink r:id="rId54" ref="C54"/>
    <hyperlink r:id="rId55" ref="C55"/>
    <hyperlink r:id="rId56" ref="C56"/>
    <hyperlink r:id="rId57" ref="C57"/>
    <hyperlink r:id="rId58" ref="C58"/>
    <hyperlink r:id="rId59" ref="C59"/>
    <hyperlink r:id="rId60" ref="C60"/>
    <hyperlink r:id="rId61" ref="C61"/>
    <hyperlink r:id="rId62" ref="C62"/>
    <hyperlink r:id="rId63" ref="C63"/>
    <hyperlink r:id="rId64" ref="C64"/>
    <hyperlink r:id="rId65" ref="C65"/>
    <hyperlink r:id="rId66" ref="C66"/>
    <hyperlink r:id="rId67" ref="C67"/>
    <hyperlink r:id="rId68" ref="C68"/>
    <hyperlink r:id="rId69" ref="C69"/>
    <hyperlink r:id="rId70" ref="C70"/>
    <hyperlink r:id="rId71" ref="C71"/>
    <hyperlink r:id="rId72" ref="C72"/>
    <hyperlink r:id="rId73" ref="C73"/>
    <hyperlink r:id="rId74" ref="C74"/>
    <hyperlink r:id="rId75" ref="C75"/>
    <hyperlink r:id="rId76" ref="C76"/>
    <hyperlink r:id="rId77" ref="C77"/>
    <hyperlink r:id="rId78" ref="C78"/>
    <hyperlink r:id="rId79" ref="C79"/>
    <hyperlink r:id="rId80" ref="C80"/>
    <hyperlink r:id="rId81" ref="C81"/>
    <hyperlink r:id="rId82" ref="C82"/>
    <hyperlink r:id="rId83" ref="C83"/>
    <hyperlink r:id="rId84" ref="C84"/>
    <hyperlink r:id="rId85" ref="C85"/>
    <hyperlink r:id="rId86" ref="C86"/>
    <hyperlink r:id="rId87" ref="C87"/>
    <hyperlink r:id="rId88" ref="C88"/>
    <hyperlink r:id="rId89" ref="C89"/>
    <hyperlink r:id="rId90" ref="C90"/>
    <hyperlink r:id="rId91" ref="C91"/>
    <hyperlink r:id="rId92" ref="C92"/>
    <hyperlink r:id="rId93" ref="C93"/>
    <hyperlink r:id="rId94" ref="C94"/>
    <hyperlink r:id="rId95" ref="C95"/>
    <hyperlink r:id="rId96" ref="C96"/>
    <hyperlink r:id="rId97" ref="C97"/>
    <hyperlink r:id="rId98" ref="C98"/>
    <hyperlink r:id="rId99" ref="C99"/>
    <hyperlink r:id="rId100" ref="C100"/>
    <hyperlink r:id="rId101" ref="C101"/>
    <hyperlink r:id="rId102" ref="C102"/>
    <hyperlink r:id="rId103" ref="C103"/>
    <hyperlink r:id="rId104" ref="C104"/>
    <hyperlink r:id="rId105" ref="C105"/>
    <hyperlink r:id="rId106" ref="C106"/>
    <hyperlink r:id="rId107" ref="C107"/>
    <hyperlink r:id="rId108" ref="C108"/>
    <hyperlink r:id="rId109" ref="C109"/>
    <hyperlink r:id="rId110" ref="C110"/>
    <hyperlink r:id="rId111" ref="C111"/>
    <hyperlink r:id="rId112" ref="C112"/>
    <hyperlink r:id="rId113" ref="C113"/>
    <hyperlink r:id="rId114" ref="C114"/>
    <hyperlink r:id="rId115" ref="C115"/>
    <hyperlink r:id="rId116" ref="C116"/>
    <hyperlink r:id="rId117" ref="C117"/>
    <hyperlink r:id="rId118" ref="C118"/>
    <hyperlink r:id="rId119" ref="C119"/>
    <hyperlink r:id="rId120" ref="C120"/>
    <hyperlink r:id="rId121" ref="C121"/>
    <hyperlink r:id="rId122" ref="C122"/>
    <hyperlink r:id="rId123" ref="C123"/>
    <hyperlink r:id="rId124" ref="C124"/>
    <hyperlink r:id="rId125" ref="C125"/>
    <hyperlink r:id="rId126" ref="C126"/>
    <hyperlink r:id="rId127" ref="C127"/>
    <hyperlink r:id="rId128" ref="C128"/>
    <hyperlink r:id="rId129" ref="C129"/>
    <hyperlink r:id="rId130" ref="C130"/>
    <hyperlink r:id="rId131" ref="C131"/>
    <hyperlink r:id="rId132" ref="C132"/>
    <hyperlink r:id="rId133" ref="C133"/>
    <hyperlink r:id="rId134" ref="C134"/>
    <hyperlink r:id="rId135" ref="C135"/>
    <hyperlink r:id="rId136" ref="C136"/>
    <hyperlink r:id="rId137" ref="C137"/>
    <hyperlink r:id="rId138" ref="C138"/>
    <hyperlink r:id="rId139" ref="C139"/>
    <hyperlink r:id="rId140" ref="C140"/>
    <hyperlink r:id="rId141" ref="C141"/>
    <hyperlink r:id="rId142" ref="C142"/>
    <hyperlink r:id="rId143" ref="C143"/>
    <hyperlink r:id="rId144" ref="C144"/>
    <hyperlink r:id="rId145" ref="C145"/>
    <hyperlink r:id="rId146" ref="C146"/>
    <hyperlink r:id="rId147" ref="C147"/>
    <hyperlink r:id="rId148" ref="C148"/>
    <hyperlink r:id="rId149" ref="C149"/>
    <hyperlink r:id="rId150" ref="C150"/>
    <hyperlink r:id="rId151" ref="C151"/>
    <hyperlink r:id="rId152" ref="C152"/>
    <hyperlink r:id="rId153" ref="C153"/>
    <hyperlink r:id="rId154" ref="C154"/>
    <hyperlink r:id="rId155" ref="C155"/>
    <hyperlink r:id="rId156" ref="C156"/>
    <hyperlink r:id="rId157" ref="C157"/>
    <hyperlink r:id="rId158" ref="C158"/>
    <hyperlink r:id="rId159" ref="C159"/>
    <hyperlink r:id="rId160" ref="C160"/>
    <hyperlink r:id="rId161" ref="C161"/>
    <hyperlink r:id="rId162" ref="C162"/>
    <hyperlink r:id="rId163" ref="C163"/>
    <hyperlink r:id="rId164" ref="C164"/>
    <hyperlink r:id="rId165" ref="C165"/>
    <hyperlink r:id="rId166" ref="C166"/>
    <hyperlink r:id="rId167" ref="C167"/>
    <hyperlink r:id="rId168" ref="C168"/>
    <hyperlink r:id="rId169" ref="C169"/>
    <hyperlink r:id="rId170" ref="C170"/>
    <hyperlink r:id="rId171" ref="C171"/>
    <hyperlink r:id="rId172" ref="C172"/>
    <hyperlink r:id="rId173" ref="C173"/>
    <hyperlink r:id="rId174" ref="C174"/>
    <hyperlink r:id="rId175" ref="C175"/>
    <hyperlink r:id="rId176" ref="C176"/>
    <hyperlink r:id="rId177" ref="C177"/>
    <hyperlink r:id="rId178" ref="C178"/>
    <hyperlink r:id="rId179" ref="C179"/>
    <hyperlink r:id="rId180" ref="C180"/>
    <hyperlink r:id="rId181" ref="C181"/>
    <hyperlink r:id="rId182" ref="C182"/>
    <hyperlink r:id="rId183" ref="C183"/>
    <hyperlink r:id="rId184" ref="C184"/>
    <hyperlink r:id="rId185" ref="C185"/>
    <hyperlink r:id="rId186" ref="C186"/>
    <hyperlink r:id="rId187" ref="C187"/>
    <hyperlink r:id="rId188" ref="C188"/>
    <hyperlink r:id="rId189" ref="C189"/>
    <hyperlink r:id="rId190" ref="C190"/>
    <hyperlink r:id="rId191" ref="C191"/>
    <hyperlink r:id="rId192" ref="C192"/>
    <hyperlink r:id="rId193" ref="C193"/>
    <hyperlink r:id="rId194" ref="C194"/>
    <hyperlink r:id="rId195" ref="C195"/>
    <hyperlink r:id="rId196" ref="C196"/>
    <hyperlink r:id="rId197" ref="C197"/>
    <hyperlink r:id="rId198" ref="C198"/>
    <hyperlink r:id="rId199" ref="C199"/>
    <hyperlink r:id="rId200" ref="C200"/>
    <hyperlink r:id="rId201" ref="C201"/>
    <hyperlink r:id="rId202" ref="C202"/>
    <hyperlink r:id="rId203" ref="C203"/>
    <hyperlink r:id="rId204" ref="C204"/>
    <hyperlink r:id="rId205" ref="C205"/>
    <hyperlink r:id="rId206" ref="C206"/>
    <hyperlink r:id="rId207" ref="C207"/>
    <hyperlink r:id="rId208" ref="C208"/>
    <hyperlink r:id="rId209" ref="C209"/>
    <hyperlink r:id="rId210" ref="C210"/>
    <hyperlink r:id="rId211" ref="C211"/>
    <hyperlink r:id="rId212" ref="C212"/>
    <hyperlink r:id="rId213" ref="C213"/>
    <hyperlink r:id="rId214" ref="C214"/>
    <hyperlink r:id="rId215" ref="C215"/>
    <hyperlink r:id="rId216" ref="C216"/>
    <hyperlink r:id="rId217" ref="C217"/>
    <hyperlink r:id="rId218" ref="C218"/>
    <hyperlink r:id="rId219" ref="C219"/>
    <hyperlink r:id="rId220" ref="C220"/>
    <hyperlink r:id="rId221" ref="C221"/>
    <hyperlink r:id="rId222" ref="C222"/>
    <hyperlink r:id="rId223" ref="C223"/>
    <hyperlink r:id="rId224" ref="C224"/>
    <hyperlink r:id="rId225" ref="C225"/>
    <hyperlink r:id="rId226" ref="C226"/>
    <hyperlink r:id="rId227" ref="C227"/>
    <hyperlink r:id="rId228" ref="C228"/>
    <hyperlink r:id="rId229" ref="C229"/>
    <hyperlink r:id="rId230" ref="C230"/>
    <hyperlink r:id="rId231" ref="C231"/>
    <hyperlink r:id="rId232" ref="C232"/>
    <hyperlink r:id="rId233" ref="C233"/>
    <hyperlink r:id="rId234" ref="C234"/>
    <hyperlink r:id="rId235" ref="C235"/>
    <hyperlink r:id="rId236" ref="C236"/>
    <hyperlink r:id="rId237" ref="C237"/>
    <hyperlink r:id="rId238" ref="C238"/>
    <hyperlink r:id="rId239" ref="C239"/>
    <hyperlink r:id="rId240" ref="C240"/>
    <hyperlink r:id="rId241" ref="C241"/>
    <hyperlink r:id="rId242" ref="C242"/>
    <hyperlink r:id="rId243" ref="C243"/>
    <hyperlink r:id="rId244" ref="C244"/>
    <hyperlink r:id="rId245" ref="C245"/>
    <hyperlink r:id="rId246" ref="C246"/>
    <hyperlink r:id="rId247" ref="C247"/>
    <hyperlink r:id="rId248" ref="C248"/>
    <hyperlink r:id="rId249" ref="C249"/>
    <hyperlink r:id="rId250" ref="C250"/>
    <hyperlink r:id="rId251" ref="C251"/>
    <hyperlink r:id="rId252" ref="C252"/>
    <hyperlink r:id="rId253" ref="C253"/>
    <hyperlink r:id="rId254" ref="C254"/>
    <hyperlink r:id="rId255" ref="C255"/>
    <hyperlink r:id="rId256" ref="C256"/>
    <hyperlink r:id="rId257" ref="C257"/>
    <hyperlink r:id="rId258" ref="C258"/>
    <hyperlink r:id="rId259" ref="C259"/>
    <hyperlink r:id="rId260" ref="C260"/>
    <hyperlink r:id="rId261" ref="C261"/>
    <hyperlink r:id="rId262" ref="C262"/>
    <hyperlink r:id="rId263" ref="C263"/>
    <hyperlink r:id="rId264" ref="C264"/>
    <hyperlink r:id="rId265" ref="C265"/>
    <hyperlink r:id="rId266" ref="C266"/>
    <hyperlink r:id="rId267" ref="C267"/>
    <hyperlink r:id="rId268" ref="C268"/>
    <hyperlink r:id="rId269" ref="C269"/>
    <hyperlink r:id="rId270" ref="C270"/>
    <hyperlink r:id="rId271" ref="C271"/>
    <hyperlink r:id="rId272" ref="C272"/>
    <hyperlink r:id="rId273" ref="C273"/>
    <hyperlink r:id="rId274" ref="C274"/>
    <hyperlink r:id="rId275" ref="C275"/>
    <hyperlink r:id="rId276" ref="C276"/>
    <hyperlink r:id="rId277" ref="C277"/>
    <hyperlink r:id="rId278" ref="C278"/>
    <hyperlink r:id="rId279" ref="C279"/>
    <hyperlink r:id="rId280" ref="C280"/>
    <hyperlink r:id="rId281" ref="C281"/>
    <hyperlink r:id="rId282" ref="C282"/>
    <hyperlink r:id="rId283" ref="C283"/>
    <hyperlink r:id="rId284" ref="C284"/>
    <hyperlink r:id="rId285" ref="C285"/>
    <hyperlink r:id="rId286" ref="C286"/>
    <hyperlink r:id="rId287" ref="C287"/>
    <hyperlink r:id="rId288" ref="C288"/>
    <hyperlink r:id="rId289" ref="C289"/>
    <hyperlink r:id="rId290" ref="C290"/>
    <hyperlink r:id="rId291" ref="C291"/>
    <hyperlink r:id="rId292" ref="C292"/>
    <hyperlink r:id="rId293" ref="C293"/>
    <hyperlink r:id="rId294" ref="C294"/>
    <hyperlink r:id="rId295" ref="C295"/>
    <hyperlink r:id="rId296" ref="C296"/>
    <hyperlink r:id="rId297" ref="C297"/>
    <hyperlink r:id="rId298" ref="C298"/>
    <hyperlink r:id="rId299" ref="C299"/>
    <hyperlink r:id="rId300" ref="C300"/>
    <hyperlink r:id="rId301" ref="C301"/>
    <hyperlink r:id="rId302" ref="C302"/>
    <hyperlink r:id="rId303" ref="C303"/>
    <hyperlink r:id="rId304" ref="C304"/>
    <hyperlink r:id="rId305" ref="C305"/>
    <hyperlink r:id="rId306" ref="C306"/>
    <hyperlink r:id="rId307" ref="C307"/>
    <hyperlink r:id="rId308" ref="C308"/>
    <hyperlink r:id="rId309" ref="C309"/>
    <hyperlink r:id="rId310" ref="C310"/>
    <hyperlink r:id="rId311" ref="C311"/>
    <hyperlink r:id="rId312" ref="C312"/>
    <hyperlink r:id="rId313" ref="C313"/>
    <hyperlink r:id="rId314" ref="C314"/>
    <hyperlink r:id="rId315" ref="C315"/>
    <hyperlink r:id="rId316" ref="C316"/>
    <hyperlink r:id="rId317" ref="C317"/>
    <hyperlink r:id="rId318" ref="C318"/>
    <hyperlink r:id="rId319" ref="C319"/>
    <hyperlink r:id="rId320" ref="C320"/>
    <hyperlink r:id="rId321" ref="C321"/>
    <hyperlink r:id="rId322" ref="C322"/>
    <hyperlink r:id="rId323" ref="C323"/>
    <hyperlink r:id="rId324" ref="C324"/>
    <hyperlink r:id="rId325" ref="C325"/>
    <hyperlink r:id="rId326" ref="C326"/>
    <hyperlink r:id="rId327" ref="C327"/>
    <hyperlink r:id="rId328" ref="C328"/>
    <hyperlink r:id="rId329" ref="C329"/>
    <hyperlink r:id="rId330" ref="C330"/>
    <hyperlink r:id="rId331" ref="C331"/>
    <hyperlink r:id="rId332" ref="C332"/>
    <hyperlink r:id="rId333" ref="C333"/>
    <hyperlink r:id="rId334" ref="C334"/>
    <hyperlink r:id="rId335" ref="C335"/>
    <hyperlink r:id="rId336" ref="C336"/>
    <hyperlink r:id="rId337" ref="C337"/>
    <hyperlink r:id="rId338" ref="C338"/>
    <hyperlink r:id="rId339" ref="C339"/>
    <hyperlink r:id="rId340" ref="C340"/>
    <hyperlink r:id="rId341" ref="C341"/>
    <hyperlink r:id="rId342" ref="C342"/>
    <hyperlink r:id="rId343" ref="C343"/>
    <hyperlink r:id="rId344" ref="C344"/>
    <hyperlink r:id="rId345" ref="C345"/>
    <hyperlink r:id="rId346" ref="C346"/>
    <hyperlink r:id="rId347" ref="C347"/>
    <hyperlink r:id="rId348" ref="C348"/>
    <hyperlink r:id="rId349" ref="C349"/>
    <hyperlink r:id="rId350" ref="C350"/>
    <hyperlink r:id="rId351" ref="C351"/>
    <hyperlink r:id="rId352" ref="C352"/>
    <hyperlink r:id="rId353" ref="C353"/>
    <hyperlink r:id="rId354" ref="C354"/>
    <hyperlink r:id="rId355" ref="C355"/>
    <hyperlink r:id="rId356" ref="C356"/>
    <hyperlink r:id="rId357" ref="C357"/>
    <hyperlink r:id="rId358" ref="C358"/>
    <hyperlink r:id="rId359" ref="C359"/>
    <hyperlink r:id="rId360" ref="C360"/>
    <hyperlink r:id="rId361" ref="C361"/>
    <hyperlink r:id="rId362" ref="C362"/>
    <hyperlink r:id="rId363" ref="C363"/>
    <hyperlink r:id="rId364" ref="C364"/>
    <hyperlink r:id="rId365" ref="C365"/>
    <hyperlink r:id="rId366" ref="C366"/>
    <hyperlink r:id="rId367" ref="C367"/>
    <hyperlink r:id="rId368" ref="C368"/>
    <hyperlink r:id="rId369" ref="C369"/>
    <hyperlink r:id="rId370" ref="C370"/>
    <hyperlink r:id="rId371" ref="C371"/>
    <hyperlink r:id="rId372" ref="C372"/>
    <hyperlink r:id="rId373" ref="C373"/>
    <hyperlink r:id="rId374" ref="C374"/>
    <hyperlink r:id="rId375" ref="C375"/>
    <hyperlink r:id="rId376" ref="C376"/>
    <hyperlink r:id="rId377" ref="C377"/>
    <hyperlink r:id="rId378" ref="C378"/>
    <hyperlink r:id="rId379" ref="C379"/>
    <hyperlink r:id="rId380" ref="C380"/>
    <hyperlink r:id="rId381" ref="C381"/>
    <hyperlink r:id="rId382" ref="C382"/>
    <hyperlink r:id="rId383" ref="C383"/>
    <hyperlink r:id="rId384" ref="C384"/>
    <hyperlink r:id="rId385" ref="C385"/>
    <hyperlink r:id="rId386" ref="C386"/>
    <hyperlink r:id="rId387" ref="C387"/>
    <hyperlink r:id="rId388" ref="C388"/>
    <hyperlink r:id="rId389" ref="C389"/>
    <hyperlink r:id="rId390" ref="C390"/>
    <hyperlink r:id="rId391" ref="C391"/>
    <hyperlink r:id="rId392" ref="C392"/>
    <hyperlink r:id="rId393" ref="C393"/>
    <hyperlink r:id="rId394" ref="C394"/>
    <hyperlink r:id="rId395" ref="C395"/>
    <hyperlink r:id="rId396" ref="C396"/>
    <hyperlink r:id="rId397" ref="C397"/>
    <hyperlink r:id="rId398" ref="C398"/>
    <hyperlink r:id="rId399" ref="C399"/>
    <hyperlink r:id="rId400" ref="C400"/>
    <hyperlink r:id="rId401" ref="C401"/>
    <hyperlink r:id="rId402" ref="C402"/>
    <hyperlink r:id="rId403" ref="C403"/>
    <hyperlink r:id="rId404" ref="C404"/>
    <hyperlink r:id="rId405" ref="C405"/>
    <hyperlink r:id="rId406" ref="C406"/>
    <hyperlink r:id="rId407" ref="C407"/>
    <hyperlink r:id="rId408" ref="C408"/>
    <hyperlink r:id="rId409" ref="C409"/>
    <hyperlink r:id="rId410" ref="C410"/>
    <hyperlink r:id="rId411" ref="C411"/>
    <hyperlink r:id="rId412" ref="C412"/>
    <hyperlink r:id="rId413" ref="C413"/>
    <hyperlink r:id="rId414" ref="C414"/>
    <hyperlink r:id="rId415" ref="C415"/>
    <hyperlink r:id="rId416" ref="C416"/>
    <hyperlink r:id="rId417" ref="C417"/>
    <hyperlink r:id="rId418" ref="C418"/>
    <hyperlink r:id="rId419" ref="C419"/>
    <hyperlink r:id="rId420" ref="C420"/>
    <hyperlink r:id="rId421" ref="C421"/>
    <hyperlink r:id="rId422" ref="C422"/>
    <hyperlink r:id="rId423" ref="C423"/>
    <hyperlink r:id="rId424" ref="C424"/>
    <hyperlink r:id="rId425" ref="C425"/>
    <hyperlink r:id="rId426" ref="C426"/>
    <hyperlink r:id="rId427" ref="C427"/>
    <hyperlink r:id="rId428" ref="C428"/>
    <hyperlink r:id="rId429" ref="C429"/>
    <hyperlink r:id="rId430" ref="C430"/>
    <hyperlink r:id="rId431" ref="C431"/>
    <hyperlink r:id="rId432" ref="C432"/>
    <hyperlink r:id="rId433" ref="C433"/>
    <hyperlink r:id="rId434" ref="C434"/>
    <hyperlink r:id="rId435" ref="C435"/>
    <hyperlink r:id="rId436" ref="C436"/>
    <hyperlink r:id="rId437" ref="C437"/>
    <hyperlink r:id="rId438" ref="C438"/>
    <hyperlink r:id="rId439" ref="C439"/>
    <hyperlink r:id="rId440" ref="C440"/>
    <hyperlink r:id="rId441" ref="C441"/>
    <hyperlink r:id="rId442" ref="C442"/>
    <hyperlink r:id="rId443" ref="C443"/>
    <hyperlink r:id="rId444" ref="C444"/>
    <hyperlink r:id="rId445" ref="C445"/>
    <hyperlink r:id="rId446" ref="C446"/>
    <hyperlink r:id="rId447" ref="C447"/>
    <hyperlink r:id="rId448" ref="C448"/>
    <hyperlink r:id="rId449" ref="C449"/>
    <hyperlink r:id="rId450" ref="C450"/>
    <hyperlink r:id="rId451" ref="C451"/>
    <hyperlink r:id="rId452" ref="C452"/>
    <hyperlink r:id="rId453" ref="C453"/>
    <hyperlink r:id="rId454" ref="C454"/>
    <hyperlink r:id="rId455" ref="C455"/>
    <hyperlink r:id="rId456" ref="C456"/>
    <hyperlink r:id="rId457" ref="C457"/>
    <hyperlink r:id="rId458" ref="C458"/>
    <hyperlink r:id="rId459" ref="C459"/>
    <hyperlink r:id="rId460" ref="C460"/>
    <hyperlink r:id="rId461" ref="C461"/>
    <hyperlink r:id="rId462" ref="C462"/>
    <hyperlink r:id="rId463" ref="C463"/>
    <hyperlink r:id="rId464" ref="C464"/>
    <hyperlink r:id="rId465" ref="C465"/>
    <hyperlink r:id="rId466" ref="C466"/>
    <hyperlink r:id="rId467" ref="C467"/>
    <hyperlink r:id="rId468" ref="C468"/>
    <hyperlink r:id="rId469" ref="C469"/>
    <hyperlink r:id="rId470" ref="C470"/>
    <hyperlink r:id="rId471" ref="C471"/>
    <hyperlink r:id="rId472" ref="C472"/>
    <hyperlink r:id="rId473" ref="C473"/>
    <hyperlink r:id="rId474" ref="C474"/>
    <hyperlink r:id="rId475" ref="C475"/>
    <hyperlink r:id="rId476" ref="C476"/>
    <hyperlink r:id="rId477" ref="C477"/>
    <hyperlink r:id="rId478" ref="C478"/>
    <hyperlink r:id="rId479" ref="C479"/>
    <hyperlink r:id="rId480" ref="C480"/>
    <hyperlink r:id="rId481" ref="C481"/>
    <hyperlink r:id="rId482" ref="C482"/>
    <hyperlink r:id="rId483" ref="C483"/>
    <hyperlink r:id="rId484" ref="C484"/>
    <hyperlink r:id="rId485" ref="C485"/>
    <hyperlink r:id="rId486" ref="C486"/>
    <hyperlink r:id="rId487" ref="C487"/>
    <hyperlink r:id="rId488" ref="C488"/>
    <hyperlink r:id="rId489" ref="C489"/>
    <hyperlink r:id="rId490" ref="C490"/>
    <hyperlink r:id="rId491" ref="C491"/>
    <hyperlink r:id="rId492" ref="C492"/>
    <hyperlink r:id="rId493" ref="C493"/>
    <hyperlink r:id="rId494" ref="C494"/>
    <hyperlink r:id="rId495" ref="C495"/>
    <hyperlink r:id="rId496" ref="C496"/>
    <hyperlink r:id="rId497" ref="C497"/>
    <hyperlink r:id="rId498" ref="C498"/>
    <hyperlink r:id="rId499" ref="C499"/>
    <hyperlink r:id="rId500" ref="C500"/>
    <hyperlink r:id="rId501" ref="C501"/>
    <hyperlink r:id="rId502" ref="C502"/>
    <hyperlink r:id="rId503" ref="C503"/>
    <hyperlink r:id="rId504" ref="C504"/>
    <hyperlink r:id="rId505" ref="C505"/>
    <hyperlink r:id="rId506" ref="C506"/>
    <hyperlink r:id="rId507" ref="C507"/>
    <hyperlink r:id="rId508" ref="C508"/>
    <hyperlink r:id="rId509" ref="C509"/>
    <hyperlink r:id="rId510" ref="C510"/>
    <hyperlink r:id="rId511" ref="C511"/>
    <hyperlink r:id="rId512" ref="C512"/>
    <hyperlink r:id="rId513" ref="C513"/>
    <hyperlink r:id="rId514" ref="C514"/>
    <hyperlink r:id="rId515" ref="C515"/>
    <hyperlink r:id="rId516" ref="C516"/>
    <hyperlink r:id="rId517" ref="C517"/>
    <hyperlink r:id="rId518" ref="C518"/>
    <hyperlink r:id="rId519" ref="C519"/>
    <hyperlink r:id="rId520" ref="C520"/>
    <hyperlink r:id="rId521" ref="C521"/>
    <hyperlink r:id="rId522" ref="C522"/>
    <hyperlink r:id="rId523" ref="C523"/>
    <hyperlink r:id="rId524" ref="C524"/>
    <hyperlink r:id="rId525" ref="C525"/>
    <hyperlink r:id="rId526" ref="C526"/>
    <hyperlink r:id="rId527" ref="C527"/>
    <hyperlink r:id="rId528" ref="C528"/>
    <hyperlink r:id="rId529" ref="C529"/>
    <hyperlink r:id="rId530" ref="C530"/>
    <hyperlink r:id="rId531" ref="C531"/>
    <hyperlink r:id="rId532" ref="C532"/>
    <hyperlink r:id="rId533" ref="C533"/>
    <hyperlink r:id="rId534" ref="C534"/>
    <hyperlink r:id="rId535" ref="C535"/>
    <hyperlink r:id="rId536" ref="C536"/>
    <hyperlink r:id="rId537" ref="C537"/>
    <hyperlink r:id="rId538" ref="C538"/>
    <hyperlink r:id="rId539" ref="C539"/>
    <hyperlink r:id="rId540" ref="C540"/>
    <hyperlink r:id="rId541" ref="C541"/>
    <hyperlink r:id="rId542" ref="C542"/>
    <hyperlink r:id="rId543" ref="C543"/>
    <hyperlink r:id="rId544" ref="C544"/>
    <hyperlink r:id="rId545" ref="C545"/>
    <hyperlink r:id="rId546" ref="C546"/>
    <hyperlink r:id="rId547" ref="C547"/>
    <hyperlink r:id="rId548" ref="C548"/>
    <hyperlink r:id="rId549" ref="C549"/>
    <hyperlink r:id="rId550" ref="C550"/>
    <hyperlink r:id="rId551" ref="C551"/>
    <hyperlink r:id="rId552" ref="C552"/>
    <hyperlink r:id="rId553" ref="C553"/>
    <hyperlink r:id="rId554" ref="C554"/>
    <hyperlink r:id="rId555" ref="C555"/>
    <hyperlink r:id="rId556" ref="C556"/>
    <hyperlink r:id="rId557" ref="C557"/>
    <hyperlink r:id="rId558" ref="C558"/>
    <hyperlink r:id="rId559" ref="C559"/>
    <hyperlink r:id="rId560" ref="C560"/>
    <hyperlink r:id="rId561" ref="C561"/>
    <hyperlink r:id="rId562" ref="C562"/>
    <hyperlink r:id="rId563" ref="C563"/>
    <hyperlink r:id="rId564" ref="C564"/>
    <hyperlink r:id="rId565" ref="C565"/>
    <hyperlink r:id="rId566" ref="C566"/>
    <hyperlink r:id="rId567" ref="C567"/>
    <hyperlink r:id="rId568" ref="C568"/>
    <hyperlink r:id="rId569" ref="C569"/>
    <hyperlink r:id="rId570" ref="C570"/>
    <hyperlink r:id="rId571" ref="C571"/>
    <hyperlink r:id="rId572" ref="C572"/>
    <hyperlink r:id="rId573" ref="C573"/>
    <hyperlink r:id="rId574" ref="C574"/>
    <hyperlink r:id="rId575" ref="C575"/>
    <hyperlink r:id="rId576" ref="C576"/>
    <hyperlink r:id="rId577" ref="C577"/>
    <hyperlink r:id="rId578" ref="C578"/>
    <hyperlink r:id="rId579" ref="C579"/>
    <hyperlink r:id="rId580" ref="C580"/>
    <hyperlink r:id="rId581" ref="C581"/>
    <hyperlink r:id="rId582" ref="C582"/>
    <hyperlink r:id="rId583" ref="C583"/>
    <hyperlink r:id="rId584" ref="C584"/>
    <hyperlink r:id="rId585" ref="C585"/>
    <hyperlink r:id="rId586" ref="C586"/>
    <hyperlink r:id="rId587" ref="C587"/>
    <hyperlink r:id="rId588" ref="C588"/>
    <hyperlink r:id="rId589" ref="C589"/>
    <hyperlink r:id="rId590" ref="C590"/>
    <hyperlink r:id="rId591" ref="C591"/>
    <hyperlink r:id="rId592" ref="C592"/>
    <hyperlink r:id="rId593" ref="C593"/>
    <hyperlink r:id="rId594" ref="C594"/>
    <hyperlink r:id="rId595" ref="C595"/>
    <hyperlink r:id="rId596" ref="C596"/>
    <hyperlink r:id="rId597" ref="C597"/>
    <hyperlink r:id="rId598" ref="C598"/>
    <hyperlink r:id="rId599" ref="C599"/>
    <hyperlink r:id="rId600" ref="C600"/>
    <hyperlink r:id="rId601" ref="C601"/>
    <hyperlink r:id="rId602" ref="C602"/>
    <hyperlink r:id="rId603" ref="C603"/>
    <hyperlink r:id="rId604" ref="C604"/>
    <hyperlink r:id="rId605" ref="C605"/>
    <hyperlink r:id="rId606" ref="C606"/>
    <hyperlink r:id="rId607" ref="C607"/>
    <hyperlink r:id="rId608" ref="C608"/>
    <hyperlink r:id="rId609" ref="C609"/>
    <hyperlink r:id="rId610" ref="C610"/>
    <hyperlink r:id="rId611" ref="C611"/>
    <hyperlink r:id="rId612" ref="C612"/>
    <hyperlink r:id="rId613" ref="C613"/>
    <hyperlink r:id="rId614" ref="C614"/>
    <hyperlink r:id="rId615" ref="C615"/>
    <hyperlink r:id="rId616" ref="C616"/>
    <hyperlink r:id="rId617" ref="C617"/>
    <hyperlink r:id="rId618" ref="C618"/>
    <hyperlink r:id="rId619" ref="C619"/>
    <hyperlink r:id="rId620" ref="C620"/>
    <hyperlink r:id="rId621" ref="C621"/>
    <hyperlink r:id="rId622" ref="C622"/>
    <hyperlink r:id="rId623" ref="C623"/>
    <hyperlink r:id="rId624" ref="C624"/>
    <hyperlink r:id="rId625" ref="C625"/>
    <hyperlink r:id="rId626" ref="C626"/>
    <hyperlink r:id="rId627" ref="C627"/>
    <hyperlink r:id="rId628" ref="C628"/>
    <hyperlink r:id="rId629" ref="C629"/>
    <hyperlink r:id="rId630" ref="C630"/>
    <hyperlink r:id="rId631" ref="C631"/>
    <hyperlink r:id="rId632" ref="C632"/>
    <hyperlink r:id="rId633" ref="C633"/>
    <hyperlink r:id="rId634" ref="C634"/>
    <hyperlink r:id="rId635" ref="C635"/>
    <hyperlink r:id="rId636" ref="C636"/>
    <hyperlink r:id="rId637" ref="C637"/>
    <hyperlink r:id="rId638" ref="C638"/>
    <hyperlink r:id="rId639" ref="C639"/>
    <hyperlink r:id="rId640" ref="C640"/>
    <hyperlink r:id="rId641" ref="C641"/>
    <hyperlink r:id="rId642" ref="C642"/>
    <hyperlink r:id="rId643" ref="C643"/>
    <hyperlink r:id="rId644" ref="C644"/>
    <hyperlink r:id="rId645" ref="C645"/>
    <hyperlink r:id="rId646" ref="C646"/>
    <hyperlink r:id="rId647" ref="C647"/>
    <hyperlink r:id="rId648" ref="C648"/>
    <hyperlink r:id="rId649" ref="C649"/>
    <hyperlink r:id="rId650" ref="C650"/>
    <hyperlink r:id="rId651" ref="C651"/>
    <hyperlink r:id="rId652" ref="C652"/>
    <hyperlink r:id="rId653" ref="C653"/>
    <hyperlink r:id="rId654" ref="C654"/>
    <hyperlink r:id="rId655" ref="C655"/>
    <hyperlink r:id="rId656" ref="C656"/>
    <hyperlink r:id="rId657" ref="C657"/>
    <hyperlink r:id="rId658" ref="C658"/>
    <hyperlink r:id="rId659" ref="C659"/>
    <hyperlink r:id="rId660" ref="C660"/>
    <hyperlink r:id="rId661" ref="C661"/>
    <hyperlink r:id="rId662" ref="C662"/>
    <hyperlink r:id="rId663" ref="C663"/>
    <hyperlink r:id="rId664" ref="C664"/>
    <hyperlink r:id="rId665" ref="C665"/>
    <hyperlink r:id="rId666" ref="C666"/>
    <hyperlink r:id="rId667" ref="C667"/>
    <hyperlink r:id="rId668" ref="C668"/>
    <hyperlink r:id="rId669" ref="C669"/>
    <hyperlink r:id="rId670" ref="C670"/>
    <hyperlink r:id="rId671" ref="C671"/>
    <hyperlink r:id="rId672" ref="C672"/>
    <hyperlink r:id="rId673" ref="C673"/>
    <hyperlink r:id="rId674" ref="C674"/>
    <hyperlink r:id="rId675" ref="C675"/>
    <hyperlink r:id="rId676" ref="C676"/>
    <hyperlink r:id="rId677" ref="C677"/>
    <hyperlink r:id="rId678" ref="C678"/>
    <hyperlink r:id="rId679" ref="C679"/>
    <hyperlink r:id="rId680" ref="C680"/>
    <hyperlink r:id="rId681" ref="C681"/>
    <hyperlink r:id="rId682" ref="C682"/>
    <hyperlink r:id="rId683" ref="C683"/>
    <hyperlink r:id="rId684" ref="C684"/>
    <hyperlink r:id="rId685" ref="C685"/>
    <hyperlink r:id="rId686" ref="C686"/>
    <hyperlink r:id="rId687" ref="C687"/>
    <hyperlink r:id="rId688" ref="C688"/>
    <hyperlink r:id="rId689" ref="C689"/>
    <hyperlink r:id="rId690" ref="C690"/>
    <hyperlink r:id="rId691" ref="C691"/>
    <hyperlink r:id="rId692" ref="C692"/>
    <hyperlink r:id="rId693" ref="C693"/>
    <hyperlink r:id="rId694" ref="C694"/>
    <hyperlink r:id="rId695" ref="C695"/>
    <hyperlink r:id="rId696" ref="C696"/>
    <hyperlink r:id="rId697" ref="C697"/>
    <hyperlink r:id="rId698" ref="C698"/>
    <hyperlink r:id="rId699" ref="C699"/>
    <hyperlink r:id="rId700" ref="C700"/>
    <hyperlink r:id="rId701" ref="C701"/>
    <hyperlink r:id="rId702" ref="C702"/>
    <hyperlink r:id="rId703" ref="C703"/>
    <hyperlink r:id="rId704" ref="C704"/>
    <hyperlink r:id="rId705" ref="C705"/>
    <hyperlink r:id="rId706" ref="C706"/>
    <hyperlink r:id="rId707" ref="C707"/>
    <hyperlink r:id="rId708" ref="C708"/>
    <hyperlink r:id="rId709" ref="C709"/>
    <hyperlink r:id="rId710" ref="C710"/>
    <hyperlink r:id="rId711" ref="C711"/>
    <hyperlink r:id="rId712" ref="C712"/>
    <hyperlink r:id="rId713" ref="C713"/>
    <hyperlink r:id="rId714" ref="C714"/>
    <hyperlink r:id="rId715" ref="C715"/>
    <hyperlink r:id="rId716" ref="C716"/>
    <hyperlink r:id="rId717" ref="C717"/>
    <hyperlink r:id="rId718" ref="C718"/>
    <hyperlink r:id="rId719" ref="C719"/>
    <hyperlink r:id="rId720" ref="C720"/>
    <hyperlink r:id="rId721" ref="C721"/>
    <hyperlink r:id="rId722" ref="C722"/>
    <hyperlink r:id="rId723" ref="C723"/>
    <hyperlink r:id="rId724" ref="C724"/>
    <hyperlink r:id="rId725" ref="C725"/>
    <hyperlink r:id="rId726" ref="C726"/>
    <hyperlink r:id="rId727" ref="C727"/>
    <hyperlink r:id="rId728" ref="C728"/>
    <hyperlink r:id="rId729" ref="C729"/>
    <hyperlink r:id="rId730" ref="C730"/>
    <hyperlink r:id="rId731" ref="C731"/>
    <hyperlink r:id="rId732" ref="C732"/>
    <hyperlink r:id="rId733" ref="C733"/>
    <hyperlink r:id="rId734" ref="C734"/>
    <hyperlink r:id="rId735" ref="C735"/>
    <hyperlink r:id="rId736" ref="C736"/>
    <hyperlink r:id="rId737" ref="C737"/>
    <hyperlink r:id="rId738" ref="C738"/>
    <hyperlink r:id="rId739" ref="C739"/>
    <hyperlink r:id="rId740" ref="C740"/>
    <hyperlink r:id="rId741" ref="C741"/>
    <hyperlink r:id="rId742" ref="C742"/>
    <hyperlink r:id="rId743" ref="C743"/>
    <hyperlink r:id="rId744" ref="C744"/>
    <hyperlink r:id="rId745" ref="C745"/>
    <hyperlink r:id="rId746" ref="C746"/>
    <hyperlink r:id="rId747" ref="C747"/>
    <hyperlink r:id="rId748" ref="C748"/>
    <hyperlink r:id="rId749" ref="C749"/>
    <hyperlink r:id="rId750" ref="C750"/>
    <hyperlink r:id="rId751" ref="C751"/>
    <hyperlink r:id="rId752" ref="C752"/>
    <hyperlink r:id="rId753" ref="C753"/>
    <hyperlink r:id="rId754" ref="C754"/>
    <hyperlink r:id="rId755" ref="C755"/>
    <hyperlink r:id="rId756" ref="C756"/>
    <hyperlink r:id="rId757" ref="C757"/>
    <hyperlink r:id="rId758" ref="C758"/>
    <hyperlink r:id="rId759" ref="C759"/>
    <hyperlink r:id="rId760" ref="C760"/>
    <hyperlink r:id="rId761" ref="C761"/>
    <hyperlink r:id="rId762" ref="C762"/>
    <hyperlink r:id="rId763" ref="C763"/>
    <hyperlink r:id="rId764" ref="C764"/>
    <hyperlink r:id="rId765" ref="C765"/>
    <hyperlink r:id="rId766" ref="C766"/>
    <hyperlink r:id="rId767" ref="C767"/>
    <hyperlink r:id="rId768" ref="C768"/>
    <hyperlink r:id="rId769" ref="C769"/>
    <hyperlink r:id="rId770" ref="C770"/>
    <hyperlink r:id="rId771" ref="C771"/>
    <hyperlink r:id="rId772" ref="C772"/>
    <hyperlink r:id="rId773" ref="C773"/>
    <hyperlink r:id="rId774" ref="C774"/>
    <hyperlink r:id="rId775" ref="C775"/>
    <hyperlink r:id="rId776" ref="C776"/>
    <hyperlink r:id="rId777" ref="C777"/>
    <hyperlink r:id="rId778" ref="C778"/>
    <hyperlink r:id="rId779" ref="C779"/>
    <hyperlink r:id="rId780" ref="C780"/>
    <hyperlink r:id="rId781" ref="C781"/>
    <hyperlink r:id="rId782" ref="C782"/>
    <hyperlink r:id="rId783" ref="C783"/>
    <hyperlink r:id="rId784" ref="C784"/>
    <hyperlink r:id="rId785" ref="C785"/>
    <hyperlink r:id="rId786" ref="C786"/>
    <hyperlink r:id="rId787" ref="C787"/>
    <hyperlink r:id="rId788" ref="C788"/>
    <hyperlink r:id="rId789" ref="C789"/>
    <hyperlink r:id="rId790" ref="C790"/>
    <hyperlink r:id="rId791" ref="C791"/>
    <hyperlink r:id="rId792" ref="C792"/>
    <hyperlink r:id="rId793" ref="C793"/>
    <hyperlink r:id="rId794" ref="C794"/>
    <hyperlink r:id="rId795" ref="C795"/>
    <hyperlink r:id="rId796" ref="C796"/>
    <hyperlink r:id="rId797" ref="C797"/>
    <hyperlink r:id="rId798" ref="C798"/>
    <hyperlink r:id="rId799" ref="C799"/>
    <hyperlink r:id="rId800" ref="C800"/>
    <hyperlink r:id="rId801" ref="C801"/>
    <hyperlink r:id="rId802" ref="C802"/>
    <hyperlink r:id="rId803" ref="C803"/>
    <hyperlink r:id="rId804" ref="C804"/>
    <hyperlink r:id="rId805" ref="C805"/>
    <hyperlink r:id="rId806" ref="C806"/>
    <hyperlink r:id="rId807" ref="C807"/>
    <hyperlink r:id="rId808" ref="C808"/>
    <hyperlink r:id="rId809" ref="C809"/>
    <hyperlink r:id="rId810" ref="C810"/>
    <hyperlink r:id="rId811" ref="C811"/>
    <hyperlink r:id="rId812" ref="C812"/>
    <hyperlink r:id="rId813" ref="C813"/>
    <hyperlink r:id="rId814" ref="C814"/>
    <hyperlink r:id="rId815" ref="C815"/>
    <hyperlink r:id="rId816" ref="C816"/>
    <hyperlink r:id="rId817" ref="C817"/>
    <hyperlink r:id="rId818" ref="C818"/>
    <hyperlink r:id="rId819" ref="C819"/>
    <hyperlink r:id="rId820" ref="C820"/>
    <hyperlink r:id="rId821" ref="C821"/>
    <hyperlink r:id="rId822" ref="C822"/>
    <hyperlink r:id="rId823" ref="C823"/>
    <hyperlink r:id="rId824" ref="C824"/>
    <hyperlink r:id="rId825" ref="C825"/>
    <hyperlink r:id="rId826" ref="C826"/>
    <hyperlink r:id="rId827" ref="C827"/>
    <hyperlink r:id="rId828" ref="C828"/>
    <hyperlink r:id="rId829" ref="C829"/>
    <hyperlink r:id="rId830" ref="C830"/>
    <hyperlink r:id="rId831" ref="C831"/>
    <hyperlink r:id="rId832" ref="C832"/>
    <hyperlink r:id="rId833" ref="C833"/>
    <hyperlink r:id="rId834" ref="C834"/>
    <hyperlink r:id="rId835" ref="C835"/>
    <hyperlink r:id="rId836" ref="C836"/>
    <hyperlink r:id="rId837" ref="C837"/>
    <hyperlink r:id="rId838" ref="C838"/>
    <hyperlink r:id="rId839" ref="C839"/>
    <hyperlink r:id="rId840" ref="C840"/>
    <hyperlink r:id="rId841" ref="C841"/>
    <hyperlink r:id="rId842" ref="C842"/>
    <hyperlink r:id="rId843" ref="C843"/>
    <hyperlink r:id="rId844" ref="C844"/>
    <hyperlink r:id="rId845" ref="C845"/>
    <hyperlink r:id="rId846" ref="C846"/>
    <hyperlink r:id="rId847" ref="C847"/>
    <hyperlink r:id="rId848" ref="C848"/>
    <hyperlink r:id="rId849" ref="C849"/>
    <hyperlink r:id="rId850" ref="C850"/>
    <hyperlink r:id="rId851" ref="C851"/>
    <hyperlink r:id="rId852" ref="C852"/>
    <hyperlink r:id="rId853" ref="C853"/>
    <hyperlink r:id="rId854" ref="C854"/>
    <hyperlink r:id="rId855" ref="C855"/>
    <hyperlink r:id="rId856" ref="C856"/>
    <hyperlink r:id="rId857" ref="C857"/>
    <hyperlink r:id="rId858" ref="C858"/>
    <hyperlink r:id="rId859" ref="C859"/>
    <hyperlink r:id="rId860" ref="C860"/>
    <hyperlink r:id="rId861" ref="C861"/>
    <hyperlink r:id="rId862" ref="C862"/>
    <hyperlink r:id="rId863" ref="C863"/>
    <hyperlink r:id="rId864" ref="C864"/>
    <hyperlink r:id="rId865" ref="C865"/>
    <hyperlink r:id="rId866" ref="C866"/>
    <hyperlink r:id="rId867" ref="C867"/>
    <hyperlink r:id="rId868" ref="C868"/>
    <hyperlink r:id="rId869" ref="C869"/>
    <hyperlink r:id="rId870" ref="C870"/>
    <hyperlink r:id="rId871" ref="C871"/>
    <hyperlink r:id="rId872" ref="C872"/>
    <hyperlink r:id="rId873" ref="C873"/>
    <hyperlink r:id="rId874" ref="C874"/>
    <hyperlink r:id="rId875" ref="C875"/>
    <hyperlink r:id="rId876" ref="C876"/>
    <hyperlink r:id="rId877" ref="C877"/>
    <hyperlink r:id="rId878" ref="C878"/>
    <hyperlink r:id="rId879" ref="C879"/>
    <hyperlink r:id="rId880" ref="C880"/>
    <hyperlink r:id="rId881" ref="C881"/>
    <hyperlink r:id="rId882" ref="C882"/>
    <hyperlink r:id="rId883" ref="C883"/>
    <hyperlink r:id="rId884" ref="C884"/>
    <hyperlink r:id="rId885" ref="C885"/>
    <hyperlink r:id="rId886" ref="C886"/>
    <hyperlink r:id="rId887" ref="C887"/>
    <hyperlink r:id="rId888" ref="C888"/>
    <hyperlink r:id="rId889" ref="C889"/>
    <hyperlink r:id="rId890" ref="C890"/>
    <hyperlink r:id="rId891" ref="C891"/>
    <hyperlink r:id="rId892" ref="C892"/>
    <hyperlink r:id="rId893" ref="C893"/>
    <hyperlink r:id="rId894" ref="C894"/>
    <hyperlink r:id="rId895" ref="C895"/>
    <hyperlink r:id="rId896" ref="C896"/>
    <hyperlink r:id="rId897" ref="C897"/>
    <hyperlink r:id="rId898" ref="C898"/>
    <hyperlink r:id="rId899" ref="C899"/>
    <hyperlink r:id="rId900" ref="C900"/>
    <hyperlink r:id="rId901" ref="C901"/>
    <hyperlink r:id="rId902" ref="C902"/>
    <hyperlink r:id="rId903" ref="C903"/>
    <hyperlink r:id="rId904" ref="C904"/>
    <hyperlink r:id="rId905" ref="C905"/>
    <hyperlink r:id="rId906" ref="C906"/>
    <hyperlink r:id="rId907" ref="C907"/>
    <hyperlink r:id="rId908" ref="C908"/>
    <hyperlink r:id="rId909" ref="C909"/>
    <hyperlink r:id="rId910" ref="C910"/>
    <hyperlink r:id="rId911" ref="C911"/>
    <hyperlink r:id="rId912" ref="C912"/>
    <hyperlink r:id="rId913" ref="C913"/>
    <hyperlink r:id="rId914" ref="C914"/>
    <hyperlink r:id="rId915" ref="C915"/>
    <hyperlink r:id="rId916" ref="C916"/>
    <hyperlink r:id="rId917" ref="C917"/>
    <hyperlink r:id="rId918" ref="C918"/>
    <hyperlink r:id="rId919" ref="C919"/>
    <hyperlink r:id="rId920" ref="C920"/>
    <hyperlink r:id="rId921" ref="C921"/>
    <hyperlink r:id="rId922" ref="C922"/>
    <hyperlink r:id="rId923" ref="C923"/>
    <hyperlink r:id="rId924" ref="C924"/>
    <hyperlink r:id="rId925" ref="C925"/>
    <hyperlink r:id="rId926" ref="C926"/>
    <hyperlink r:id="rId927" ref="C927"/>
    <hyperlink r:id="rId928" ref="C928"/>
    <hyperlink r:id="rId929" ref="C929"/>
    <hyperlink r:id="rId930" ref="C930"/>
    <hyperlink r:id="rId931" ref="C931"/>
    <hyperlink r:id="rId932" ref="C932"/>
    <hyperlink r:id="rId933" ref="C933"/>
    <hyperlink r:id="rId934" ref="C934"/>
    <hyperlink r:id="rId935" ref="C935"/>
    <hyperlink r:id="rId936" ref="C936"/>
    <hyperlink r:id="rId937" ref="C937"/>
    <hyperlink r:id="rId938" ref="C938"/>
    <hyperlink r:id="rId939" ref="C939"/>
    <hyperlink r:id="rId940" ref="C940"/>
    <hyperlink r:id="rId941" ref="C941"/>
    <hyperlink r:id="rId942" ref="C942"/>
    <hyperlink r:id="rId943" ref="C943"/>
    <hyperlink r:id="rId944" ref="C944"/>
    <hyperlink r:id="rId945" ref="C945"/>
    <hyperlink r:id="rId946" ref="C946"/>
    <hyperlink r:id="rId947" ref="C947"/>
    <hyperlink r:id="rId948" ref="C948"/>
    <hyperlink r:id="rId949" ref="C949"/>
    <hyperlink r:id="rId950" ref="C950"/>
    <hyperlink r:id="rId951" ref="C951"/>
    <hyperlink r:id="rId952" ref="C952"/>
    <hyperlink r:id="rId953" ref="C953"/>
    <hyperlink r:id="rId954" ref="C954"/>
    <hyperlink r:id="rId955" ref="C955"/>
    <hyperlink r:id="rId956" ref="C956"/>
    <hyperlink r:id="rId957" ref="C957"/>
    <hyperlink r:id="rId958" ref="C958"/>
    <hyperlink r:id="rId959" ref="C959"/>
    <hyperlink r:id="rId960" ref="C960"/>
    <hyperlink r:id="rId961" ref="C961"/>
    <hyperlink r:id="rId962" ref="C962"/>
    <hyperlink r:id="rId963" ref="C963"/>
    <hyperlink r:id="rId964" ref="C964"/>
    <hyperlink r:id="rId965" ref="C965"/>
    <hyperlink r:id="rId966" ref="C966"/>
    <hyperlink r:id="rId967" ref="C967"/>
    <hyperlink r:id="rId968" ref="C968"/>
    <hyperlink r:id="rId969" ref="C969"/>
    <hyperlink r:id="rId970" ref="C970"/>
    <hyperlink r:id="rId971" ref="C971"/>
    <hyperlink r:id="rId972" ref="C972"/>
    <hyperlink r:id="rId973" ref="C973"/>
    <hyperlink r:id="rId974" ref="C974"/>
    <hyperlink r:id="rId975" ref="C975"/>
    <hyperlink r:id="rId976" ref="C976"/>
    <hyperlink r:id="rId977" ref="C977"/>
    <hyperlink r:id="rId978" ref="C978"/>
    <hyperlink r:id="rId979" ref="C979"/>
    <hyperlink r:id="rId980" ref="C980"/>
    <hyperlink r:id="rId981" ref="C981"/>
    <hyperlink r:id="rId982" ref="C982"/>
    <hyperlink r:id="rId983" ref="C983"/>
    <hyperlink r:id="rId984" ref="C984"/>
    <hyperlink r:id="rId985" ref="C985"/>
    <hyperlink r:id="rId986" ref="C986"/>
    <hyperlink r:id="rId987" ref="C987"/>
    <hyperlink r:id="rId988" ref="C988"/>
    <hyperlink r:id="rId989" ref="C989"/>
    <hyperlink r:id="rId990" ref="C990"/>
    <hyperlink r:id="rId991" ref="C991"/>
    <hyperlink r:id="rId992" ref="C992"/>
    <hyperlink r:id="rId993" ref="C993"/>
    <hyperlink r:id="rId994" ref="C994"/>
    <hyperlink r:id="rId995" ref="C995"/>
    <hyperlink r:id="rId996" ref="C996"/>
    <hyperlink r:id="rId997" ref="C997"/>
    <hyperlink r:id="rId998" ref="C998"/>
    <hyperlink r:id="rId999" ref="C999"/>
    <hyperlink r:id="rId1000" ref="C1000"/>
    <hyperlink r:id="rId1001" ref="C1001"/>
    <hyperlink r:id="rId1002" ref="C1002"/>
    <hyperlink r:id="rId1003" ref="C1003"/>
    <hyperlink r:id="rId1004" ref="C1004"/>
    <hyperlink r:id="rId1005" ref="C1005"/>
    <hyperlink r:id="rId1006" ref="C1006"/>
    <hyperlink r:id="rId1007" ref="C1007"/>
    <hyperlink r:id="rId1008" ref="C1008"/>
    <hyperlink r:id="rId1009" ref="C1009"/>
    <hyperlink r:id="rId1010" ref="C1010"/>
    <hyperlink r:id="rId1011" ref="C1011"/>
    <hyperlink r:id="rId1012" ref="C1012"/>
    <hyperlink r:id="rId1013" ref="C1013"/>
    <hyperlink r:id="rId1014" ref="C1014"/>
    <hyperlink r:id="rId1015" ref="C1015"/>
    <hyperlink r:id="rId1016" ref="C1016"/>
    <hyperlink r:id="rId1017" ref="C1017"/>
    <hyperlink r:id="rId1018" ref="C1018"/>
    <hyperlink r:id="rId1019" ref="C1019"/>
    <hyperlink r:id="rId1020" ref="C1020"/>
    <hyperlink r:id="rId1021" ref="C1021"/>
    <hyperlink r:id="rId1022" ref="C1022"/>
    <hyperlink r:id="rId1023" ref="C1023"/>
    <hyperlink r:id="rId1024" ref="C1024"/>
    <hyperlink r:id="rId1025" ref="C1025"/>
    <hyperlink r:id="rId1026" ref="C1026"/>
    <hyperlink r:id="rId1027" ref="C1027"/>
    <hyperlink r:id="rId1028" ref="C1028"/>
    <hyperlink r:id="rId1029" ref="C1029"/>
    <hyperlink r:id="rId1030" ref="C1030"/>
    <hyperlink r:id="rId1031" ref="C1031"/>
    <hyperlink r:id="rId1032" ref="C1032"/>
    <hyperlink r:id="rId1033" ref="C1033"/>
    <hyperlink r:id="rId1034" ref="C1034"/>
    <hyperlink r:id="rId1035" ref="C1035"/>
    <hyperlink r:id="rId1036" ref="C1036"/>
    <hyperlink r:id="rId1037" ref="C1037"/>
    <hyperlink r:id="rId1038" ref="C1038"/>
    <hyperlink r:id="rId1039" ref="C1039"/>
    <hyperlink r:id="rId1040" ref="C1040"/>
    <hyperlink r:id="rId1041" ref="C1041"/>
    <hyperlink r:id="rId1042" ref="C1042"/>
    <hyperlink r:id="rId1043" ref="C1043"/>
    <hyperlink r:id="rId1044" ref="C1044"/>
    <hyperlink r:id="rId1045" ref="C1045"/>
    <hyperlink r:id="rId1046" ref="C1046"/>
    <hyperlink r:id="rId1047" ref="C1047"/>
    <hyperlink r:id="rId1048" ref="C1048"/>
    <hyperlink r:id="rId1049" ref="C1049"/>
    <hyperlink r:id="rId1050" ref="C1050"/>
    <hyperlink r:id="rId1051" ref="C1051"/>
    <hyperlink r:id="rId1052" ref="C1052"/>
    <hyperlink r:id="rId1053" ref="C1053"/>
    <hyperlink r:id="rId1054" ref="C1054"/>
    <hyperlink r:id="rId1055" ref="C1055"/>
    <hyperlink r:id="rId1056" ref="C1056"/>
    <hyperlink r:id="rId1057" ref="C1057"/>
    <hyperlink r:id="rId1058" ref="C1058"/>
  </hyperlinks>
  <drawing r:id="rId1059"/>
  <legacyDrawing r:id="rId10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3.25"/>
  </cols>
  <sheetData>
    <row r="1">
      <c r="A1" s="5" t="s">
        <v>3872</v>
      </c>
      <c r="B1" s="5" t="s">
        <v>3873</v>
      </c>
    </row>
    <row r="2">
      <c r="A2" s="5" t="s">
        <v>3874</v>
      </c>
      <c r="B2" s="5" t="s">
        <v>3875</v>
      </c>
    </row>
    <row r="3">
      <c r="A3" s="5" t="s">
        <v>3876</v>
      </c>
      <c r="B3" s="5" t="s">
        <v>3877</v>
      </c>
    </row>
    <row r="4">
      <c r="A4" s="5" t="s">
        <v>3878</v>
      </c>
      <c r="B4" s="5" t="s">
        <v>3879</v>
      </c>
    </row>
    <row r="5">
      <c r="A5" s="5" t="s">
        <v>3880</v>
      </c>
      <c r="B5" s="5" t="s">
        <v>3881</v>
      </c>
    </row>
    <row r="6">
      <c r="A6" s="5" t="s">
        <v>3882</v>
      </c>
      <c r="B6" s="5" t="s">
        <v>3883</v>
      </c>
    </row>
    <row r="7">
      <c r="A7" s="5" t="s">
        <v>3884</v>
      </c>
      <c r="B7" s="5" t="s">
        <v>3885</v>
      </c>
    </row>
    <row r="8">
      <c r="A8" s="5" t="s">
        <v>3886</v>
      </c>
      <c r="B8" s="5" t="s">
        <v>3887</v>
      </c>
    </row>
    <row r="9">
      <c r="A9" s="5" t="s">
        <v>3888</v>
      </c>
      <c r="B9" s="5" t="s">
        <v>3889</v>
      </c>
    </row>
    <row r="10">
      <c r="A10" s="5" t="s">
        <v>3890</v>
      </c>
      <c r="B10" s="5" t="s">
        <v>3891</v>
      </c>
    </row>
    <row r="11">
      <c r="A11" s="5" t="s">
        <v>3892</v>
      </c>
      <c r="B11" s="5" t="s">
        <v>3893</v>
      </c>
    </row>
    <row r="12">
      <c r="A12" s="5" t="s">
        <v>3894</v>
      </c>
      <c r="B12" s="5" t="s">
        <v>3895</v>
      </c>
    </row>
    <row r="13">
      <c r="A13" s="5" t="s">
        <v>3896</v>
      </c>
      <c r="B13" s="5" t="s">
        <v>3897</v>
      </c>
    </row>
    <row r="14">
      <c r="A14" s="5" t="s">
        <v>3898</v>
      </c>
      <c r="B14" s="5" t="s">
        <v>3899</v>
      </c>
    </row>
    <row r="15">
      <c r="A15" s="5" t="s">
        <v>3900</v>
      </c>
      <c r="B15" s="5" t="s">
        <v>3901</v>
      </c>
    </row>
    <row r="16">
      <c r="A16" s="5" t="s">
        <v>3902</v>
      </c>
      <c r="B16" s="5" t="s">
        <v>3903</v>
      </c>
    </row>
    <row r="17">
      <c r="A17" s="5" t="s">
        <v>3904</v>
      </c>
      <c r="B17" s="5" t="s">
        <v>3905</v>
      </c>
    </row>
    <row r="18">
      <c r="A18" s="5" t="s">
        <v>3906</v>
      </c>
      <c r="B18" s="5" t="s">
        <v>3907</v>
      </c>
    </row>
    <row r="19">
      <c r="A19" s="5" t="s">
        <v>3908</v>
      </c>
      <c r="B19" s="5" t="s">
        <v>3909</v>
      </c>
    </row>
    <row r="20">
      <c r="A20" s="5" t="s">
        <v>3910</v>
      </c>
      <c r="B20" s="5" t="s">
        <v>3911</v>
      </c>
    </row>
    <row r="21">
      <c r="A21" s="5" t="s">
        <v>3912</v>
      </c>
      <c r="B21" s="5" t="s">
        <v>3913</v>
      </c>
    </row>
    <row r="22">
      <c r="A22" s="5" t="s">
        <v>3914</v>
      </c>
      <c r="B22" s="5" t="s">
        <v>3915</v>
      </c>
    </row>
    <row r="23">
      <c r="A23" s="5" t="s">
        <v>3916</v>
      </c>
      <c r="B23" s="5" t="s">
        <v>3917</v>
      </c>
    </row>
    <row r="24">
      <c r="A24" s="5" t="s">
        <v>3918</v>
      </c>
      <c r="B24" s="5" t="s">
        <v>3919</v>
      </c>
    </row>
    <row r="25">
      <c r="A25" s="5" t="s">
        <v>3920</v>
      </c>
      <c r="B25" s="5" t="s">
        <v>3921</v>
      </c>
    </row>
    <row r="26">
      <c r="A26" s="5" t="s">
        <v>3922</v>
      </c>
      <c r="B26" s="5" t="s">
        <v>3923</v>
      </c>
    </row>
    <row r="27">
      <c r="A27" s="5" t="s">
        <v>3924</v>
      </c>
      <c r="B27" s="5" t="s">
        <v>3925</v>
      </c>
    </row>
    <row r="28">
      <c r="A28" s="5" t="s">
        <v>3926</v>
      </c>
      <c r="B28" s="5" t="s">
        <v>3927</v>
      </c>
    </row>
    <row r="29">
      <c r="A29" s="5" t="s">
        <v>3928</v>
      </c>
      <c r="B29" s="5" t="s">
        <v>3929</v>
      </c>
    </row>
    <row r="30">
      <c r="A30" s="5" t="s">
        <v>3930</v>
      </c>
      <c r="B30" s="5" t="s">
        <v>3931</v>
      </c>
    </row>
    <row r="31">
      <c r="A31" s="5" t="s">
        <v>3932</v>
      </c>
      <c r="B31" s="5" t="s">
        <v>3933</v>
      </c>
    </row>
    <row r="32">
      <c r="A32" s="5" t="s">
        <v>3934</v>
      </c>
      <c r="B32" s="5" t="s">
        <v>3935</v>
      </c>
    </row>
    <row r="33">
      <c r="A33" s="5" t="s">
        <v>3936</v>
      </c>
      <c r="B33" s="5" t="s">
        <v>3937</v>
      </c>
    </row>
    <row r="34">
      <c r="A34" s="5" t="s">
        <v>3938</v>
      </c>
      <c r="B34" s="5" t="s">
        <v>3939</v>
      </c>
    </row>
    <row r="35">
      <c r="A35" s="5" t="s">
        <v>3940</v>
      </c>
      <c r="B35" s="5" t="s">
        <v>3941</v>
      </c>
    </row>
    <row r="36">
      <c r="A36" s="5" t="s">
        <v>3942</v>
      </c>
      <c r="B36" s="5" t="s">
        <v>3943</v>
      </c>
    </row>
    <row r="37">
      <c r="A37" s="5" t="s">
        <v>3944</v>
      </c>
      <c r="B37" s="5" t="s">
        <v>3945</v>
      </c>
    </row>
    <row r="38">
      <c r="A38" s="5" t="s">
        <v>3946</v>
      </c>
      <c r="B38" s="5" t="s">
        <v>3947</v>
      </c>
    </row>
    <row r="39">
      <c r="A39" s="5" t="s">
        <v>3948</v>
      </c>
      <c r="B39" s="5" t="s">
        <v>3949</v>
      </c>
    </row>
    <row r="40">
      <c r="A40" s="5" t="s">
        <v>3950</v>
      </c>
      <c r="B40" s="5" t="s">
        <v>3951</v>
      </c>
    </row>
    <row r="41">
      <c r="A41" s="5" t="s">
        <v>3952</v>
      </c>
      <c r="B41" s="5" t="s">
        <v>3953</v>
      </c>
    </row>
    <row r="42">
      <c r="A42" s="5" t="s">
        <v>3954</v>
      </c>
      <c r="B42" s="5" t="s">
        <v>3955</v>
      </c>
    </row>
    <row r="43">
      <c r="A43" s="5" t="s">
        <v>3956</v>
      </c>
      <c r="B43" s="5" t="s">
        <v>3957</v>
      </c>
    </row>
    <row r="44">
      <c r="A44" s="5" t="s">
        <v>3958</v>
      </c>
      <c r="B44" s="5" t="s">
        <v>3959</v>
      </c>
    </row>
    <row r="45">
      <c r="A45" s="5" t="s">
        <v>3960</v>
      </c>
      <c r="B45" s="5" t="s">
        <v>3961</v>
      </c>
    </row>
    <row r="46">
      <c r="A46" s="5" t="s">
        <v>3962</v>
      </c>
      <c r="B46" s="5" t="s">
        <v>3963</v>
      </c>
    </row>
    <row r="47">
      <c r="A47" s="5" t="s">
        <v>3964</v>
      </c>
      <c r="B47" s="5" t="s">
        <v>3965</v>
      </c>
    </row>
    <row r="48">
      <c r="A48" s="5" t="s">
        <v>3966</v>
      </c>
      <c r="B48" s="5" t="s">
        <v>3967</v>
      </c>
    </row>
    <row r="49">
      <c r="A49" s="5" t="s">
        <v>3968</v>
      </c>
      <c r="B49" s="5" t="s">
        <v>3969</v>
      </c>
    </row>
    <row r="50">
      <c r="A50" s="5" t="s">
        <v>3970</v>
      </c>
      <c r="B50" s="5" t="s">
        <v>3971</v>
      </c>
    </row>
    <row r="51">
      <c r="A51" s="5" t="s">
        <v>3972</v>
      </c>
      <c r="B51" s="5" t="s">
        <v>3973</v>
      </c>
    </row>
    <row r="52">
      <c r="A52" s="5" t="s">
        <v>3974</v>
      </c>
      <c r="B52" s="5" t="s">
        <v>3975</v>
      </c>
    </row>
    <row r="53">
      <c r="A53" s="5" t="s">
        <v>3976</v>
      </c>
      <c r="B53" s="5" t="s">
        <v>3977</v>
      </c>
    </row>
    <row r="54">
      <c r="A54" s="5" t="s">
        <v>3978</v>
      </c>
      <c r="B54" s="5" t="s">
        <v>3979</v>
      </c>
    </row>
    <row r="55">
      <c r="A55" s="5" t="s">
        <v>3980</v>
      </c>
      <c r="B55" s="5" t="s">
        <v>3981</v>
      </c>
    </row>
    <row r="56">
      <c r="A56" s="5" t="s">
        <v>3982</v>
      </c>
      <c r="B56" s="5" t="s">
        <v>3983</v>
      </c>
    </row>
    <row r="57">
      <c r="A57" s="5" t="s">
        <v>3984</v>
      </c>
      <c r="B57" s="5" t="s">
        <v>3985</v>
      </c>
    </row>
    <row r="58">
      <c r="A58" s="5" t="s">
        <v>3986</v>
      </c>
      <c r="B58" s="5" t="s">
        <v>3987</v>
      </c>
    </row>
    <row r="59">
      <c r="A59" s="5" t="s">
        <v>3988</v>
      </c>
      <c r="B59" s="5" t="s">
        <v>3989</v>
      </c>
    </row>
    <row r="60">
      <c r="A60" s="5" t="s">
        <v>3990</v>
      </c>
      <c r="B60" s="5" t="s">
        <v>3991</v>
      </c>
    </row>
    <row r="61">
      <c r="A61" s="5" t="s">
        <v>3992</v>
      </c>
      <c r="B61" s="5" t="s">
        <v>3993</v>
      </c>
    </row>
    <row r="62">
      <c r="A62" s="5" t="s">
        <v>3994</v>
      </c>
      <c r="B62" s="5" t="s">
        <v>3995</v>
      </c>
    </row>
    <row r="63">
      <c r="A63" s="5" t="s">
        <v>3996</v>
      </c>
      <c r="B63" s="5" t="s">
        <v>3997</v>
      </c>
    </row>
    <row r="64">
      <c r="A64" s="5" t="s">
        <v>3998</v>
      </c>
      <c r="B64" s="5" t="s">
        <v>3999</v>
      </c>
    </row>
    <row r="65">
      <c r="A65" s="5" t="s">
        <v>4000</v>
      </c>
      <c r="B65" s="5" t="s">
        <v>4001</v>
      </c>
    </row>
    <row r="66">
      <c r="A66" s="5" t="s">
        <v>4002</v>
      </c>
      <c r="B66" s="5" t="s">
        <v>4003</v>
      </c>
    </row>
    <row r="67">
      <c r="A67" s="5" t="s">
        <v>4004</v>
      </c>
      <c r="B67" s="5" t="s">
        <v>4005</v>
      </c>
    </row>
    <row r="68">
      <c r="A68" s="5" t="s">
        <v>4006</v>
      </c>
      <c r="B68" s="5" t="s">
        <v>4007</v>
      </c>
    </row>
    <row r="69">
      <c r="A69" s="5" t="s">
        <v>4008</v>
      </c>
      <c r="B69" s="5" t="s">
        <v>4009</v>
      </c>
    </row>
    <row r="70">
      <c r="A70" s="5" t="s">
        <v>4010</v>
      </c>
      <c r="B70" s="5" t="s">
        <v>4011</v>
      </c>
    </row>
    <row r="71">
      <c r="A71" s="5" t="s">
        <v>4012</v>
      </c>
      <c r="B71" s="5" t="s">
        <v>4013</v>
      </c>
    </row>
    <row r="72">
      <c r="A72" s="5" t="s">
        <v>4014</v>
      </c>
      <c r="B72" s="5" t="s">
        <v>4015</v>
      </c>
    </row>
    <row r="73">
      <c r="A73" s="5" t="s">
        <v>4016</v>
      </c>
      <c r="B73" s="5" t="s">
        <v>4017</v>
      </c>
    </row>
    <row r="74">
      <c r="A74" s="5" t="s">
        <v>4018</v>
      </c>
      <c r="B74" s="5" t="s">
        <v>4019</v>
      </c>
    </row>
    <row r="75">
      <c r="A75" s="5" t="s">
        <v>4020</v>
      </c>
      <c r="B75" s="5" t="s">
        <v>4021</v>
      </c>
    </row>
    <row r="76">
      <c r="A76" s="5" t="s">
        <v>4022</v>
      </c>
      <c r="B76" s="5" t="s">
        <v>4023</v>
      </c>
    </row>
    <row r="77">
      <c r="A77" s="5" t="s">
        <v>4024</v>
      </c>
      <c r="B77" s="5" t="s">
        <v>4025</v>
      </c>
    </row>
    <row r="78">
      <c r="A78" s="5" t="s">
        <v>4026</v>
      </c>
      <c r="B78" s="5" t="s">
        <v>4027</v>
      </c>
    </row>
    <row r="79">
      <c r="A79" s="5" t="s">
        <v>4028</v>
      </c>
      <c r="B79" s="5" t="s">
        <v>4029</v>
      </c>
    </row>
    <row r="80">
      <c r="A80" s="5" t="s">
        <v>4030</v>
      </c>
      <c r="B80" s="5" t="s">
        <v>4031</v>
      </c>
    </row>
    <row r="81">
      <c r="A81" s="5" t="s">
        <v>4032</v>
      </c>
      <c r="B81" s="5" t="s">
        <v>4033</v>
      </c>
    </row>
    <row r="82">
      <c r="A82" s="5" t="s">
        <v>4034</v>
      </c>
      <c r="B82" s="5" t="s">
        <v>4035</v>
      </c>
    </row>
    <row r="83">
      <c r="A83" s="5" t="s">
        <v>4036</v>
      </c>
      <c r="B83" s="5" t="s">
        <v>4037</v>
      </c>
    </row>
    <row r="84">
      <c r="A84" s="5" t="s">
        <v>4038</v>
      </c>
      <c r="B84" s="5" t="s">
        <v>4039</v>
      </c>
    </row>
    <row r="85">
      <c r="A85" s="5" t="s">
        <v>4040</v>
      </c>
      <c r="B85" s="5" t="s">
        <v>4041</v>
      </c>
    </row>
    <row r="86">
      <c r="A86" s="5" t="s">
        <v>4042</v>
      </c>
      <c r="B86" s="5" t="s">
        <v>4043</v>
      </c>
    </row>
    <row r="87">
      <c r="A87" s="5" t="s">
        <v>4044</v>
      </c>
      <c r="B87" s="5" t="s">
        <v>4045</v>
      </c>
    </row>
    <row r="88">
      <c r="A88" s="5" t="s">
        <v>4046</v>
      </c>
      <c r="B88" s="5" t="s">
        <v>4047</v>
      </c>
    </row>
    <row r="89">
      <c r="A89" s="5" t="s">
        <v>4048</v>
      </c>
      <c r="B89" s="5" t="s">
        <v>4049</v>
      </c>
    </row>
    <row r="90">
      <c r="A90" s="5" t="s">
        <v>4050</v>
      </c>
      <c r="B90" s="5" t="s">
        <v>4051</v>
      </c>
    </row>
    <row r="91">
      <c r="A91" s="5" t="s">
        <v>4052</v>
      </c>
      <c r="B91" s="5" t="s">
        <v>4053</v>
      </c>
    </row>
    <row r="92">
      <c r="A92" s="5" t="s">
        <v>4054</v>
      </c>
      <c r="B92" s="5" t="s">
        <v>4055</v>
      </c>
    </row>
    <row r="93">
      <c r="A93" s="5" t="s">
        <v>4056</v>
      </c>
      <c r="B93" s="5" t="s">
        <v>4057</v>
      </c>
    </row>
    <row r="94">
      <c r="A94" s="5" t="s">
        <v>4058</v>
      </c>
      <c r="B94" s="5" t="s">
        <v>4059</v>
      </c>
    </row>
    <row r="95">
      <c r="A95" s="5" t="s">
        <v>4060</v>
      </c>
      <c r="B95" s="5" t="s">
        <v>4061</v>
      </c>
    </row>
    <row r="96">
      <c r="A96" s="5" t="s">
        <v>4062</v>
      </c>
      <c r="B96" s="5" t="s">
        <v>4063</v>
      </c>
    </row>
    <row r="97">
      <c r="A97" s="5" t="s">
        <v>4064</v>
      </c>
      <c r="B97" s="5" t="s">
        <v>4065</v>
      </c>
    </row>
    <row r="98">
      <c r="A98" s="5" t="s">
        <v>4066</v>
      </c>
      <c r="B98" s="5" t="s">
        <v>4067</v>
      </c>
    </row>
    <row r="99">
      <c r="A99" s="5" t="s">
        <v>4068</v>
      </c>
      <c r="B99" s="5" t="s">
        <v>4069</v>
      </c>
    </row>
    <row r="100">
      <c r="A100" s="5" t="s">
        <v>4070</v>
      </c>
      <c r="B100" s="5" t="s">
        <v>4071</v>
      </c>
    </row>
    <row r="101">
      <c r="A101" s="5" t="s">
        <v>4072</v>
      </c>
      <c r="B101" s="5" t="s">
        <v>4073</v>
      </c>
    </row>
    <row r="102">
      <c r="A102" s="5" t="s">
        <v>4074</v>
      </c>
      <c r="B102" s="5" t="s">
        <v>4075</v>
      </c>
    </row>
    <row r="103">
      <c r="A103" s="5" t="s">
        <v>4076</v>
      </c>
      <c r="B103" s="5" t="s">
        <v>4077</v>
      </c>
    </row>
    <row r="104">
      <c r="A104" s="5" t="s">
        <v>4078</v>
      </c>
      <c r="B104" s="5" t="s">
        <v>4079</v>
      </c>
    </row>
    <row r="105">
      <c r="A105" s="5" t="s">
        <v>4080</v>
      </c>
      <c r="B105" s="5" t="s">
        <v>4081</v>
      </c>
    </row>
    <row r="106">
      <c r="A106" s="5" t="s">
        <v>4082</v>
      </c>
      <c r="B106" s="5" t="s">
        <v>4083</v>
      </c>
    </row>
    <row r="107">
      <c r="A107" s="5" t="s">
        <v>4084</v>
      </c>
      <c r="B107" s="5" t="s">
        <v>4085</v>
      </c>
    </row>
    <row r="108">
      <c r="A108" s="5" t="s">
        <v>4086</v>
      </c>
      <c r="B108" s="5" t="s">
        <v>4087</v>
      </c>
    </row>
    <row r="109">
      <c r="A109" s="5" t="s">
        <v>4088</v>
      </c>
      <c r="B109" s="5" t="s">
        <v>4089</v>
      </c>
    </row>
    <row r="110">
      <c r="A110" s="5" t="s">
        <v>4090</v>
      </c>
      <c r="B110" s="5" t="s">
        <v>4091</v>
      </c>
    </row>
    <row r="111">
      <c r="A111" s="5" t="s">
        <v>4092</v>
      </c>
      <c r="B111" s="5" t="s">
        <v>4093</v>
      </c>
    </row>
    <row r="112">
      <c r="A112" s="5" t="s">
        <v>4094</v>
      </c>
      <c r="B112" s="5" t="s">
        <v>4095</v>
      </c>
    </row>
    <row r="113">
      <c r="A113" s="5" t="s">
        <v>4096</v>
      </c>
      <c r="B113" s="5" t="s">
        <v>4097</v>
      </c>
    </row>
    <row r="114">
      <c r="A114" s="5" t="s">
        <v>4098</v>
      </c>
      <c r="B114" s="5" t="s">
        <v>4099</v>
      </c>
    </row>
    <row r="115">
      <c r="A115" s="5" t="s">
        <v>4100</v>
      </c>
      <c r="B115" s="5" t="s">
        <v>4101</v>
      </c>
    </row>
    <row r="116">
      <c r="A116" s="5" t="s">
        <v>4102</v>
      </c>
      <c r="B116" s="5" t="s">
        <v>4103</v>
      </c>
    </row>
    <row r="117">
      <c r="A117" s="5" t="s">
        <v>4104</v>
      </c>
      <c r="B117" s="5" t="s">
        <v>4105</v>
      </c>
    </row>
    <row r="118">
      <c r="A118" s="5" t="s">
        <v>4106</v>
      </c>
      <c r="B118" s="5" t="s">
        <v>4107</v>
      </c>
    </row>
    <row r="119">
      <c r="A119" s="5" t="s">
        <v>4108</v>
      </c>
      <c r="B119" s="5" t="s">
        <v>4109</v>
      </c>
    </row>
    <row r="120">
      <c r="A120" s="5" t="s">
        <v>4110</v>
      </c>
      <c r="B120" s="5" t="s">
        <v>4111</v>
      </c>
    </row>
    <row r="121">
      <c r="A121" s="5" t="s">
        <v>4112</v>
      </c>
      <c r="B121" s="5" t="s">
        <v>4113</v>
      </c>
    </row>
    <row r="122">
      <c r="A122" s="5" t="s">
        <v>4114</v>
      </c>
      <c r="B122" s="5" t="s">
        <v>4115</v>
      </c>
    </row>
    <row r="125">
      <c r="A125" s="5" t="s">
        <v>4116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0"/>
    <col customWidth="1" min="3" max="3" width="32.13"/>
    <col customWidth="1" min="9" max="9" width="36.38"/>
  </cols>
  <sheetData>
    <row r="1">
      <c r="A1" s="71"/>
      <c r="B1" s="72" t="s">
        <v>4117</v>
      </c>
      <c r="C1" s="71"/>
      <c r="D1" s="71"/>
      <c r="E1" s="71"/>
      <c r="F1" s="71"/>
      <c r="G1" s="10"/>
    </row>
    <row r="2">
      <c r="A2" s="73" t="s">
        <v>4118</v>
      </c>
      <c r="B2" s="74" t="s">
        <v>4119</v>
      </c>
      <c r="C2" s="74" t="s">
        <v>4120</v>
      </c>
      <c r="D2" s="74" t="s">
        <v>4121</v>
      </c>
      <c r="E2" s="74" t="s">
        <v>4122</v>
      </c>
      <c r="F2" s="75" t="s">
        <v>4123</v>
      </c>
      <c r="G2" s="10"/>
    </row>
    <row r="3">
      <c r="A3" s="76" t="s">
        <v>4124</v>
      </c>
      <c r="B3" s="77" t="s">
        <v>4125</v>
      </c>
      <c r="C3" s="77" t="s">
        <v>4126</v>
      </c>
      <c r="D3" s="78">
        <v>-26.2576271</v>
      </c>
      <c r="E3" s="78">
        <v>-53.6186331</v>
      </c>
      <c r="F3" s="77" t="s">
        <v>4127</v>
      </c>
      <c r="G3" s="10" t="s">
        <v>4128</v>
      </c>
      <c r="I3" s="79" t="str">
        <f t="shared" ref="I3:I17" si="1">substitute(RIGHT(B3, LEN(B3)-SEARCH("=",B3)),".",".")</f>
        <v>BRC_VGT_001</v>
      </c>
    </row>
    <row r="4">
      <c r="A4" s="76" t="s">
        <v>4129</v>
      </c>
      <c r="B4" s="77" t="s">
        <v>4130</v>
      </c>
      <c r="C4" s="77" t="s">
        <v>4131</v>
      </c>
      <c r="D4" s="78">
        <v>-26.2570373</v>
      </c>
      <c r="E4" s="78">
        <v>-53.628141</v>
      </c>
      <c r="F4" s="77" t="s">
        <v>4127</v>
      </c>
      <c r="G4" s="10" t="s">
        <v>4132</v>
      </c>
      <c r="I4" s="79" t="str">
        <f t="shared" si="1"/>
        <v>BRC_CEN_002</v>
      </c>
    </row>
    <row r="5">
      <c r="A5" s="76" t="s">
        <v>4133</v>
      </c>
      <c r="B5" s="77" t="s">
        <v>4134</v>
      </c>
      <c r="C5" s="77" t="s">
        <v>4135</v>
      </c>
      <c r="D5" s="78">
        <v>-26.2510022</v>
      </c>
      <c r="E5" s="78">
        <v>-53.6356097</v>
      </c>
      <c r="F5" s="77" t="s">
        <v>4127</v>
      </c>
      <c r="G5" s="10" t="s">
        <v>4136</v>
      </c>
      <c r="I5" s="79" t="str">
        <f t="shared" si="1"/>
        <v>BRC_CEN_003</v>
      </c>
    </row>
    <row r="6">
      <c r="A6" s="76" t="s">
        <v>4137</v>
      </c>
      <c r="B6" s="77" t="s">
        <v>4138</v>
      </c>
      <c r="C6" s="77" t="s">
        <v>4139</v>
      </c>
      <c r="D6" s="78">
        <v>-26.2491024</v>
      </c>
      <c r="E6" s="78">
        <v>-53.636099</v>
      </c>
      <c r="F6" s="77" t="s">
        <v>4127</v>
      </c>
      <c r="G6" s="10" t="s">
        <v>4140</v>
      </c>
      <c r="I6" s="79" t="str">
        <f t="shared" si="1"/>
        <v>BRC_ALV_004</v>
      </c>
    </row>
    <row r="7">
      <c r="A7" s="76" t="s">
        <v>4141</v>
      </c>
      <c r="B7" s="77" t="s">
        <v>4142</v>
      </c>
      <c r="C7" s="77" t="s">
        <v>4143</v>
      </c>
      <c r="D7" s="78">
        <v>-26.2496836</v>
      </c>
      <c r="E7" s="78">
        <v>-53.637182</v>
      </c>
      <c r="F7" s="77" t="s">
        <v>4127</v>
      </c>
      <c r="G7" s="10" t="s">
        <v>4144</v>
      </c>
      <c r="I7" s="79" t="str">
        <f t="shared" si="1"/>
        <v>BRC_FNT_005</v>
      </c>
    </row>
    <row r="8">
      <c r="A8" s="76" t="s">
        <v>4145</v>
      </c>
      <c r="B8" s="77" t="s">
        <v>4146</v>
      </c>
      <c r="C8" s="77" t="s">
        <v>4147</v>
      </c>
      <c r="D8" s="78">
        <v>-26.2520192</v>
      </c>
      <c r="E8" s="78">
        <v>-53.6388366</v>
      </c>
      <c r="F8" s="77" t="s">
        <v>4127</v>
      </c>
      <c r="G8" s="10" t="s">
        <v>4148</v>
      </c>
      <c r="I8" s="79" t="str">
        <f t="shared" si="1"/>
        <v>BRC_FNT_006</v>
      </c>
    </row>
    <row r="9">
      <c r="A9" s="76" t="s">
        <v>4149</v>
      </c>
      <c r="B9" s="77" t="s">
        <v>4150</v>
      </c>
      <c r="C9" s="77" t="s">
        <v>4151</v>
      </c>
      <c r="D9" s="78">
        <v>-26.2547771</v>
      </c>
      <c r="E9" s="78">
        <v>-53.6361819</v>
      </c>
      <c r="F9" s="77" t="s">
        <v>4127</v>
      </c>
      <c r="G9" s="10" t="s">
        <v>4152</v>
      </c>
      <c r="I9" s="79" t="str">
        <f t="shared" si="1"/>
        <v>BRC_FNT_007</v>
      </c>
    </row>
    <row r="10">
      <c r="A10" s="76" t="s">
        <v>4153</v>
      </c>
      <c r="B10" s="77" t="s">
        <v>4154</v>
      </c>
      <c r="C10" s="77" t="s">
        <v>4155</v>
      </c>
      <c r="D10" s="78">
        <v>-26.2535929</v>
      </c>
      <c r="E10" s="78">
        <v>-53.6357097</v>
      </c>
      <c r="F10" s="77" t="s">
        <v>4127</v>
      </c>
      <c r="G10" s="10" t="s">
        <v>4156</v>
      </c>
      <c r="I10" s="79" t="str">
        <f t="shared" si="1"/>
        <v>BRC_CEN_008</v>
      </c>
    </row>
    <row r="11">
      <c r="A11" s="76" t="s">
        <v>4157</v>
      </c>
      <c r="B11" s="77" t="s">
        <v>4158</v>
      </c>
      <c r="C11" s="77" t="s">
        <v>4159</v>
      </c>
      <c r="D11" s="78">
        <v>-26.2575538</v>
      </c>
      <c r="E11" s="78">
        <v>-53.6302116</v>
      </c>
      <c r="F11" s="77" t="s">
        <v>4127</v>
      </c>
      <c r="G11" s="10" t="s">
        <v>4160</v>
      </c>
      <c r="I11" s="79" t="str">
        <f t="shared" si="1"/>
        <v>BRC_FNT_009</v>
      </c>
    </row>
    <row r="12">
      <c r="A12" s="76" t="s">
        <v>4161</v>
      </c>
      <c r="B12" s="77" t="s">
        <v>4162</v>
      </c>
      <c r="C12" s="77" t="s">
        <v>4163</v>
      </c>
      <c r="D12" s="78">
        <v>-26.25731</v>
      </c>
      <c r="E12" s="78">
        <v>-53.628189</v>
      </c>
      <c r="F12" s="77" t="s">
        <v>4127</v>
      </c>
      <c r="G12" s="10" t="s">
        <v>4164</v>
      </c>
      <c r="I12" s="79" t="str">
        <f t="shared" si="1"/>
        <v>BRC_CEN_010</v>
      </c>
    </row>
    <row r="13">
      <c r="A13" s="76" t="s">
        <v>4165</v>
      </c>
      <c r="B13" s="77" t="s">
        <v>4166</v>
      </c>
      <c r="C13" s="77" t="s">
        <v>4163</v>
      </c>
      <c r="D13" s="78">
        <v>-26.257286</v>
      </c>
      <c r="E13" s="78">
        <v>-53.628304</v>
      </c>
      <c r="F13" s="77" t="s">
        <v>4127</v>
      </c>
      <c r="G13" s="10" t="s">
        <v>4167</v>
      </c>
      <c r="I13" s="79" t="str">
        <f t="shared" si="1"/>
        <v>1-8&amp;subtype=0</v>
      </c>
    </row>
    <row r="14">
      <c r="A14" s="76" t="s">
        <v>4168</v>
      </c>
      <c r="B14" s="77" t="s">
        <v>4169</v>
      </c>
      <c r="C14" s="77" t="s">
        <v>4163</v>
      </c>
      <c r="D14" s="78">
        <v>-26.257286</v>
      </c>
      <c r="E14" s="78">
        <v>-53.628304</v>
      </c>
      <c r="F14" s="77" t="s">
        <v>4127</v>
      </c>
      <c r="G14" s="10" t="s">
        <v>4167</v>
      </c>
      <c r="I14" s="79" t="str">
        <f t="shared" si="1"/>
        <v>2-8&amp;subtype=0</v>
      </c>
    </row>
    <row r="15">
      <c r="A15" s="76" t="s">
        <v>4170</v>
      </c>
      <c r="B15" s="77" t="s">
        <v>4171</v>
      </c>
      <c r="C15" s="77" t="s">
        <v>4163</v>
      </c>
      <c r="D15" s="78">
        <v>-26.257369</v>
      </c>
      <c r="E15" s="78">
        <v>-53.62832</v>
      </c>
      <c r="F15" s="77" t="s">
        <v>4127</v>
      </c>
      <c r="G15" s="10" t="s">
        <v>4172</v>
      </c>
      <c r="I15" s="79" t="str">
        <f t="shared" si="1"/>
        <v>3-8&amp;subtype=0</v>
      </c>
    </row>
    <row r="16">
      <c r="A16" s="76" t="s">
        <v>4173</v>
      </c>
      <c r="B16" s="77" t="s">
        <v>4174</v>
      </c>
      <c r="C16" s="77" t="s">
        <v>4163</v>
      </c>
      <c r="D16" s="78">
        <v>-26.257126</v>
      </c>
      <c r="E16" s="78">
        <v>-53.628571</v>
      </c>
      <c r="F16" s="77" t="s">
        <v>4127</v>
      </c>
      <c r="G16" s="10" t="s">
        <v>4175</v>
      </c>
      <c r="I16" s="79" t="str">
        <f t="shared" si="1"/>
        <v>4-8&amp;subtype=0</v>
      </c>
    </row>
    <row r="17">
      <c r="A17" s="76" t="s">
        <v>4176</v>
      </c>
      <c r="B17" s="77" t="s">
        <v>4177</v>
      </c>
      <c r="C17" s="77" t="s">
        <v>4163</v>
      </c>
      <c r="D17" s="78">
        <v>-26.257268</v>
      </c>
      <c r="E17" s="78">
        <v>-53.628626</v>
      </c>
      <c r="F17" s="77" t="s">
        <v>4127</v>
      </c>
      <c r="G17" s="10" t="s">
        <v>4178</v>
      </c>
      <c r="I17" s="79" t="str">
        <f t="shared" si="1"/>
        <v>5-8&amp;subtype=0</v>
      </c>
    </row>
    <row r="18">
      <c r="A18" s="71"/>
      <c r="B18" s="72" t="s">
        <v>4179</v>
      </c>
      <c r="C18" s="71"/>
      <c r="D18" s="71"/>
      <c r="E18" s="71"/>
      <c r="F18" s="71"/>
      <c r="G18" s="10"/>
    </row>
    <row r="19">
      <c r="A19" s="73" t="s">
        <v>4118</v>
      </c>
      <c r="B19" s="74" t="s">
        <v>4119</v>
      </c>
      <c r="C19" s="74" t="s">
        <v>4120</v>
      </c>
      <c r="D19" s="74" t="s">
        <v>4121</v>
      </c>
      <c r="E19" s="74" t="s">
        <v>4122</v>
      </c>
      <c r="F19" s="75" t="s">
        <v>4123</v>
      </c>
      <c r="G19" s="10"/>
    </row>
    <row r="20">
      <c r="A20" s="76" t="s">
        <v>4124</v>
      </c>
      <c r="B20" s="77" t="s">
        <v>4180</v>
      </c>
      <c r="C20" s="80" t="s">
        <v>4181</v>
      </c>
      <c r="D20" s="81" t="s">
        <v>4182</v>
      </c>
      <c r="E20" s="82" t="s">
        <v>4183</v>
      </c>
      <c r="F20" s="77" t="s">
        <v>4127</v>
      </c>
      <c r="G20" s="14" t="s">
        <v>4184</v>
      </c>
    </row>
    <row r="21">
      <c r="A21" s="76" t="s">
        <v>4129</v>
      </c>
      <c r="B21" s="77" t="s">
        <v>4185</v>
      </c>
      <c r="C21" s="10" t="s">
        <v>4186</v>
      </c>
      <c r="D21" s="83" t="s">
        <v>4187</v>
      </c>
      <c r="E21" s="81" t="s">
        <v>4188</v>
      </c>
      <c r="F21" s="77" t="s">
        <v>4127</v>
      </c>
      <c r="G21" s="14" t="s">
        <v>4189</v>
      </c>
    </row>
    <row r="22">
      <c r="A22" s="76" t="s">
        <v>4133</v>
      </c>
      <c r="B22" s="77" t="s">
        <v>4190</v>
      </c>
      <c r="C22" s="10" t="s">
        <v>4191</v>
      </c>
      <c r="D22" s="84" t="s">
        <v>4192</v>
      </c>
      <c r="E22" s="83" t="s">
        <v>4193</v>
      </c>
      <c r="F22" s="77" t="s">
        <v>4127</v>
      </c>
      <c r="G22" s="14" t="s">
        <v>4194</v>
      </c>
    </row>
    <row r="23">
      <c r="A23" s="76" t="s">
        <v>4137</v>
      </c>
      <c r="B23" s="77" t="s">
        <v>4195</v>
      </c>
      <c r="C23" s="10" t="s">
        <v>4196</v>
      </c>
      <c r="D23" s="84" t="s">
        <v>4197</v>
      </c>
      <c r="E23" s="83" t="s">
        <v>4198</v>
      </c>
      <c r="F23" s="77" t="s">
        <v>4127</v>
      </c>
      <c r="G23" s="14" t="s">
        <v>4199</v>
      </c>
    </row>
    <row r="24">
      <c r="A24" s="76" t="s">
        <v>4141</v>
      </c>
      <c r="B24" s="77" t="s">
        <v>4200</v>
      </c>
      <c r="C24" s="71" t="s">
        <v>4201</v>
      </c>
      <c r="D24" s="84" t="s">
        <v>4202</v>
      </c>
      <c r="E24" s="83" t="s">
        <v>4203</v>
      </c>
      <c r="F24" s="77" t="s">
        <v>4127</v>
      </c>
      <c r="G24" s="14" t="s">
        <v>4204</v>
      </c>
    </row>
    <row r="25">
      <c r="A25" s="76" t="s">
        <v>4145</v>
      </c>
      <c r="B25" s="77" t="s">
        <v>4205</v>
      </c>
      <c r="C25" s="77" t="s">
        <v>4206</v>
      </c>
      <c r="D25" s="84" t="s">
        <v>4207</v>
      </c>
      <c r="E25" s="83" t="s">
        <v>4208</v>
      </c>
      <c r="F25" s="77" t="s">
        <v>4127</v>
      </c>
      <c r="G25" s="14" t="s">
        <v>4209</v>
      </c>
    </row>
    <row r="26">
      <c r="A26" s="76" t="s">
        <v>4149</v>
      </c>
      <c r="B26" s="77" t="s">
        <v>4210</v>
      </c>
      <c r="C26" s="14" t="s">
        <v>4211</v>
      </c>
      <c r="D26" s="84" t="s">
        <v>4212</v>
      </c>
      <c r="E26" s="82" t="s">
        <v>4213</v>
      </c>
      <c r="F26" s="77" t="s">
        <v>4127</v>
      </c>
      <c r="G26" s="14" t="s">
        <v>4214</v>
      </c>
    </row>
    <row r="27">
      <c r="A27" s="76" t="s">
        <v>4153</v>
      </c>
      <c r="B27" s="77" t="s">
        <v>4215</v>
      </c>
      <c r="C27" s="71" t="s">
        <v>4216</v>
      </c>
      <c r="D27" s="83" t="s">
        <v>4217</v>
      </c>
      <c r="E27" s="81" t="s">
        <v>4218</v>
      </c>
      <c r="F27" s="77" t="s">
        <v>4127</v>
      </c>
      <c r="G27" s="14" t="s">
        <v>4219</v>
      </c>
    </row>
    <row r="28">
      <c r="A28" s="76" t="s">
        <v>4157</v>
      </c>
      <c r="B28" s="77" t="s">
        <v>4220</v>
      </c>
      <c r="C28" s="77" t="s">
        <v>4221</v>
      </c>
      <c r="D28" s="84" t="s">
        <v>4222</v>
      </c>
      <c r="E28" s="83" t="s">
        <v>4223</v>
      </c>
      <c r="F28" s="77" t="s">
        <v>4127</v>
      </c>
      <c r="G28" s="14" t="s">
        <v>4224</v>
      </c>
    </row>
    <row r="29">
      <c r="A29" s="76" t="s">
        <v>4161</v>
      </c>
      <c r="B29" s="77" t="s">
        <v>4225</v>
      </c>
      <c r="C29" s="14" t="s">
        <v>4163</v>
      </c>
      <c r="D29" s="84" t="s">
        <v>4226</v>
      </c>
      <c r="E29" s="83" t="s">
        <v>4227</v>
      </c>
      <c r="F29" s="77" t="s">
        <v>4127</v>
      </c>
      <c r="G29" s="14" t="s">
        <v>4228</v>
      </c>
    </row>
    <row r="30">
      <c r="A30" s="71"/>
      <c r="B30" s="72" t="s">
        <v>4229</v>
      </c>
      <c r="C30" s="71"/>
      <c r="D30" s="71"/>
      <c r="E30" s="71"/>
      <c r="F30" s="71"/>
      <c r="G30" s="10"/>
    </row>
    <row r="31">
      <c r="A31" s="73" t="s">
        <v>4118</v>
      </c>
      <c r="B31" s="74" t="s">
        <v>4119</v>
      </c>
      <c r="C31" s="74" t="s">
        <v>4120</v>
      </c>
      <c r="D31" s="74" t="s">
        <v>4121</v>
      </c>
      <c r="E31" s="74" t="s">
        <v>4122</v>
      </c>
      <c r="F31" s="75" t="s">
        <v>4123</v>
      </c>
      <c r="G31" s="10"/>
    </row>
    <row r="32">
      <c r="A32" s="76" t="s">
        <v>4124</v>
      </c>
      <c r="B32" s="77" t="s">
        <v>4230</v>
      </c>
      <c r="C32" s="14" t="s">
        <v>4231</v>
      </c>
      <c r="D32" s="85" t="s">
        <v>4232</v>
      </c>
      <c r="E32" s="86" t="s">
        <v>4233</v>
      </c>
      <c r="F32" s="77" t="s">
        <v>4234</v>
      </c>
      <c r="G32" s="14" t="s">
        <v>4235</v>
      </c>
    </row>
    <row r="33">
      <c r="A33" s="76" t="s">
        <v>4129</v>
      </c>
      <c r="B33" s="77" t="s">
        <v>4236</v>
      </c>
      <c r="C33" s="87" t="s">
        <v>4237</v>
      </c>
      <c r="D33" s="85" t="s">
        <v>4238</v>
      </c>
      <c r="E33" s="86" t="s">
        <v>4239</v>
      </c>
      <c r="F33" s="77" t="s">
        <v>4234</v>
      </c>
      <c r="G33" s="14" t="s">
        <v>4240</v>
      </c>
    </row>
    <row r="34">
      <c r="A34" s="76" t="s">
        <v>4133</v>
      </c>
      <c r="B34" s="77" t="s">
        <v>4241</v>
      </c>
      <c r="C34" s="77" t="s">
        <v>4242</v>
      </c>
      <c r="D34" s="85" t="s">
        <v>4243</v>
      </c>
      <c r="E34" s="86" t="s">
        <v>4244</v>
      </c>
      <c r="F34" s="77" t="s">
        <v>4234</v>
      </c>
      <c r="G34" s="14" t="s">
        <v>4245</v>
      </c>
    </row>
    <row r="35">
      <c r="A35" s="76" t="s">
        <v>4137</v>
      </c>
      <c r="B35" s="77" t="s">
        <v>4246</v>
      </c>
      <c r="C35" s="77" t="s">
        <v>4247</v>
      </c>
      <c r="D35" s="85" t="s">
        <v>4248</v>
      </c>
      <c r="E35" s="86" t="s">
        <v>4249</v>
      </c>
      <c r="F35" s="77" t="s">
        <v>4234</v>
      </c>
      <c r="G35" s="14" t="s">
        <v>4250</v>
      </c>
    </row>
    <row r="36">
      <c r="A36" s="76" t="s">
        <v>4141</v>
      </c>
      <c r="B36" s="77" t="s">
        <v>4251</v>
      </c>
      <c r="C36" s="77" t="s">
        <v>4252</v>
      </c>
      <c r="D36" s="85" t="s">
        <v>4253</v>
      </c>
      <c r="E36" s="86" t="s">
        <v>4254</v>
      </c>
      <c r="F36" s="77" t="s">
        <v>4234</v>
      </c>
      <c r="G36" s="14" t="s">
        <v>4255</v>
      </c>
    </row>
    <row r="37">
      <c r="A37" s="76" t="s">
        <v>4145</v>
      </c>
      <c r="B37" s="77" t="s">
        <v>4256</v>
      </c>
      <c r="C37" s="77" t="s">
        <v>4257</v>
      </c>
      <c r="D37" s="85" t="s">
        <v>4258</v>
      </c>
      <c r="E37" s="86" t="s">
        <v>4259</v>
      </c>
      <c r="F37" s="77" t="s">
        <v>4234</v>
      </c>
      <c r="G37" s="14" t="s">
        <v>4260</v>
      </c>
    </row>
    <row r="38">
      <c r="A38" s="76" t="s">
        <v>4149</v>
      </c>
      <c r="B38" s="77" t="s">
        <v>4261</v>
      </c>
      <c r="C38" s="77" t="s">
        <v>4262</v>
      </c>
      <c r="D38" s="85" t="s">
        <v>4263</v>
      </c>
      <c r="E38" s="86" t="s">
        <v>4264</v>
      </c>
      <c r="F38" s="77" t="s">
        <v>4234</v>
      </c>
      <c r="G38" s="14" t="s">
        <v>4265</v>
      </c>
    </row>
    <row r="39">
      <c r="A39" s="76" t="s">
        <v>4153</v>
      </c>
      <c r="B39" s="77" t="s">
        <v>4266</v>
      </c>
      <c r="C39" s="77" t="s">
        <v>4267</v>
      </c>
      <c r="D39" s="85" t="s">
        <v>4268</v>
      </c>
      <c r="E39" s="86" t="s">
        <v>4269</v>
      </c>
      <c r="F39" s="77" t="s">
        <v>4234</v>
      </c>
      <c r="G39" s="14" t="s">
        <v>4270</v>
      </c>
    </row>
    <row r="40">
      <c r="A40" s="76" t="s">
        <v>4157</v>
      </c>
      <c r="B40" s="77" t="s">
        <v>4271</v>
      </c>
      <c r="C40" s="77" t="s">
        <v>4272</v>
      </c>
      <c r="D40" s="85" t="s">
        <v>4273</v>
      </c>
      <c r="E40" s="86" t="s">
        <v>4274</v>
      </c>
      <c r="F40" s="77" t="s">
        <v>4234</v>
      </c>
      <c r="G40" s="14" t="s">
        <v>4275</v>
      </c>
    </row>
    <row r="41">
      <c r="A41" s="76" t="s">
        <v>4161</v>
      </c>
      <c r="B41" s="77" t="s">
        <v>4276</v>
      </c>
      <c r="C41" s="77" t="s">
        <v>4277</v>
      </c>
      <c r="D41" s="85" t="s">
        <v>4278</v>
      </c>
      <c r="E41" s="86" t="s">
        <v>4279</v>
      </c>
      <c r="F41" s="77" t="s">
        <v>4234</v>
      </c>
      <c r="G41" s="14" t="s">
        <v>4280</v>
      </c>
    </row>
    <row r="42">
      <c r="A42" s="71"/>
      <c r="B42" s="72" t="s">
        <v>4281</v>
      </c>
      <c r="C42" s="71"/>
      <c r="D42" s="71"/>
      <c r="E42" s="71"/>
      <c r="F42" s="71"/>
      <c r="G42" s="10"/>
    </row>
    <row r="43">
      <c r="A43" s="73" t="s">
        <v>4118</v>
      </c>
      <c r="B43" s="74" t="s">
        <v>4119</v>
      </c>
      <c r="C43" s="74" t="s">
        <v>4120</v>
      </c>
      <c r="D43" s="74" t="s">
        <v>4121</v>
      </c>
      <c r="E43" s="74" t="s">
        <v>4122</v>
      </c>
      <c r="F43" s="75" t="s">
        <v>4123</v>
      </c>
      <c r="G43" s="10"/>
    </row>
    <row r="44">
      <c r="A44" s="76" t="s">
        <v>4124</v>
      </c>
      <c r="B44" s="77" t="s">
        <v>4282</v>
      </c>
      <c r="C44" s="88" t="s">
        <v>4283</v>
      </c>
      <c r="D44" s="85" t="s">
        <v>4284</v>
      </c>
      <c r="E44" s="86" t="s">
        <v>4285</v>
      </c>
      <c r="F44" s="77" t="s">
        <v>4286</v>
      </c>
      <c r="G44" s="14" t="s">
        <v>4287</v>
      </c>
    </row>
    <row r="45">
      <c r="A45" s="76" t="s">
        <v>4129</v>
      </c>
      <c r="B45" s="77" t="s">
        <v>4288</v>
      </c>
      <c r="C45" s="77" t="s">
        <v>4289</v>
      </c>
      <c r="D45" s="85" t="s">
        <v>4290</v>
      </c>
      <c r="E45" s="86" t="s">
        <v>4291</v>
      </c>
      <c r="F45" s="77" t="s">
        <v>4286</v>
      </c>
      <c r="G45" s="14" t="s">
        <v>4292</v>
      </c>
    </row>
    <row r="46">
      <c r="A46" s="76" t="s">
        <v>4133</v>
      </c>
      <c r="B46" s="77" t="s">
        <v>4293</v>
      </c>
      <c r="C46" s="87" t="s">
        <v>4294</v>
      </c>
      <c r="D46" s="85" t="s">
        <v>4295</v>
      </c>
      <c r="E46" s="86" t="s">
        <v>4296</v>
      </c>
      <c r="F46" s="77" t="s">
        <v>4286</v>
      </c>
      <c r="G46" s="14" t="s">
        <v>4297</v>
      </c>
    </row>
    <row r="47">
      <c r="A47" s="76" t="s">
        <v>4137</v>
      </c>
      <c r="B47" s="77" t="s">
        <v>4298</v>
      </c>
      <c r="C47" s="77" t="s">
        <v>4299</v>
      </c>
      <c r="D47" s="85" t="s">
        <v>4300</v>
      </c>
      <c r="E47" s="86" t="s">
        <v>4301</v>
      </c>
      <c r="F47" s="77" t="s">
        <v>4286</v>
      </c>
      <c r="G47" s="14" t="s">
        <v>4302</v>
      </c>
    </row>
    <row r="48">
      <c r="A48" s="76" t="s">
        <v>4141</v>
      </c>
      <c r="B48" s="77" t="s">
        <v>4303</v>
      </c>
      <c r="C48" s="77" t="s">
        <v>4304</v>
      </c>
      <c r="D48" s="85" t="s">
        <v>4305</v>
      </c>
      <c r="E48" s="86" t="s">
        <v>4306</v>
      </c>
      <c r="F48" s="77" t="s">
        <v>4286</v>
      </c>
      <c r="G48" s="14" t="s">
        <v>4307</v>
      </c>
    </row>
    <row r="49">
      <c r="A49" s="76" t="s">
        <v>4145</v>
      </c>
      <c r="B49" s="77" t="s">
        <v>4308</v>
      </c>
      <c r="C49" s="77" t="s">
        <v>4309</v>
      </c>
      <c r="D49" s="85" t="s">
        <v>4310</v>
      </c>
      <c r="E49" s="86" t="s">
        <v>4311</v>
      </c>
      <c r="F49" s="77" t="s">
        <v>4286</v>
      </c>
      <c r="G49" s="14" t="s">
        <v>4312</v>
      </c>
    </row>
    <row r="50">
      <c r="A50" s="76" t="s">
        <v>4149</v>
      </c>
      <c r="B50" s="77" t="s">
        <v>4313</v>
      </c>
      <c r="C50" s="89" t="s">
        <v>4314</v>
      </c>
      <c r="D50" s="85" t="s">
        <v>4315</v>
      </c>
      <c r="E50" s="86" t="s">
        <v>4316</v>
      </c>
      <c r="F50" s="77" t="s">
        <v>4286</v>
      </c>
      <c r="G50" s="14" t="s">
        <v>4317</v>
      </c>
    </row>
    <row r="51">
      <c r="A51" s="76" t="s">
        <v>4153</v>
      </c>
      <c r="B51" s="77" t="s">
        <v>4318</v>
      </c>
      <c r="C51" s="77" t="s">
        <v>4319</v>
      </c>
      <c r="D51" s="85" t="s">
        <v>4320</v>
      </c>
      <c r="E51" s="86" t="s">
        <v>4321</v>
      </c>
      <c r="F51" s="77" t="s">
        <v>4286</v>
      </c>
      <c r="G51" s="14" t="s">
        <v>4322</v>
      </c>
    </row>
    <row r="52">
      <c r="A52" s="76" t="s">
        <v>4157</v>
      </c>
      <c r="B52" s="77" t="s">
        <v>4323</v>
      </c>
      <c r="C52" s="77" t="s">
        <v>4324</v>
      </c>
      <c r="D52" s="85" t="s">
        <v>4325</v>
      </c>
      <c r="E52" s="86" t="s">
        <v>4326</v>
      </c>
      <c r="F52" s="77" t="s">
        <v>4286</v>
      </c>
      <c r="G52" s="14" t="s">
        <v>4327</v>
      </c>
    </row>
    <row r="53">
      <c r="A53" s="76" t="s">
        <v>4161</v>
      </c>
      <c r="B53" s="77" t="s">
        <v>4328</v>
      </c>
      <c r="C53" s="25" t="s">
        <v>4329</v>
      </c>
      <c r="D53" s="85" t="s">
        <v>4330</v>
      </c>
      <c r="E53" s="86" t="s">
        <v>4331</v>
      </c>
      <c r="F53" s="77" t="s">
        <v>4286</v>
      </c>
      <c r="G53" s="14" t="s">
        <v>4332</v>
      </c>
    </row>
    <row r="54">
      <c r="A54" s="76" t="s">
        <v>4165</v>
      </c>
      <c r="B54" s="77" t="s">
        <v>4333</v>
      </c>
      <c r="C54" s="90" t="s">
        <v>4334</v>
      </c>
      <c r="D54" s="85" t="s">
        <v>4335</v>
      </c>
      <c r="E54" s="86" t="s">
        <v>4336</v>
      </c>
      <c r="F54" s="77" t="s">
        <v>4286</v>
      </c>
      <c r="G54" s="14" t="s">
        <v>4337</v>
      </c>
    </row>
    <row r="55">
      <c r="A55" s="71"/>
      <c r="B55" s="72" t="s">
        <v>4338</v>
      </c>
      <c r="C55" s="71"/>
      <c r="D55" s="71"/>
      <c r="E55" s="71"/>
      <c r="F55" s="71"/>
      <c r="G55" s="10"/>
    </row>
    <row r="56">
      <c r="A56" s="73" t="s">
        <v>4118</v>
      </c>
      <c r="B56" s="74" t="s">
        <v>4119</v>
      </c>
      <c r="C56" s="74" t="s">
        <v>4120</v>
      </c>
      <c r="D56" s="74" t="s">
        <v>4121</v>
      </c>
      <c r="E56" s="74" t="s">
        <v>4122</v>
      </c>
      <c r="F56" s="75" t="s">
        <v>4123</v>
      </c>
      <c r="G56" s="10"/>
    </row>
    <row r="57">
      <c r="A57" s="76" t="s">
        <v>4124</v>
      </c>
      <c r="B57" s="77" t="s">
        <v>4339</v>
      </c>
      <c r="C57" s="88" t="s">
        <v>4340</v>
      </c>
      <c r="D57" s="85" t="s">
        <v>4341</v>
      </c>
      <c r="E57" s="86" t="s">
        <v>4342</v>
      </c>
      <c r="F57" s="77" t="s">
        <v>4234</v>
      </c>
      <c r="G57" s="14" t="s">
        <v>4343</v>
      </c>
    </row>
    <row r="58">
      <c r="A58" s="76" t="s">
        <v>4129</v>
      </c>
      <c r="B58" s="77" t="s">
        <v>4344</v>
      </c>
      <c r="C58" s="77" t="s">
        <v>4345</v>
      </c>
      <c r="D58" s="85" t="s">
        <v>4346</v>
      </c>
      <c r="E58" s="86" t="s">
        <v>4347</v>
      </c>
      <c r="F58" s="77" t="s">
        <v>4234</v>
      </c>
      <c r="G58" s="14" t="s">
        <v>4348</v>
      </c>
    </row>
    <row r="59">
      <c r="A59" s="76" t="s">
        <v>4133</v>
      </c>
      <c r="B59" s="77" t="s">
        <v>4349</v>
      </c>
      <c r="C59" s="87" t="s">
        <v>4350</v>
      </c>
      <c r="D59" s="85" t="s">
        <v>4351</v>
      </c>
      <c r="E59" s="86" t="s">
        <v>4352</v>
      </c>
      <c r="F59" s="77" t="s">
        <v>4234</v>
      </c>
      <c r="G59" s="14" t="s">
        <v>4353</v>
      </c>
    </row>
    <row r="60">
      <c r="A60" s="76" t="s">
        <v>4137</v>
      </c>
      <c r="B60" s="77" t="s">
        <v>4354</v>
      </c>
      <c r="C60" s="77" t="s">
        <v>4355</v>
      </c>
      <c r="D60" s="85" t="s">
        <v>4356</v>
      </c>
      <c r="E60" s="86" t="s">
        <v>4357</v>
      </c>
      <c r="F60" s="77" t="s">
        <v>4234</v>
      </c>
      <c r="G60" s="14" t="s">
        <v>4358</v>
      </c>
    </row>
    <row r="61">
      <c r="A61" s="76" t="s">
        <v>4141</v>
      </c>
      <c r="B61" s="77" t="s">
        <v>4359</v>
      </c>
      <c r="C61" s="77" t="s">
        <v>4360</v>
      </c>
      <c r="D61" s="85" t="s">
        <v>4361</v>
      </c>
      <c r="E61" s="86" t="s">
        <v>4362</v>
      </c>
      <c r="F61" s="77" t="s">
        <v>4234</v>
      </c>
      <c r="G61" s="14" t="s">
        <v>4363</v>
      </c>
    </row>
    <row r="62">
      <c r="A62" s="76" t="s">
        <v>4145</v>
      </c>
      <c r="B62" s="77" t="s">
        <v>4364</v>
      </c>
      <c r="C62" s="77" t="s">
        <v>4365</v>
      </c>
      <c r="D62" s="85" t="s">
        <v>4366</v>
      </c>
      <c r="E62" s="86" t="s">
        <v>4367</v>
      </c>
      <c r="F62" s="77" t="s">
        <v>4234</v>
      </c>
      <c r="G62" s="14" t="s">
        <v>4368</v>
      </c>
    </row>
    <row r="63">
      <c r="A63" s="76" t="s">
        <v>4149</v>
      </c>
      <c r="B63" s="77" t="s">
        <v>4369</v>
      </c>
      <c r="C63" s="77" t="s">
        <v>4370</v>
      </c>
      <c r="D63" s="85" t="s">
        <v>4371</v>
      </c>
      <c r="E63" s="86" t="s">
        <v>4372</v>
      </c>
      <c r="F63" s="77" t="s">
        <v>4234</v>
      </c>
      <c r="G63" s="14" t="s">
        <v>4373</v>
      </c>
    </row>
    <row r="64">
      <c r="A64" s="76" t="s">
        <v>4153</v>
      </c>
      <c r="B64" s="77" t="s">
        <v>4374</v>
      </c>
      <c r="C64" s="77" t="s">
        <v>4375</v>
      </c>
      <c r="D64" s="85" t="s">
        <v>4376</v>
      </c>
      <c r="E64" s="86" t="s">
        <v>4377</v>
      </c>
      <c r="F64" s="77" t="s">
        <v>4234</v>
      </c>
      <c r="G64" s="14" t="s">
        <v>4378</v>
      </c>
    </row>
    <row r="65">
      <c r="A65" s="76" t="s">
        <v>4157</v>
      </c>
      <c r="B65" s="77" t="s">
        <v>4379</v>
      </c>
      <c r="C65" s="77" t="s">
        <v>4380</v>
      </c>
      <c r="D65" s="85" t="s">
        <v>4381</v>
      </c>
      <c r="E65" s="86" t="s">
        <v>4382</v>
      </c>
      <c r="F65" s="77" t="s">
        <v>4234</v>
      </c>
      <c r="G65" s="14" t="s">
        <v>4383</v>
      </c>
    </row>
    <row r="66">
      <c r="A66" s="76" t="s">
        <v>4161</v>
      </c>
      <c r="B66" s="77" t="s">
        <v>4384</v>
      </c>
      <c r="C66" s="77" t="s">
        <v>4385</v>
      </c>
      <c r="D66" s="85" t="s">
        <v>4386</v>
      </c>
      <c r="E66" s="86" t="s">
        <v>4387</v>
      </c>
      <c r="F66" s="77" t="s">
        <v>4234</v>
      </c>
      <c r="G66" s="14" t="s">
        <v>4388</v>
      </c>
    </row>
    <row r="67">
      <c r="A67" s="76" t="s">
        <v>4165</v>
      </c>
      <c r="B67" s="77" t="s">
        <v>4389</v>
      </c>
      <c r="C67" s="90" t="s">
        <v>4390</v>
      </c>
      <c r="D67" s="85" t="s">
        <v>4391</v>
      </c>
      <c r="E67" s="86" t="s">
        <v>4392</v>
      </c>
      <c r="F67" s="77" t="s">
        <v>4234</v>
      </c>
      <c r="G67" s="14" t="s">
        <v>4393</v>
      </c>
    </row>
    <row r="68">
      <c r="A68" s="71"/>
      <c r="B68" s="72" t="s">
        <v>4394</v>
      </c>
      <c r="C68" s="71"/>
      <c r="D68" s="71"/>
      <c r="E68" s="71"/>
      <c r="F68" s="71"/>
      <c r="G68" s="10"/>
    </row>
    <row r="69">
      <c r="A69" s="73" t="s">
        <v>4118</v>
      </c>
      <c r="B69" s="74" t="s">
        <v>4119</v>
      </c>
      <c r="C69" s="74" t="s">
        <v>4120</v>
      </c>
      <c r="D69" s="74" t="s">
        <v>4121</v>
      </c>
      <c r="E69" s="74" t="s">
        <v>4122</v>
      </c>
      <c r="F69" s="75" t="s">
        <v>4123</v>
      </c>
      <c r="G69" s="10"/>
    </row>
    <row r="70">
      <c r="A70" s="76" t="s">
        <v>4124</v>
      </c>
      <c r="B70" s="77" t="s">
        <v>4395</v>
      </c>
      <c r="C70" s="14" t="s">
        <v>4396</v>
      </c>
      <c r="D70" s="85" t="s">
        <v>4397</v>
      </c>
      <c r="E70" s="86" t="s">
        <v>4398</v>
      </c>
      <c r="F70" s="77" t="s">
        <v>4286</v>
      </c>
      <c r="G70" s="14" t="s">
        <v>4399</v>
      </c>
    </row>
    <row r="71">
      <c r="A71" s="76" t="s">
        <v>4129</v>
      </c>
      <c r="B71" s="77" t="s">
        <v>4400</v>
      </c>
      <c r="C71" s="87" t="s">
        <v>4401</v>
      </c>
      <c r="D71" s="85" t="s">
        <v>4402</v>
      </c>
      <c r="E71" s="86" t="s">
        <v>4403</v>
      </c>
      <c r="F71" s="77" t="s">
        <v>4286</v>
      </c>
      <c r="G71" s="14" t="s">
        <v>4404</v>
      </c>
    </row>
    <row r="72">
      <c r="A72" s="76" t="s">
        <v>4133</v>
      </c>
      <c r="B72" s="77" t="s">
        <v>4405</v>
      </c>
      <c r="C72" s="77" t="s">
        <v>4406</v>
      </c>
      <c r="D72" s="85" t="s">
        <v>4407</v>
      </c>
      <c r="E72" s="86" t="s">
        <v>4408</v>
      </c>
      <c r="F72" s="77" t="s">
        <v>4286</v>
      </c>
      <c r="G72" s="14" t="s">
        <v>4409</v>
      </c>
    </row>
    <row r="73">
      <c r="A73" s="76" t="s">
        <v>4137</v>
      </c>
      <c r="B73" s="77" t="s">
        <v>4410</v>
      </c>
      <c r="C73" s="77" t="s">
        <v>4411</v>
      </c>
      <c r="D73" s="85" t="s">
        <v>4412</v>
      </c>
      <c r="E73" s="86" t="s">
        <v>4413</v>
      </c>
      <c r="F73" s="77" t="s">
        <v>4286</v>
      </c>
      <c r="G73" s="14" t="s">
        <v>4414</v>
      </c>
    </row>
    <row r="74">
      <c r="A74" s="76" t="s">
        <v>4141</v>
      </c>
      <c r="B74" s="77" t="s">
        <v>4415</v>
      </c>
      <c r="C74" s="77" t="s">
        <v>4416</v>
      </c>
      <c r="D74" s="85" t="s">
        <v>4417</v>
      </c>
      <c r="E74" s="86" t="s">
        <v>4418</v>
      </c>
      <c r="F74" s="77" t="s">
        <v>4286</v>
      </c>
      <c r="G74" s="14" t="s">
        <v>4419</v>
      </c>
    </row>
    <row r="75">
      <c r="A75" s="76" t="s">
        <v>4145</v>
      </c>
      <c r="B75" s="77" t="s">
        <v>4420</v>
      </c>
      <c r="C75" s="87" t="s">
        <v>4421</v>
      </c>
      <c r="D75" s="85" t="s">
        <v>4422</v>
      </c>
      <c r="E75" s="86" t="s">
        <v>4423</v>
      </c>
      <c r="F75" s="77" t="s">
        <v>4286</v>
      </c>
      <c r="G75" s="14" t="s">
        <v>4424</v>
      </c>
    </row>
    <row r="76">
      <c r="A76" s="76" t="s">
        <v>4149</v>
      </c>
      <c r="B76" s="77" t="s">
        <v>4425</v>
      </c>
      <c r="C76" s="77" t="s">
        <v>4426</v>
      </c>
      <c r="D76" s="85" t="s">
        <v>4427</v>
      </c>
      <c r="E76" s="86" t="s">
        <v>4428</v>
      </c>
      <c r="F76" s="77" t="s">
        <v>4286</v>
      </c>
      <c r="G76" s="14" t="s">
        <v>4429</v>
      </c>
    </row>
    <row r="77">
      <c r="A77" s="76" t="s">
        <v>4153</v>
      </c>
      <c r="B77" s="77" t="s">
        <v>4430</v>
      </c>
      <c r="C77" s="77" t="s">
        <v>4431</v>
      </c>
      <c r="D77" s="85" t="s">
        <v>4432</v>
      </c>
      <c r="E77" s="86" t="s">
        <v>4433</v>
      </c>
      <c r="F77" s="77" t="s">
        <v>4286</v>
      </c>
      <c r="G77" s="14" t="s">
        <v>4434</v>
      </c>
    </row>
    <row r="78">
      <c r="A78" s="76" t="s">
        <v>4157</v>
      </c>
      <c r="B78" s="77" t="s">
        <v>4435</v>
      </c>
      <c r="C78" s="91" t="s">
        <v>4436</v>
      </c>
      <c r="D78" s="85" t="s">
        <v>4437</v>
      </c>
      <c r="E78" s="86" t="s">
        <v>4438</v>
      </c>
      <c r="F78" s="77" t="s">
        <v>4286</v>
      </c>
      <c r="G78" s="14" t="s">
        <v>4439</v>
      </c>
    </row>
    <row r="79">
      <c r="A79" s="76" t="s">
        <v>4161</v>
      </c>
      <c r="B79" s="77" t="s">
        <v>4440</v>
      </c>
      <c r="C79" s="77" t="s">
        <v>4441</v>
      </c>
      <c r="D79" s="85" t="s">
        <v>4442</v>
      </c>
      <c r="E79" s="86" t="s">
        <v>4443</v>
      </c>
      <c r="F79" s="77" t="s">
        <v>4286</v>
      </c>
      <c r="G79" s="14" t="s">
        <v>4444</v>
      </c>
    </row>
    <row r="80">
      <c r="A80" s="76" t="s">
        <v>4165</v>
      </c>
      <c r="B80" s="77" t="s">
        <v>4445</v>
      </c>
      <c r="C80" s="77" t="s">
        <v>4446</v>
      </c>
      <c r="D80" s="92" t="s">
        <v>4447</v>
      </c>
      <c r="E80" s="93" t="s">
        <v>4448</v>
      </c>
      <c r="F80" s="77" t="s">
        <v>4286</v>
      </c>
      <c r="G80" s="14" t="s">
        <v>4449</v>
      </c>
    </row>
    <row r="81">
      <c r="A81" s="10"/>
      <c r="B81" s="10"/>
      <c r="C81" s="10"/>
      <c r="D81" s="10"/>
      <c r="E81" s="10"/>
      <c r="F81" s="10"/>
      <c r="G81" s="10"/>
    </row>
    <row r="82">
      <c r="A82" s="71"/>
      <c r="B82" s="94" t="s">
        <v>4450</v>
      </c>
      <c r="C82" s="10"/>
      <c r="D82" s="10"/>
      <c r="E82" s="10"/>
      <c r="F82" s="10"/>
      <c r="G82" s="10"/>
    </row>
    <row r="83">
      <c r="A83" s="76" t="s">
        <v>4124</v>
      </c>
      <c r="B83" s="10" t="s">
        <v>4451</v>
      </c>
      <c r="C83" s="10" t="s">
        <v>4452</v>
      </c>
      <c r="D83" s="95" t="s">
        <v>4453</v>
      </c>
      <c r="E83" s="95" t="s">
        <v>4454</v>
      </c>
      <c r="F83" s="10"/>
      <c r="G83" s="14" t="s">
        <v>4455</v>
      </c>
    </row>
    <row r="84">
      <c r="A84" s="76" t="s">
        <v>4129</v>
      </c>
      <c r="B84" s="14" t="s">
        <v>4456</v>
      </c>
      <c r="C84" s="10" t="s">
        <v>4457</v>
      </c>
      <c r="D84" s="95" t="s">
        <v>4458</v>
      </c>
      <c r="E84" s="95" t="s">
        <v>4459</v>
      </c>
      <c r="F84" s="10"/>
      <c r="G84" s="14" t="s">
        <v>4460</v>
      </c>
    </row>
    <row r="85">
      <c r="A85" s="76" t="s">
        <v>4133</v>
      </c>
      <c r="B85" s="14" t="s">
        <v>4461</v>
      </c>
      <c r="C85" s="96" t="s">
        <v>4462</v>
      </c>
      <c r="D85" s="95" t="s">
        <v>4463</v>
      </c>
      <c r="E85" s="95" t="s">
        <v>4464</v>
      </c>
      <c r="F85" s="10"/>
      <c r="G85" s="14" t="s">
        <v>4465</v>
      </c>
    </row>
    <row r="86">
      <c r="A86" s="76" t="s">
        <v>4137</v>
      </c>
      <c r="B86" s="14" t="s">
        <v>4466</v>
      </c>
      <c r="C86" s="96" t="s">
        <v>4467</v>
      </c>
      <c r="D86" s="95" t="s">
        <v>4468</v>
      </c>
      <c r="E86" s="95" t="s">
        <v>4469</v>
      </c>
      <c r="F86" s="10"/>
      <c r="G86" s="14" t="s">
        <v>4470</v>
      </c>
    </row>
    <row r="87">
      <c r="A87" s="76" t="s">
        <v>4141</v>
      </c>
      <c r="B87" s="14" t="s">
        <v>4471</v>
      </c>
      <c r="C87" s="96" t="s">
        <v>4472</v>
      </c>
      <c r="D87" s="95" t="s">
        <v>4473</v>
      </c>
      <c r="E87" s="95" t="s">
        <v>4474</v>
      </c>
      <c r="F87" s="10"/>
      <c r="G87" s="14" t="s">
        <v>4475</v>
      </c>
    </row>
    <row r="88">
      <c r="A88" s="76" t="s">
        <v>4145</v>
      </c>
      <c r="B88" s="14" t="s">
        <v>4476</v>
      </c>
      <c r="C88" s="10" t="s">
        <v>4477</v>
      </c>
      <c r="D88" s="95" t="s">
        <v>4478</v>
      </c>
      <c r="E88" s="95" t="s">
        <v>4479</v>
      </c>
      <c r="F88" s="10"/>
      <c r="G88" s="14" t="s">
        <v>4480</v>
      </c>
    </row>
  </sheetData>
  <conditionalFormatting sqref="D20:E29">
    <cfRule type="notContainsBlanks" dxfId="0" priority="1">
      <formula>LEN(TRIM(D20))&gt;0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3" width="13.88"/>
    <col customWidth="1" min="5" max="5" width="36.75"/>
  </cols>
  <sheetData>
    <row r="1">
      <c r="A1" s="37" t="s">
        <v>4481</v>
      </c>
      <c r="B1" s="70" t="s">
        <v>4482</v>
      </c>
      <c r="C1" s="37" t="s">
        <v>4483</v>
      </c>
      <c r="D1" s="37" t="s">
        <v>4484</v>
      </c>
      <c r="E1" s="97" t="s">
        <v>4485</v>
      </c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</row>
    <row r="2">
      <c r="A2" s="37" t="s">
        <v>4486</v>
      </c>
      <c r="B2" s="70" t="s">
        <v>4487</v>
      </c>
      <c r="C2" s="37">
        <v>18601.0</v>
      </c>
      <c r="D2" s="37" t="s">
        <v>4488</v>
      </c>
      <c r="E2" s="97" t="s">
        <v>17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</row>
    <row r="3">
      <c r="A3" s="37" t="s">
        <v>4489</v>
      </c>
      <c r="B3" s="70" t="s">
        <v>4487</v>
      </c>
      <c r="C3" s="37">
        <v>28601.0</v>
      </c>
      <c r="D3" s="37" t="s">
        <v>4488</v>
      </c>
      <c r="E3" s="97" t="s">
        <v>17</v>
      </c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</row>
    <row r="4">
      <c r="A4" s="37" t="s">
        <v>4490</v>
      </c>
      <c r="B4" s="70" t="s">
        <v>4487</v>
      </c>
      <c r="C4" s="37">
        <v>38601.0</v>
      </c>
      <c r="D4" s="37" t="s">
        <v>4488</v>
      </c>
      <c r="E4" s="97" t="s">
        <v>17</v>
      </c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  <c r="V4" s="98"/>
      <c r="W4" s="98"/>
      <c r="X4" s="98"/>
      <c r="Y4" s="98"/>
      <c r="Z4" s="98"/>
      <c r="AA4" s="98"/>
    </row>
    <row r="5">
      <c r="A5" s="37" t="s">
        <v>4491</v>
      </c>
      <c r="B5" s="70" t="s">
        <v>4487</v>
      </c>
      <c r="C5" s="37">
        <v>48601.0</v>
      </c>
      <c r="D5" s="37" t="s">
        <v>4488</v>
      </c>
      <c r="E5" s="97" t="s">
        <v>17</v>
      </c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  <c r="Y5" s="98"/>
      <c r="Z5" s="98"/>
      <c r="AA5" s="98"/>
    </row>
    <row r="6">
      <c r="A6" s="37" t="s">
        <v>4492</v>
      </c>
      <c r="B6" s="70" t="s">
        <v>4487</v>
      </c>
      <c r="C6" s="37">
        <v>58601.0</v>
      </c>
      <c r="D6" s="37" t="s">
        <v>4488</v>
      </c>
      <c r="E6" s="99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</row>
    <row r="7">
      <c r="A7" s="37" t="s">
        <v>4493</v>
      </c>
      <c r="B7" s="70" t="s">
        <v>4494</v>
      </c>
      <c r="C7" s="37">
        <v>8601.0</v>
      </c>
      <c r="D7" s="37" t="s">
        <v>4488</v>
      </c>
      <c r="E7" s="99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</row>
    <row r="8">
      <c r="A8" s="37" t="s">
        <v>4495</v>
      </c>
      <c r="B8" s="70" t="s">
        <v>4496</v>
      </c>
      <c r="C8" s="37">
        <v>8601.0</v>
      </c>
      <c r="D8" s="37" t="s">
        <v>4488</v>
      </c>
      <c r="E8" s="99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</row>
    <row r="9">
      <c r="A9" s="37" t="s">
        <v>4497</v>
      </c>
      <c r="B9" s="70" t="s">
        <v>4498</v>
      </c>
      <c r="C9" s="37">
        <v>8601.0</v>
      </c>
      <c r="D9" s="37" t="s">
        <v>4488</v>
      </c>
      <c r="E9" s="99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</row>
    <row r="10">
      <c r="A10" s="37" t="s">
        <v>4499</v>
      </c>
      <c r="B10" s="70" t="s">
        <v>4500</v>
      </c>
      <c r="C10" s="37">
        <v>8601.0</v>
      </c>
      <c r="D10" s="37" t="s">
        <v>4488</v>
      </c>
      <c r="E10" s="99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</row>
    <row r="11">
      <c r="A11" s="37" t="s">
        <v>4501</v>
      </c>
      <c r="B11" s="70" t="s">
        <v>4502</v>
      </c>
      <c r="C11" s="37">
        <v>8601.0</v>
      </c>
      <c r="D11" s="37" t="s">
        <v>4488</v>
      </c>
      <c r="E11" s="99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</row>
    <row r="12">
      <c r="A12" s="37" t="s">
        <v>4503</v>
      </c>
      <c r="B12" s="70" t="s">
        <v>4502</v>
      </c>
      <c r="C12" s="37">
        <v>8601.0</v>
      </c>
      <c r="D12" s="37" t="s">
        <v>4488</v>
      </c>
      <c r="E12" s="99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</row>
    <row r="13">
      <c r="A13" s="37" t="s">
        <v>4504</v>
      </c>
      <c r="B13" s="70" t="s">
        <v>4505</v>
      </c>
      <c r="C13" s="37">
        <v>8601.0</v>
      </c>
      <c r="D13" s="37" t="s">
        <v>4488</v>
      </c>
      <c r="E13" s="99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</row>
    <row r="14">
      <c r="A14" s="37" t="s">
        <v>4506</v>
      </c>
      <c r="B14" s="70" t="s">
        <v>4507</v>
      </c>
      <c r="C14" s="37">
        <v>8601.0</v>
      </c>
      <c r="D14" s="37" t="s">
        <v>4488</v>
      </c>
      <c r="E14" s="99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</row>
    <row r="15">
      <c r="A15" s="37" t="s">
        <v>4508</v>
      </c>
      <c r="B15" s="70" t="s">
        <v>4509</v>
      </c>
      <c r="C15" s="37">
        <v>8601.0</v>
      </c>
      <c r="D15" s="37" t="s">
        <v>4488</v>
      </c>
      <c r="E15" s="99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</row>
    <row r="16">
      <c r="A16" s="37" t="s">
        <v>4510</v>
      </c>
      <c r="B16" s="70" t="s">
        <v>4511</v>
      </c>
      <c r="C16" s="37">
        <v>8601.0</v>
      </c>
      <c r="D16" s="37" t="s">
        <v>4488</v>
      </c>
      <c r="E16" s="99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</row>
    <row r="17">
      <c r="A17" s="37" t="s">
        <v>4512</v>
      </c>
      <c r="B17" s="70" t="s">
        <v>4513</v>
      </c>
      <c r="C17" s="37">
        <v>8601.0</v>
      </c>
      <c r="D17" s="37" t="s">
        <v>4488</v>
      </c>
      <c r="E17" s="97" t="s">
        <v>17</v>
      </c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</row>
    <row r="18">
      <c r="A18" s="37" t="s">
        <v>4514</v>
      </c>
      <c r="B18" s="100" t="s">
        <v>4515</v>
      </c>
      <c r="C18" s="37">
        <v>8601.0</v>
      </c>
      <c r="D18" s="37" t="s">
        <v>4488</v>
      </c>
      <c r="E18" s="97" t="s">
        <v>3802</v>
      </c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</row>
    <row r="19">
      <c r="A19" s="37" t="s">
        <v>4516</v>
      </c>
      <c r="B19" s="100" t="s">
        <v>4517</v>
      </c>
      <c r="C19" s="37">
        <v>8601.0</v>
      </c>
      <c r="D19" s="37" t="s">
        <v>4488</v>
      </c>
      <c r="E19" s="97" t="s">
        <v>4518</v>
      </c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</row>
    <row r="20">
      <c r="A20" s="37" t="s">
        <v>4519</v>
      </c>
      <c r="B20" s="101" t="s">
        <v>4520</v>
      </c>
      <c r="C20" s="37">
        <v>8601.0</v>
      </c>
      <c r="D20" s="37" t="s">
        <v>4488</v>
      </c>
      <c r="E20" s="97" t="s">
        <v>4338</v>
      </c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</row>
    <row r="21">
      <c r="A21" s="37" t="s">
        <v>4521</v>
      </c>
      <c r="B21" s="100" t="s">
        <v>4522</v>
      </c>
      <c r="C21" s="37">
        <v>8601.0</v>
      </c>
      <c r="D21" s="37" t="s">
        <v>4488</v>
      </c>
      <c r="E21" s="97" t="s">
        <v>4523</v>
      </c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</row>
    <row r="22">
      <c r="A22" s="37" t="s">
        <v>4524</v>
      </c>
      <c r="B22" s="102">
        <v>1.0247232201E10</v>
      </c>
      <c r="C22" s="37">
        <v>8601.0</v>
      </c>
      <c r="D22" s="37" t="s">
        <v>4488</v>
      </c>
      <c r="E22" s="97" t="s">
        <v>4525</v>
      </c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</row>
    <row r="23">
      <c r="A23" s="37" t="s">
        <v>4526</v>
      </c>
      <c r="B23" s="103">
        <v>1.0248000201E10</v>
      </c>
      <c r="C23" s="37">
        <v>8601.0</v>
      </c>
      <c r="D23" s="37" t="s">
        <v>4488</v>
      </c>
      <c r="E23" s="97" t="s">
        <v>4527</v>
      </c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>
      <c r="A24" s="37" t="s">
        <v>4528</v>
      </c>
      <c r="B24" s="69"/>
      <c r="C24" s="98"/>
      <c r="D24" s="98"/>
      <c r="E24" s="99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>
      <c r="A25" s="37" t="s">
        <v>4529</v>
      </c>
      <c r="B25" s="69"/>
      <c r="C25" s="98"/>
      <c r="D25" s="98"/>
      <c r="E25" s="99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>
      <c r="A26" s="37" t="s">
        <v>4530</v>
      </c>
      <c r="B26" s="69"/>
      <c r="C26" s="98"/>
      <c r="D26" s="98"/>
      <c r="E26" s="99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>
      <c r="A27" s="37" t="s">
        <v>4531</v>
      </c>
      <c r="B27" s="69"/>
      <c r="C27" s="98"/>
      <c r="D27" s="98"/>
      <c r="E27" s="99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>
      <c r="A28" s="37" t="s">
        <v>4532</v>
      </c>
      <c r="B28" s="69"/>
      <c r="C28" s="98"/>
      <c r="D28" s="98"/>
      <c r="E28" s="99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</row>
    <row r="29">
      <c r="A29" s="37" t="s">
        <v>4533</v>
      </c>
      <c r="B29" s="69"/>
      <c r="C29" s="98"/>
      <c r="D29" s="98"/>
      <c r="E29" s="99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>
      <c r="A30" s="37" t="s">
        <v>4534</v>
      </c>
      <c r="B30" s="69"/>
      <c r="C30" s="98"/>
      <c r="D30" s="98"/>
      <c r="E30" s="99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>
      <c r="A31" s="98"/>
      <c r="B31" s="69"/>
      <c r="C31" s="98"/>
      <c r="D31" s="98"/>
      <c r="E31" s="99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>
      <c r="A32" s="98"/>
      <c r="B32" s="69"/>
      <c r="C32" s="98"/>
      <c r="D32" s="98"/>
      <c r="E32" s="99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>
      <c r="A33" s="98"/>
      <c r="B33" s="69"/>
      <c r="C33" s="98"/>
      <c r="D33" s="98"/>
      <c r="E33" s="99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>
      <c r="A34" s="98"/>
      <c r="B34" s="69"/>
      <c r="C34" s="98"/>
      <c r="D34" s="98"/>
      <c r="E34" s="99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>
      <c r="A35" s="98"/>
      <c r="B35" s="69"/>
      <c r="C35" s="98"/>
      <c r="D35" s="98"/>
      <c r="E35" s="99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>
      <c r="A36" s="98"/>
      <c r="B36" s="69"/>
      <c r="C36" s="98"/>
      <c r="D36" s="98"/>
      <c r="E36" s="99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>
      <c r="A37" s="98"/>
      <c r="B37" s="69"/>
      <c r="C37" s="98"/>
      <c r="D37" s="98"/>
      <c r="E37" s="99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>
      <c r="A38" s="98"/>
      <c r="B38" s="69"/>
      <c r="C38" s="98"/>
      <c r="D38" s="98"/>
      <c r="E38" s="99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>
      <c r="A39" s="98"/>
      <c r="B39" s="69"/>
      <c r="C39" s="98"/>
      <c r="D39" s="98"/>
      <c r="E39" s="99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>
      <c r="A40" s="98"/>
      <c r="B40" s="69"/>
      <c r="C40" s="98"/>
      <c r="D40" s="98"/>
      <c r="E40" s="99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</row>
    <row r="41">
      <c r="A41" s="98"/>
      <c r="B41" s="69"/>
      <c r="C41" s="98"/>
      <c r="D41" s="98"/>
      <c r="E41" s="99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</row>
    <row r="42">
      <c r="A42" s="98"/>
      <c r="B42" s="69"/>
      <c r="C42" s="98"/>
      <c r="D42" s="98"/>
      <c r="E42" s="99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  <c r="V42" s="98"/>
      <c r="W42" s="98"/>
      <c r="X42" s="98"/>
      <c r="Y42" s="98"/>
      <c r="Z42" s="98"/>
      <c r="AA42" s="98"/>
    </row>
    <row r="43">
      <c r="A43" s="98"/>
      <c r="B43" s="69"/>
      <c r="C43" s="98"/>
      <c r="D43" s="98"/>
      <c r="E43" s="99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  <c r="V43" s="98"/>
      <c r="W43" s="98"/>
      <c r="X43" s="98"/>
      <c r="Y43" s="98"/>
      <c r="Z43" s="98"/>
      <c r="AA43" s="98"/>
    </row>
    <row r="44">
      <c r="A44" s="98"/>
      <c r="B44" s="69"/>
      <c r="C44" s="98"/>
      <c r="D44" s="98"/>
      <c r="E44" s="99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</row>
    <row r="45">
      <c r="A45" s="98"/>
      <c r="B45" s="69"/>
      <c r="C45" s="98"/>
      <c r="D45" s="98"/>
      <c r="E45" s="99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  <c r="V45" s="98"/>
      <c r="W45" s="98"/>
      <c r="X45" s="98"/>
      <c r="Y45" s="98"/>
      <c r="Z45" s="98"/>
      <c r="AA45" s="98"/>
    </row>
    <row r="46">
      <c r="A46" s="98"/>
      <c r="B46" s="69"/>
      <c r="C46" s="98"/>
      <c r="D46" s="98"/>
      <c r="E46" s="99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X46" s="98"/>
      <c r="Y46" s="98"/>
      <c r="Z46" s="98"/>
      <c r="AA46" s="98"/>
    </row>
    <row r="47">
      <c r="A47" s="98"/>
      <c r="B47" s="69"/>
      <c r="C47" s="98"/>
      <c r="D47" s="98"/>
      <c r="E47" s="99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98"/>
      <c r="W47" s="98"/>
      <c r="X47" s="98"/>
      <c r="Y47" s="98"/>
      <c r="Z47" s="98"/>
      <c r="AA47" s="98"/>
    </row>
    <row r="48">
      <c r="A48" s="98"/>
      <c r="B48" s="69"/>
      <c r="C48" s="98"/>
      <c r="D48" s="98"/>
      <c r="E48" s="99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</row>
    <row r="49">
      <c r="A49" s="98"/>
      <c r="B49" s="69"/>
      <c r="C49" s="98"/>
      <c r="D49" s="98"/>
      <c r="E49" s="99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  <c r="V49" s="98"/>
      <c r="W49" s="98"/>
      <c r="X49" s="98"/>
      <c r="Y49" s="98"/>
      <c r="Z49" s="98"/>
      <c r="AA49" s="98"/>
    </row>
    <row r="50">
      <c r="A50" s="98"/>
      <c r="B50" s="69"/>
      <c r="C50" s="98"/>
      <c r="D50" s="98"/>
      <c r="E50" s="99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</row>
    <row r="51">
      <c r="A51" s="98"/>
      <c r="B51" s="69"/>
      <c r="C51" s="98"/>
      <c r="D51" s="98"/>
      <c r="E51" s="99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</row>
    <row r="52">
      <c r="A52" s="98"/>
      <c r="B52" s="69"/>
      <c r="C52" s="98"/>
      <c r="D52" s="98"/>
      <c r="E52" s="99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</row>
    <row r="53">
      <c r="A53" s="98"/>
      <c r="B53" s="69"/>
      <c r="C53" s="98"/>
      <c r="D53" s="98"/>
      <c r="E53" s="99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</row>
    <row r="54">
      <c r="A54" s="98"/>
      <c r="B54" s="69"/>
      <c r="C54" s="98"/>
      <c r="D54" s="98"/>
      <c r="E54" s="99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</row>
    <row r="55">
      <c r="A55" s="98"/>
      <c r="B55" s="69"/>
      <c r="C55" s="98"/>
      <c r="D55" s="98"/>
      <c r="E55" s="99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</row>
    <row r="56">
      <c r="A56" s="98"/>
      <c r="B56" s="69"/>
      <c r="C56" s="98"/>
      <c r="D56" s="98"/>
      <c r="E56" s="99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</row>
    <row r="57">
      <c r="A57" s="98"/>
      <c r="B57" s="69"/>
      <c r="C57" s="98"/>
      <c r="D57" s="98"/>
      <c r="E57" s="99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</row>
    <row r="58">
      <c r="A58" s="98"/>
      <c r="B58" s="69"/>
      <c r="C58" s="98"/>
      <c r="D58" s="98"/>
      <c r="E58" s="99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</row>
    <row r="59">
      <c r="A59" s="98"/>
      <c r="B59" s="69"/>
      <c r="C59" s="98"/>
      <c r="D59" s="98"/>
      <c r="E59" s="99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</row>
    <row r="60">
      <c r="A60" s="98"/>
      <c r="B60" s="69"/>
      <c r="C60" s="98"/>
      <c r="D60" s="98"/>
      <c r="E60" s="99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</row>
    <row r="61">
      <c r="A61" s="98"/>
      <c r="B61" s="69"/>
      <c r="C61" s="98"/>
      <c r="D61" s="98"/>
      <c r="E61" s="99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</row>
    <row r="62">
      <c r="A62" s="98"/>
      <c r="B62" s="69"/>
      <c r="C62" s="98"/>
      <c r="D62" s="98"/>
      <c r="E62" s="99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</row>
    <row r="63">
      <c r="A63" s="98"/>
      <c r="B63" s="69"/>
      <c r="C63" s="98"/>
      <c r="D63" s="98"/>
      <c r="E63" s="99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</row>
    <row r="64">
      <c r="A64" s="98"/>
      <c r="B64" s="69"/>
      <c r="C64" s="98"/>
      <c r="D64" s="98"/>
      <c r="E64" s="99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</row>
    <row r="65">
      <c r="A65" s="98"/>
      <c r="B65" s="69"/>
      <c r="C65" s="98"/>
      <c r="D65" s="98"/>
      <c r="E65" s="99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</row>
    <row r="66">
      <c r="A66" s="98"/>
      <c r="B66" s="69"/>
      <c r="C66" s="98"/>
      <c r="D66" s="98"/>
      <c r="E66" s="99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</row>
    <row r="67">
      <c r="A67" s="98"/>
      <c r="B67" s="69"/>
      <c r="C67" s="98"/>
      <c r="D67" s="98"/>
      <c r="E67" s="99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</row>
    <row r="68">
      <c r="A68" s="98"/>
      <c r="B68" s="69"/>
      <c r="C68" s="98"/>
      <c r="D68" s="98"/>
      <c r="E68" s="99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</row>
    <row r="69">
      <c r="A69" s="98"/>
      <c r="B69" s="69"/>
      <c r="C69" s="98"/>
      <c r="D69" s="98"/>
      <c r="E69" s="99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</row>
    <row r="70">
      <c r="A70" s="98"/>
      <c r="B70" s="69"/>
      <c r="C70" s="98"/>
      <c r="D70" s="98"/>
      <c r="E70" s="99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</row>
    <row r="71">
      <c r="A71" s="98"/>
      <c r="B71" s="69"/>
      <c r="C71" s="98"/>
      <c r="D71" s="98"/>
      <c r="E71" s="99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</row>
    <row r="72">
      <c r="A72" s="98"/>
      <c r="B72" s="69"/>
      <c r="C72" s="98"/>
      <c r="D72" s="98"/>
      <c r="E72" s="99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</row>
    <row r="73">
      <c r="A73" s="98"/>
      <c r="B73" s="69"/>
      <c r="C73" s="98"/>
      <c r="D73" s="98"/>
      <c r="E73" s="99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</row>
    <row r="74">
      <c r="A74" s="98"/>
      <c r="B74" s="69"/>
      <c r="C74" s="98"/>
      <c r="D74" s="98"/>
      <c r="E74" s="99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</row>
    <row r="75">
      <c r="A75" s="98"/>
      <c r="B75" s="69"/>
      <c r="C75" s="98"/>
      <c r="D75" s="98"/>
      <c r="E75" s="99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</row>
    <row r="76">
      <c r="A76" s="98"/>
      <c r="B76" s="69"/>
      <c r="C76" s="98"/>
      <c r="D76" s="98"/>
      <c r="E76" s="99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</row>
    <row r="77">
      <c r="A77" s="98"/>
      <c r="B77" s="69"/>
      <c r="C77" s="98"/>
      <c r="D77" s="98"/>
      <c r="E77" s="99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</row>
    <row r="78">
      <c r="A78" s="98"/>
      <c r="B78" s="69"/>
      <c r="C78" s="98"/>
      <c r="D78" s="98"/>
      <c r="E78" s="99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</row>
    <row r="79">
      <c r="A79" s="98"/>
      <c r="B79" s="69"/>
      <c r="C79" s="98"/>
      <c r="D79" s="98"/>
      <c r="E79" s="99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</row>
    <row r="80">
      <c r="A80" s="98"/>
      <c r="B80" s="69"/>
      <c r="C80" s="98"/>
      <c r="D80" s="98"/>
      <c r="E80" s="99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</row>
    <row r="81">
      <c r="A81" s="98"/>
      <c r="B81" s="69"/>
      <c r="C81" s="98"/>
      <c r="D81" s="98"/>
      <c r="E81" s="99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</row>
    <row r="82">
      <c r="A82" s="98"/>
      <c r="B82" s="69"/>
      <c r="C82" s="98"/>
      <c r="D82" s="98"/>
      <c r="E82" s="99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</row>
    <row r="83">
      <c r="A83" s="98"/>
      <c r="B83" s="69"/>
      <c r="C83" s="98"/>
      <c r="D83" s="98"/>
      <c r="E83" s="99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</row>
    <row r="84">
      <c r="A84" s="98"/>
      <c r="B84" s="69"/>
      <c r="C84" s="98"/>
      <c r="D84" s="98"/>
      <c r="E84" s="99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</row>
    <row r="85">
      <c r="A85" s="98"/>
      <c r="B85" s="69"/>
      <c r="C85" s="98"/>
      <c r="D85" s="98"/>
      <c r="E85" s="99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</row>
    <row r="86">
      <c r="A86" s="98"/>
      <c r="B86" s="69"/>
      <c r="C86" s="98"/>
      <c r="D86" s="98"/>
      <c r="E86" s="99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</row>
    <row r="87">
      <c r="A87" s="98"/>
      <c r="B87" s="69"/>
      <c r="C87" s="98"/>
      <c r="D87" s="98"/>
      <c r="E87" s="99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</row>
    <row r="88">
      <c r="A88" s="98"/>
      <c r="B88" s="69"/>
      <c r="C88" s="98"/>
      <c r="D88" s="98"/>
      <c r="E88" s="99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</row>
    <row r="89">
      <c r="A89" s="98"/>
      <c r="B89" s="69"/>
      <c r="C89" s="98"/>
      <c r="D89" s="98"/>
      <c r="E89" s="99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</row>
    <row r="90">
      <c r="A90" s="98"/>
      <c r="B90" s="69"/>
      <c r="C90" s="98"/>
      <c r="D90" s="98"/>
      <c r="E90" s="99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</row>
    <row r="91">
      <c r="A91" s="98"/>
      <c r="B91" s="69"/>
      <c r="C91" s="98"/>
      <c r="D91" s="98"/>
      <c r="E91" s="99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</row>
    <row r="92">
      <c r="A92" s="98"/>
      <c r="B92" s="69"/>
      <c r="C92" s="98"/>
      <c r="D92" s="98"/>
      <c r="E92" s="99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</row>
    <row r="93">
      <c r="A93" s="98"/>
      <c r="B93" s="69"/>
      <c r="C93" s="98"/>
      <c r="D93" s="98"/>
      <c r="E93" s="99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</row>
    <row r="94">
      <c r="A94" s="98"/>
      <c r="B94" s="69"/>
      <c r="C94" s="98"/>
      <c r="D94" s="98"/>
      <c r="E94" s="99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</row>
    <row r="95">
      <c r="A95" s="98"/>
      <c r="B95" s="69"/>
      <c r="C95" s="98"/>
      <c r="D95" s="98"/>
      <c r="E95" s="99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</row>
    <row r="96">
      <c r="A96" s="98"/>
      <c r="B96" s="69"/>
      <c r="C96" s="98"/>
      <c r="D96" s="98"/>
      <c r="E96" s="99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</row>
    <row r="97">
      <c r="A97" s="98"/>
      <c r="B97" s="69"/>
      <c r="C97" s="98"/>
      <c r="D97" s="98"/>
      <c r="E97" s="99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</row>
    <row r="98">
      <c r="A98" s="98"/>
      <c r="B98" s="69"/>
      <c r="C98" s="98"/>
      <c r="D98" s="98"/>
      <c r="E98" s="99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</row>
    <row r="99">
      <c r="A99" s="98"/>
      <c r="B99" s="69"/>
      <c r="C99" s="98"/>
      <c r="D99" s="98"/>
      <c r="E99" s="99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</row>
    <row r="100">
      <c r="A100" s="98"/>
      <c r="B100" s="69"/>
      <c r="C100" s="98"/>
      <c r="D100" s="98"/>
      <c r="E100" s="99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</row>
    <row r="101">
      <c r="A101" s="98"/>
      <c r="B101" s="69"/>
      <c r="C101" s="98"/>
      <c r="D101" s="98"/>
      <c r="E101" s="99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</row>
    <row r="102">
      <c r="A102" s="98"/>
      <c r="B102" s="69"/>
      <c r="C102" s="98"/>
      <c r="D102" s="98"/>
      <c r="E102" s="99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</row>
    <row r="103">
      <c r="A103" s="98"/>
      <c r="B103" s="69"/>
      <c r="C103" s="98"/>
      <c r="D103" s="98"/>
      <c r="E103" s="99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</row>
    <row r="104">
      <c r="A104" s="98"/>
      <c r="B104" s="69"/>
      <c r="C104" s="98"/>
      <c r="D104" s="98"/>
      <c r="E104" s="99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</row>
    <row r="105">
      <c r="A105" s="98"/>
      <c r="B105" s="69"/>
      <c r="C105" s="98"/>
      <c r="D105" s="98"/>
      <c r="E105" s="99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</row>
    <row r="106">
      <c r="A106" s="98"/>
      <c r="B106" s="69"/>
      <c r="C106" s="98"/>
      <c r="D106" s="98"/>
      <c r="E106" s="99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</row>
    <row r="107">
      <c r="A107" s="98"/>
      <c r="B107" s="69"/>
      <c r="C107" s="98"/>
      <c r="D107" s="98"/>
      <c r="E107" s="99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</row>
    <row r="108">
      <c r="A108" s="98"/>
      <c r="B108" s="69"/>
      <c r="C108" s="98"/>
      <c r="D108" s="98"/>
      <c r="E108" s="99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</row>
    <row r="109">
      <c r="A109" s="98"/>
      <c r="B109" s="69"/>
      <c r="C109" s="98"/>
      <c r="D109" s="98"/>
      <c r="E109" s="99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</row>
    <row r="110">
      <c r="A110" s="98"/>
      <c r="B110" s="69"/>
      <c r="C110" s="98"/>
      <c r="D110" s="98"/>
      <c r="E110" s="99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</row>
    <row r="111">
      <c r="A111" s="98"/>
      <c r="B111" s="69"/>
      <c r="C111" s="98"/>
      <c r="D111" s="98"/>
      <c r="E111" s="99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</row>
    <row r="112">
      <c r="A112" s="98"/>
      <c r="B112" s="69"/>
      <c r="C112" s="98"/>
      <c r="D112" s="98"/>
      <c r="E112" s="99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</row>
    <row r="113">
      <c r="A113" s="98"/>
      <c r="B113" s="69"/>
      <c r="C113" s="98"/>
      <c r="D113" s="98"/>
      <c r="E113" s="99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</row>
    <row r="114">
      <c r="A114" s="98"/>
      <c r="B114" s="69"/>
      <c r="C114" s="98"/>
      <c r="D114" s="98"/>
      <c r="E114" s="99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</row>
    <row r="115">
      <c r="A115" s="98"/>
      <c r="B115" s="69"/>
      <c r="C115" s="98"/>
      <c r="D115" s="98"/>
      <c r="E115" s="99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</row>
    <row r="116">
      <c r="A116" s="98"/>
      <c r="B116" s="69"/>
      <c r="C116" s="98"/>
      <c r="D116" s="98"/>
      <c r="E116" s="99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</row>
    <row r="117">
      <c r="A117" s="98"/>
      <c r="B117" s="69"/>
      <c r="C117" s="98"/>
      <c r="D117" s="98"/>
      <c r="E117" s="99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</row>
    <row r="118">
      <c r="A118" s="98"/>
      <c r="B118" s="69"/>
      <c r="C118" s="98"/>
      <c r="D118" s="98"/>
      <c r="E118" s="99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</row>
    <row r="119">
      <c r="A119" s="98"/>
      <c r="B119" s="69"/>
      <c r="C119" s="98"/>
      <c r="D119" s="98"/>
      <c r="E119" s="99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</row>
    <row r="120">
      <c r="A120" s="98"/>
      <c r="B120" s="69"/>
      <c r="C120" s="98"/>
      <c r="D120" s="98"/>
      <c r="E120" s="99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</row>
    <row r="121">
      <c r="A121" s="98"/>
      <c r="B121" s="69"/>
      <c r="C121" s="98"/>
      <c r="D121" s="98"/>
      <c r="E121" s="99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</row>
    <row r="122">
      <c r="A122" s="98"/>
      <c r="B122" s="69"/>
      <c r="C122" s="98"/>
      <c r="D122" s="98"/>
      <c r="E122" s="99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</row>
    <row r="123">
      <c r="A123" s="98"/>
      <c r="B123" s="69"/>
      <c r="C123" s="98"/>
      <c r="D123" s="98"/>
      <c r="E123" s="99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</row>
    <row r="124">
      <c r="A124" s="98"/>
      <c r="B124" s="69"/>
      <c r="C124" s="98"/>
      <c r="D124" s="98"/>
      <c r="E124" s="99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</row>
    <row r="125">
      <c r="A125" s="98"/>
      <c r="B125" s="69"/>
      <c r="C125" s="98"/>
      <c r="D125" s="98"/>
      <c r="E125" s="99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</row>
    <row r="126">
      <c r="A126" s="98"/>
      <c r="B126" s="69"/>
      <c r="C126" s="98"/>
      <c r="D126" s="98"/>
      <c r="E126" s="99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</row>
    <row r="127">
      <c r="A127" s="98"/>
      <c r="B127" s="69"/>
      <c r="C127" s="98"/>
      <c r="D127" s="98"/>
      <c r="E127" s="99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</row>
    <row r="128">
      <c r="A128" s="98"/>
      <c r="B128" s="69"/>
      <c r="C128" s="98"/>
      <c r="D128" s="98"/>
      <c r="E128" s="99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</row>
    <row r="129">
      <c r="A129" s="98"/>
      <c r="B129" s="69"/>
      <c r="C129" s="98"/>
      <c r="D129" s="98"/>
      <c r="E129" s="99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</row>
    <row r="130">
      <c r="A130" s="98"/>
      <c r="B130" s="69"/>
      <c r="C130" s="98"/>
      <c r="D130" s="98"/>
      <c r="E130" s="99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</row>
    <row r="131">
      <c r="A131" s="98"/>
      <c r="B131" s="69"/>
      <c r="C131" s="98"/>
      <c r="D131" s="98"/>
      <c r="E131" s="99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</row>
    <row r="132">
      <c r="A132" s="98"/>
      <c r="B132" s="69"/>
      <c r="C132" s="98"/>
      <c r="D132" s="98"/>
      <c r="E132" s="99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</row>
    <row r="133">
      <c r="A133" s="98"/>
      <c r="B133" s="69"/>
      <c r="C133" s="98"/>
      <c r="D133" s="98"/>
      <c r="E133" s="99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</row>
    <row r="134">
      <c r="A134" s="98"/>
      <c r="B134" s="69"/>
      <c r="C134" s="98"/>
      <c r="D134" s="98"/>
      <c r="E134" s="99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</row>
    <row r="135">
      <c r="A135" s="98"/>
      <c r="B135" s="69"/>
      <c r="C135" s="98"/>
      <c r="D135" s="98"/>
      <c r="E135" s="99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</row>
    <row r="136">
      <c r="A136" s="98"/>
      <c r="B136" s="69"/>
      <c r="C136" s="98"/>
      <c r="D136" s="98"/>
      <c r="E136" s="99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</row>
    <row r="137">
      <c r="A137" s="98"/>
      <c r="B137" s="69"/>
      <c r="C137" s="98"/>
      <c r="D137" s="98"/>
      <c r="E137" s="99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</row>
    <row r="138">
      <c r="A138" s="98"/>
      <c r="B138" s="69"/>
      <c r="C138" s="98"/>
      <c r="D138" s="98"/>
      <c r="E138" s="99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</row>
    <row r="139">
      <c r="A139" s="98"/>
      <c r="B139" s="69"/>
      <c r="C139" s="98"/>
      <c r="D139" s="98"/>
      <c r="E139" s="99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</row>
    <row r="140">
      <c r="A140" s="98"/>
      <c r="B140" s="69"/>
      <c r="C140" s="98"/>
      <c r="D140" s="98"/>
      <c r="E140" s="99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</row>
    <row r="141">
      <c r="A141" s="98"/>
      <c r="B141" s="69"/>
      <c r="C141" s="98"/>
      <c r="D141" s="98"/>
      <c r="E141" s="99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</row>
    <row r="142">
      <c r="A142" s="98"/>
      <c r="B142" s="69"/>
      <c r="C142" s="98"/>
      <c r="D142" s="98"/>
      <c r="E142" s="99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</row>
    <row r="143">
      <c r="A143" s="98"/>
      <c r="B143" s="69"/>
      <c r="C143" s="98"/>
      <c r="D143" s="98"/>
      <c r="E143" s="99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</row>
    <row r="144">
      <c r="A144" s="98"/>
      <c r="B144" s="69"/>
      <c r="C144" s="98"/>
      <c r="D144" s="98"/>
      <c r="E144" s="99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</row>
    <row r="145">
      <c r="A145" s="98"/>
      <c r="B145" s="69"/>
      <c r="C145" s="98"/>
      <c r="D145" s="98"/>
      <c r="E145" s="99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</row>
    <row r="146">
      <c r="A146" s="98"/>
      <c r="B146" s="69"/>
      <c r="C146" s="98"/>
      <c r="D146" s="98"/>
      <c r="E146" s="99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</row>
    <row r="147">
      <c r="A147" s="98"/>
      <c r="B147" s="69"/>
      <c r="C147" s="98"/>
      <c r="D147" s="98"/>
      <c r="E147" s="99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</row>
    <row r="148">
      <c r="A148" s="98"/>
      <c r="B148" s="69"/>
      <c r="C148" s="98"/>
      <c r="D148" s="98"/>
      <c r="E148" s="99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</row>
    <row r="149">
      <c r="A149" s="98"/>
      <c r="B149" s="69"/>
      <c r="C149" s="98"/>
      <c r="D149" s="98"/>
      <c r="E149" s="99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</row>
    <row r="150">
      <c r="A150" s="98"/>
      <c r="B150" s="69"/>
      <c r="C150" s="98"/>
      <c r="D150" s="98"/>
      <c r="E150" s="99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</row>
    <row r="151">
      <c r="A151" s="98"/>
      <c r="B151" s="69"/>
      <c r="C151" s="98"/>
      <c r="D151" s="98"/>
      <c r="E151" s="99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</row>
    <row r="152">
      <c r="A152" s="98"/>
      <c r="B152" s="69"/>
      <c r="C152" s="98"/>
      <c r="D152" s="98"/>
      <c r="E152" s="99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</row>
    <row r="153">
      <c r="A153" s="98"/>
      <c r="B153" s="69"/>
      <c r="C153" s="98"/>
      <c r="D153" s="98"/>
      <c r="E153" s="99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</row>
    <row r="154">
      <c r="A154" s="98"/>
      <c r="B154" s="69"/>
      <c r="C154" s="98"/>
      <c r="D154" s="98"/>
      <c r="E154" s="99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</row>
    <row r="155">
      <c r="A155" s="98"/>
      <c r="B155" s="69"/>
      <c r="C155" s="98"/>
      <c r="D155" s="98"/>
      <c r="E155" s="99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</row>
    <row r="156">
      <c r="A156" s="98"/>
      <c r="B156" s="69"/>
      <c r="C156" s="98"/>
      <c r="D156" s="98"/>
      <c r="E156" s="99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</row>
    <row r="157">
      <c r="A157" s="98"/>
      <c r="B157" s="69"/>
      <c r="C157" s="98"/>
      <c r="D157" s="98"/>
      <c r="E157" s="99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</row>
    <row r="158">
      <c r="A158" s="98"/>
      <c r="B158" s="69"/>
      <c r="C158" s="98"/>
      <c r="D158" s="98"/>
      <c r="E158" s="99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</row>
    <row r="159">
      <c r="A159" s="98"/>
      <c r="B159" s="69"/>
      <c r="C159" s="98"/>
      <c r="D159" s="98"/>
      <c r="E159" s="99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</row>
    <row r="160">
      <c r="A160" s="98"/>
      <c r="B160" s="69"/>
      <c r="C160" s="98"/>
      <c r="D160" s="98"/>
      <c r="E160" s="99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</row>
    <row r="161">
      <c r="A161" s="98"/>
      <c r="B161" s="69"/>
      <c r="C161" s="98"/>
      <c r="D161" s="98"/>
      <c r="E161" s="99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</row>
    <row r="162">
      <c r="A162" s="98"/>
      <c r="B162" s="69"/>
      <c r="C162" s="98"/>
      <c r="D162" s="98"/>
      <c r="E162" s="99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</row>
    <row r="163">
      <c r="A163" s="98"/>
      <c r="B163" s="69"/>
      <c r="C163" s="98"/>
      <c r="D163" s="98"/>
      <c r="E163" s="99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</row>
    <row r="164">
      <c r="A164" s="98"/>
      <c r="B164" s="69"/>
      <c r="C164" s="98"/>
      <c r="D164" s="98"/>
      <c r="E164" s="99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</row>
    <row r="165">
      <c r="A165" s="98"/>
      <c r="B165" s="69"/>
      <c r="C165" s="98"/>
      <c r="D165" s="98"/>
      <c r="E165" s="99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</row>
    <row r="166">
      <c r="A166" s="98"/>
      <c r="B166" s="69"/>
      <c r="C166" s="98"/>
      <c r="D166" s="98"/>
      <c r="E166" s="99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</row>
    <row r="167">
      <c r="A167" s="98"/>
      <c r="B167" s="69"/>
      <c r="C167" s="98"/>
      <c r="D167" s="98"/>
      <c r="E167" s="99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</row>
    <row r="168">
      <c r="A168" s="98"/>
      <c r="B168" s="69"/>
      <c r="C168" s="98"/>
      <c r="D168" s="98"/>
      <c r="E168" s="99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</row>
    <row r="169">
      <c r="A169" s="98"/>
      <c r="B169" s="69"/>
      <c r="C169" s="98"/>
      <c r="D169" s="98"/>
      <c r="E169" s="99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</row>
    <row r="170">
      <c r="A170" s="98"/>
      <c r="B170" s="69"/>
      <c r="C170" s="98"/>
      <c r="D170" s="98"/>
      <c r="E170" s="99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</row>
    <row r="171">
      <c r="A171" s="98"/>
      <c r="B171" s="69"/>
      <c r="C171" s="98"/>
      <c r="D171" s="98"/>
      <c r="E171" s="99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</row>
    <row r="172">
      <c r="A172" s="98"/>
      <c r="B172" s="69"/>
      <c r="C172" s="98"/>
      <c r="D172" s="98"/>
      <c r="E172" s="99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</row>
    <row r="173">
      <c r="A173" s="98"/>
      <c r="B173" s="69"/>
      <c r="C173" s="98"/>
      <c r="D173" s="98"/>
      <c r="E173" s="99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</row>
    <row r="174">
      <c r="A174" s="98"/>
      <c r="B174" s="69"/>
      <c r="C174" s="98"/>
      <c r="D174" s="98"/>
      <c r="E174" s="99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</row>
    <row r="175">
      <c r="A175" s="98"/>
      <c r="B175" s="69"/>
      <c r="C175" s="98"/>
      <c r="D175" s="98"/>
      <c r="E175" s="99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</row>
    <row r="176">
      <c r="A176" s="98"/>
      <c r="B176" s="69"/>
      <c r="C176" s="98"/>
      <c r="D176" s="98"/>
      <c r="E176" s="99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</row>
    <row r="177">
      <c r="A177" s="98"/>
      <c r="B177" s="69"/>
      <c r="C177" s="98"/>
      <c r="D177" s="98"/>
      <c r="E177" s="99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</row>
    <row r="178">
      <c r="A178" s="98"/>
      <c r="B178" s="69"/>
      <c r="C178" s="98"/>
      <c r="D178" s="98"/>
      <c r="E178" s="99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</row>
    <row r="179">
      <c r="A179" s="98"/>
      <c r="B179" s="69"/>
      <c r="C179" s="98"/>
      <c r="D179" s="98"/>
      <c r="E179" s="99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</row>
    <row r="180">
      <c r="A180" s="98"/>
      <c r="B180" s="69"/>
      <c r="C180" s="98"/>
      <c r="D180" s="98"/>
      <c r="E180" s="99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</row>
    <row r="181">
      <c r="A181" s="98"/>
      <c r="B181" s="69"/>
      <c r="C181" s="98"/>
      <c r="D181" s="98"/>
      <c r="E181" s="99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</row>
    <row r="182">
      <c r="A182" s="98"/>
      <c r="B182" s="69"/>
      <c r="C182" s="98"/>
      <c r="D182" s="98"/>
      <c r="E182" s="99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</row>
    <row r="183">
      <c r="A183" s="98"/>
      <c r="B183" s="69"/>
      <c r="C183" s="98"/>
      <c r="D183" s="98"/>
      <c r="E183" s="99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</row>
    <row r="184">
      <c r="A184" s="98"/>
      <c r="B184" s="69"/>
      <c r="C184" s="98"/>
      <c r="D184" s="98"/>
      <c r="E184" s="99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</row>
    <row r="185">
      <c r="A185" s="98"/>
      <c r="B185" s="69"/>
      <c r="C185" s="98"/>
      <c r="D185" s="98"/>
      <c r="E185" s="99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</row>
    <row r="186">
      <c r="A186" s="98"/>
      <c r="B186" s="69"/>
      <c r="C186" s="98"/>
      <c r="D186" s="98"/>
      <c r="E186" s="99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</row>
    <row r="187">
      <c r="A187" s="98"/>
      <c r="B187" s="69"/>
      <c r="C187" s="98"/>
      <c r="D187" s="98"/>
      <c r="E187" s="99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</row>
    <row r="188">
      <c r="A188" s="98"/>
      <c r="B188" s="69"/>
      <c r="C188" s="98"/>
      <c r="D188" s="98"/>
      <c r="E188" s="99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</row>
    <row r="189">
      <c r="A189" s="98"/>
      <c r="B189" s="69"/>
      <c r="C189" s="98"/>
      <c r="D189" s="98"/>
      <c r="E189" s="99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</row>
    <row r="190">
      <c r="A190" s="98"/>
      <c r="B190" s="69"/>
      <c r="C190" s="98"/>
      <c r="D190" s="98"/>
      <c r="E190" s="99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</row>
    <row r="191">
      <c r="A191" s="98"/>
      <c r="B191" s="69"/>
      <c r="C191" s="98"/>
      <c r="D191" s="98"/>
      <c r="E191" s="99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</row>
    <row r="192">
      <c r="A192" s="98"/>
      <c r="B192" s="69"/>
      <c r="C192" s="98"/>
      <c r="D192" s="98"/>
      <c r="E192" s="99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</row>
    <row r="193">
      <c r="A193" s="98"/>
      <c r="B193" s="69"/>
      <c r="C193" s="98"/>
      <c r="D193" s="98"/>
      <c r="E193" s="99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</row>
    <row r="194">
      <c r="A194" s="98"/>
      <c r="B194" s="69"/>
      <c r="C194" s="98"/>
      <c r="D194" s="98"/>
      <c r="E194" s="99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</row>
    <row r="195">
      <c r="A195" s="98"/>
      <c r="B195" s="69"/>
      <c r="C195" s="98"/>
      <c r="D195" s="98"/>
      <c r="E195" s="99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</row>
    <row r="196">
      <c r="A196" s="98"/>
      <c r="B196" s="69"/>
      <c r="C196" s="98"/>
      <c r="D196" s="98"/>
      <c r="E196" s="99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</row>
    <row r="197">
      <c r="A197" s="98"/>
      <c r="B197" s="69"/>
      <c r="C197" s="98"/>
      <c r="D197" s="98"/>
      <c r="E197" s="99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</row>
    <row r="198">
      <c r="A198" s="98"/>
      <c r="B198" s="69"/>
      <c r="C198" s="98"/>
      <c r="D198" s="98"/>
      <c r="E198" s="99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</row>
    <row r="199">
      <c r="A199" s="98"/>
      <c r="B199" s="69"/>
      <c r="C199" s="98"/>
      <c r="D199" s="98"/>
      <c r="E199" s="99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</row>
    <row r="200">
      <c r="A200" s="98"/>
      <c r="B200" s="69"/>
      <c r="C200" s="98"/>
      <c r="D200" s="98"/>
      <c r="E200" s="99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</row>
    <row r="201">
      <c r="A201" s="98"/>
      <c r="B201" s="69"/>
      <c r="C201" s="98"/>
      <c r="D201" s="98"/>
      <c r="E201" s="99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</row>
    <row r="202">
      <c r="A202" s="98"/>
      <c r="B202" s="69"/>
      <c r="C202" s="98"/>
      <c r="D202" s="98"/>
      <c r="E202" s="99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</row>
    <row r="203">
      <c r="A203" s="98"/>
      <c r="B203" s="69"/>
      <c r="C203" s="98"/>
      <c r="D203" s="98"/>
      <c r="E203" s="99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</row>
    <row r="204">
      <c r="A204" s="98"/>
      <c r="B204" s="69"/>
      <c r="C204" s="98"/>
      <c r="D204" s="98"/>
      <c r="E204" s="99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</row>
    <row r="205">
      <c r="A205" s="98"/>
      <c r="B205" s="69"/>
      <c r="C205" s="98"/>
      <c r="D205" s="98"/>
      <c r="E205" s="99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</row>
    <row r="206">
      <c r="A206" s="98"/>
      <c r="B206" s="69"/>
      <c r="C206" s="98"/>
      <c r="D206" s="98"/>
      <c r="E206" s="99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</row>
    <row r="207">
      <c r="A207" s="98"/>
      <c r="B207" s="69"/>
      <c r="C207" s="98"/>
      <c r="D207" s="98"/>
      <c r="E207" s="99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</row>
    <row r="208">
      <c r="A208" s="98"/>
      <c r="B208" s="69"/>
      <c r="C208" s="98"/>
      <c r="D208" s="98"/>
      <c r="E208" s="99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</row>
    <row r="209">
      <c r="A209" s="98"/>
      <c r="B209" s="69"/>
      <c r="C209" s="98"/>
      <c r="D209" s="98"/>
      <c r="E209" s="99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</row>
    <row r="210">
      <c r="A210" s="98"/>
      <c r="B210" s="69"/>
      <c r="C210" s="98"/>
      <c r="D210" s="98"/>
      <c r="E210" s="99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</row>
    <row r="211">
      <c r="A211" s="98"/>
      <c r="B211" s="69"/>
      <c r="C211" s="98"/>
      <c r="D211" s="98"/>
      <c r="E211" s="99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</row>
    <row r="212">
      <c r="A212" s="98"/>
      <c r="B212" s="69"/>
      <c r="C212" s="98"/>
      <c r="D212" s="98"/>
      <c r="E212" s="99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</row>
    <row r="213">
      <c r="A213" s="98"/>
      <c r="B213" s="69"/>
      <c r="C213" s="98"/>
      <c r="D213" s="98"/>
      <c r="E213" s="99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</row>
    <row r="214">
      <c r="A214" s="98"/>
      <c r="B214" s="69"/>
      <c r="C214" s="98"/>
      <c r="D214" s="98"/>
      <c r="E214" s="99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</row>
    <row r="215">
      <c r="A215" s="98"/>
      <c r="B215" s="69"/>
      <c r="C215" s="98"/>
      <c r="D215" s="98"/>
      <c r="E215" s="99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</row>
    <row r="216">
      <c r="A216" s="98"/>
      <c r="B216" s="69"/>
      <c r="C216" s="98"/>
      <c r="D216" s="98"/>
      <c r="E216" s="99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</row>
    <row r="217">
      <c r="A217" s="98"/>
      <c r="B217" s="69"/>
      <c r="C217" s="98"/>
      <c r="D217" s="98"/>
      <c r="E217" s="99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</row>
    <row r="218">
      <c r="A218" s="98"/>
      <c r="B218" s="69"/>
      <c r="C218" s="98"/>
      <c r="D218" s="98"/>
      <c r="E218" s="99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</row>
    <row r="219">
      <c r="A219" s="98"/>
      <c r="B219" s="69"/>
      <c r="C219" s="98"/>
      <c r="D219" s="98"/>
      <c r="E219" s="99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</row>
    <row r="220">
      <c r="A220" s="98"/>
      <c r="B220" s="69"/>
      <c r="C220" s="98"/>
      <c r="D220" s="98"/>
      <c r="E220" s="99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</row>
    <row r="221">
      <c r="A221" s="98"/>
      <c r="B221" s="69"/>
      <c r="C221" s="98"/>
      <c r="D221" s="98"/>
      <c r="E221" s="99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</row>
    <row r="222">
      <c r="A222" s="98"/>
      <c r="B222" s="69"/>
      <c r="C222" s="98"/>
      <c r="D222" s="98"/>
      <c r="E222" s="99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</row>
    <row r="223">
      <c r="A223" s="98"/>
      <c r="B223" s="69"/>
      <c r="C223" s="98"/>
      <c r="D223" s="98"/>
      <c r="E223" s="99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</row>
    <row r="224">
      <c r="A224" s="98"/>
      <c r="B224" s="69"/>
      <c r="C224" s="98"/>
      <c r="D224" s="98"/>
      <c r="E224" s="99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</row>
    <row r="225">
      <c r="A225" s="98"/>
      <c r="B225" s="69"/>
      <c r="C225" s="98"/>
      <c r="D225" s="98"/>
      <c r="E225" s="99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</row>
    <row r="226">
      <c r="A226" s="98"/>
      <c r="B226" s="69"/>
      <c r="C226" s="98"/>
      <c r="D226" s="98"/>
      <c r="E226" s="99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</row>
    <row r="227">
      <c r="A227" s="98"/>
      <c r="B227" s="69"/>
      <c r="C227" s="98"/>
      <c r="D227" s="98"/>
      <c r="E227" s="99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</row>
    <row r="228">
      <c r="A228" s="98"/>
      <c r="B228" s="69"/>
      <c r="C228" s="98"/>
      <c r="D228" s="98"/>
      <c r="E228" s="99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</row>
    <row r="229">
      <c r="A229" s="98"/>
      <c r="B229" s="69"/>
      <c r="C229" s="98"/>
      <c r="D229" s="98"/>
      <c r="E229" s="99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</row>
    <row r="230">
      <c r="A230" s="98"/>
      <c r="B230" s="69"/>
      <c r="C230" s="98"/>
      <c r="D230" s="98"/>
      <c r="E230" s="99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</row>
    <row r="231">
      <c r="A231" s="98"/>
      <c r="B231" s="69"/>
      <c r="C231" s="98"/>
      <c r="D231" s="98"/>
      <c r="E231" s="99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</row>
    <row r="232">
      <c r="A232" s="98"/>
      <c r="B232" s="69"/>
      <c r="C232" s="98"/>
      <c r="D232" s="98"/>
      <c r="E232" s="99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</row>
    <row r="233">
      <c r="A233" s="98"/>
      <c r="B233" s="69"/>
      <c r="C233" s="98"/>
      <c r="D233" s="98"/>
      <c r="E233" s="99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</row>
    <row r="234">
      <c r="A234" s="98"/>
      <c r="B234" s="69"/>
      <c r="C234" s="98"/>
      <c r="D234" s="98"/>
      <c r="E234" s="99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</row>
    <row r="235">
      <c r="A235" s="98"/>
      <c r="B235" s="69"/>
      <c r="C235" s="98"/>
      <c r="D235" s="98"/>
      <c r="E235" s="99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</row>
    <row r="236">
      <c r="A236" s="98"/>
      <c r="B236" s="69"/>
      <c r="C236" s="98"/>
      <c r="D236" s="98"/>
      <c r="E236" s="99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</row>
    <row r="237">
      <c r="A237" s="98"/>
      <c r="B237" s="69"/>
      <c r="C237" s="98"/>
      <c r="D237" s="98"/>
      <c r="E237" s="99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</row>
    <row r="238">
      <c r="A238" s="98"/>
      <c r="B238" s="69"/>
      <c r="C238" s="98"/>
      <c r="D238" s="98"/>
      <c r="E238" s="99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</row>
    <row r="239">
      <c r="A239" s="98"/>
      <c r="B239" s="69"/>
      <c r="C239" s="98"/>
      <c r="D239" s="98"/>
      <c r="E239" s="99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</row>
    <row r="240">
      <c r="A240" s="98"/>
      <c r="B240" s="69"/>
      <c r="C240" s="98"/>
      <c r="D240" s="98"/>
      <c r="E240" s="99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</row>
    <row r="241">
      <c r="A241" s="98"/>
      <c r="B241" s="69"/>
      <c r="C241" s="98"/>
      <c r="D241" s="98"/>
      <c r="E241" s="99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</row>
    <row r="242">
      <c r="A242" s="98"/>
      <c r="B242" s="69"/>
      <c r="C242" s="98"/>
      <c r="D242" s="98"/>
      <c r="E242" s="99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</row>
    <row r="243">
      <c r="A243" s="98"/>
      <c r="B243" s="69"/>
      <c r="C243" s="98"/>
      <c r="D243" s="98"/>
      <c r="E243" s="99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</row>
    <row r="244">
      <c r="A244" s="98"/>
      <c r="B244" s="69"/>
      <c r="C244" s="98"/>
      <c r="D244" s="98"/>
      <c r="E244" s="99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</row>
    <row r="245">
      <c r="A245" s="98"/>
      <c r="B245" s="69"/>
      <c r="C245" s="98"/>
      <c r="D245" s="98"/>
      <c r="E245" s="99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</row>
    <row r="246">
      <c r="A246" s="98"/>
      <c r="B246" s="69"/>
      <c r="C246" s="98"/>
      <c r="D246" s="98"/>
      <c r="E246" s="99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</row>
    <row r="247">
      <c r="A247" s="98"/>
      <c r="B247" s="69"/>
      <c r="C247" s="98"/>
      <c r="D247" s="98"/>
      <c r="E247" s="99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</row>
    <row r="248">
      <c r="A248" s="98"/>
      <c r="B248" s="69"/>
      <c r="C248" s="98"/>
      <c r="D248" s="98"/>
      <c r="E248" s="99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</row>
    <row r="249">
      <c r="A249" s="98"/>
      <c r="B249" s="69"/>
      <c r="C249" s="98"/>
      <c r="D249" s="98"/>
      <c r="E249" s="99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</row>
    <row r="250">
      <c r="A250" s="98"/>
      <c r="B250" s="69"/>
      <c r="C250" s="98"/>
      <c r="D250" s="98"/>
      <c r="E250" s="99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</row>
    <row r="251">
      <c r="A251" s="98"/>
      <c r="B251" s="69"/>
      <c r="C251" s="98"/>
      <c r="D251" s="98"/>
      <c r="E251" s="99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</row>
    <row r="252">
      <c r="A252" s="98"/>
      <c r="B252" s="69"/>
      <c r="C252" s="98"/>
      <c r="D252" s="98"/>
      <c r="E252" s="99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</row>
    <row r="253">
      <c r="A253" s="98"/>
      <c r="B253" s="69"/>
      <c r="C253" s="98"/>
      <c r="D253" s="98"/>
      <c r="E253" s="99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</row>
    <row r="254">
      <c r="A254" s="98"/>
      <c r="B254" s="69"/>
      <c r="C254" s="98"/>
      <c r="D254" s="98"/>
      <c r="E254" s="99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</row>
    <row r="255">
      <c r="A255" s="98"/>
      <c r="B255" s="69"/>
      <c r="C255" s="98"/>
      <c r="D255" s="98"/>
      <c r="E255" s="99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</row>
    <row r="256">
      <c r="A256" s="98"/>
      <c r="B256" s="69"/>
      <c r="C256" s="98"/>
      <c r="D256" s="98"/>
      <c r="E256" s="99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</row>
    <row r="257">
      <c r="A257" s="98"/>
      <c r="B257" s="69"/>
      <c r="C257" s="98"/>
      <c r="D257" s="98"/>
      <c r="E257" s="99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</row>
    <row r="258">
      <c r="A258" s="98"/>
      <c r="B258" s="69"/>
      <c r="C258" s="98"/>
      <c r="D258" s="98"/>
      <c r="E258" s="99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</row>
    <row r="259">
      <c r="A259" s="98"/>
      <c r="B259" s="69"/>
      <c r="C259" s="98"/>
      <c r="D259" s="98"/>
      <c r="E259" s="99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</row>
    <row r="260">
      <c r="A260" s="98"/>
      <c r="B260" s="69"/>
      <c r="C260" s="98"/>
      <c r="D260" s="98"/>
      <c r="E260" s="99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</row>
    <row r="261">
      <c r="A261" s="98"/>
      <c r="B261" s="69"/>
      <c r="C261" s="98"/>
      <c r="D261" s="98"/>
      <c r="E261" s="99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</row>
    <row r="262">
      <c r="A262" s="98"/>
      <c r="B262" s="69"/>
      <c r="C262" s="98"/>
      <c r="D262" s="98"/>
      <c r="E262" s="99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</row>
    <row r="263">
      <c r="A263" s="98"/>
      <c r="B263" s="69"/>
      <c r="C263" s="98"/>
      <c r="D263" s="98"/>
      <c r="E263" s="99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</row>
    <row r="264">
      <c r="A264" s="98"/>
      <c r="B264" s="69"/>
      <c r="C264" s="98"/>
      <c r="D264" s="98"/>
      <c r="E264" s="99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</row>
    <row r="265">
      <c r="A265" s="98"/>
      <c r="B265" s="69"/>
      <c r="C265" s="98"/>
      <c r="D265" s="98"/>
      <c r="E265" s="99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</row>
    <row r="266">
      <c r="A266" s="98"/>
      <c r="B266" s="69"/>
      <c r="C266" s="98"/>
      <c r="D266" s="98"/>
      <c r="E266" s="99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</row>
    <row r="267">
      <c r="A267" s="98"/>
      <c r="B267" s="69"/>
      <c r="C267" s="98"/>
      <c r="D267" s="98"/>
      <c r="E267" s="99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</row>
    <row r="268">
      <c r="A268" s="98"/>
      <c r="B268" s="69"/>
      <c r="C268" s="98"/>
      <c r="D268" s="98"/>
      <c r="E268" s="99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</row>
    <row r="269">
      <c r="A269" s="98"/>
      <c r="B269" s="69"/>
      <c r="C269" s="98"/>
      <c r="D269" s="98"/>
      <c r="E269" s="99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</row>
    <row r="270">
      <c r="A270" s="98"/>
      <c r="B270" s="69"/>
      <c r="C270" s="98"/>
      <c r="D270" s="98"/>
      <c r="E270" s="99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</row>
    <row r="271">
      <c r="A271" s="98"/>
      <c r="B271" s="69"/>
      <c r="C271" s="98"/>
      <c r="D271" s="98"/>
      <c r="E271" s="99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</row>
    <row r="272">
      <c r="A272" s="98"/>
      <c r="B272" s="69"/>
      <c r="C272" s="98"/>
      <c r="D272" s="98"/>
      <c r="E272" s="99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</row>
    <row r="273">
      <c r="A273" s="98"/>
      <c r="B273" s="69"/>
      <c r="C273" s="98"/>
      <c r="D273" s="98"/>
      <c r="E273" s="99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</row>
    <row r="274">
      <c r="A274" s="98"/>
      <c r="B274" s="69"/>
      <c r="C274" s="98"/>
      <c r="D274" s="98"/>
      <c r="E274" s="99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</row>
    <row r="275">
      <c r="A275" s="98"/>
      <c r="B275" s="69"/>
      <c r="C275" s="98"/>
      <c r="D275" s="98"/>
      <c r="E275" s="99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</row>
    <row r="276">
      <c r="A276" s="98"/>
      <c r="B276" s="69"/>
      <c r="C276" s="98"/>
      <c r="D276" s="98"/>
      <c r="E276" s="99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</row>
    <row r="277">
      <c r="A277" s="98"/>
      <c r="B277" s="69"/>
      <c r="C277" s="98"/>
      <c r="D277" s="98"/>
      <c r="E277" s="99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</row>
    <row r="278">
      <c r="A278" s="98"/>
      <c r="B278" s="69"/>
      <c r="C278" s="98"/>
      <c r="D278" s="98"/>
      <c r="E278" s="99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</row>
    <row r="279">
      <c r="A279" s="98"/>
      <c r="B279" s="69"/>
      <c r="C279" s="98"/>
      <c r="D279" s="98"/>
      <c r="E279" s="99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</row>
    <row r="280">
      <c r="A280" s="98"/>
      <c r="B280" s="69"/>
      <c r="C280" s="98"/>
      <c r="D280" s="98"/>
      <c r="E280" s="99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</row>
    <row r="281">
      <c r="A281" s="98"/>
      <c r="B281" s="69"/>
      <c r="C281" s="98"/>
      <c r="D281" s="98"/>
      <c r="E281" s="99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</row>
    <row r="282">
      <c r="A282" s="98"/>
      <c r="B282" s="69"/>
      <c r="C282" s="98"/>
      <c r="D282" s="98"/>
      <c r="E282" s="99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</row>
    <row r="283">
      <c r="A283" s="98"/>
      <c r="B283" s="69"/>
      <c r="C283" s="98"/>
      <c r="D283" s="98"/>
      <c r="E283" s="99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</row>
    <row r="284">
      <c r="A284" s="98"/>
      <c r="B284" s="69"/>
      <c r="C284" s="98"/>
      <c r="D284" s="98"/>
      <c r="E284" s="99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</row>
    <row r="285">
      <c r="A285" s="98"/>
      <c r="B285" s="69"/>
      <c r="C285" s="98"/>
      <c r="D285" s="98"/>
      <c r="E285" s="99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</row>
    <row r="286">
      <c r="A286" s="98"/>
      <c r="B286" s="69"/>
      <c r="C286" s="98"/>
      <c r="D286" s="98"/>
      <c r="E286" s="99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</row>
    <row r="287">
      <c r="A287" s="98"/>
      <c r="B287" s="69"/>
      <c r="C287" s="98"/>
      <c r="D287" s="98"/>
      <c r="E287" s="99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</row>
    <row r="288">
      <c r="A288" s="98"/>
      <c r="B288" s="69"/>
      <c r="C288" s="98"/>
      <c r="D288" s="98"/>
      <c r="E288" s="99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</row>
    <row r="289">
      <c r="A289" s="98"/>
      <c r="B289" s="69"/>
      <c r="C289" s="98"/>
      <c r="D289" s="98"/>
      <c r="E289" s="99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</row>
    <row r="290">
      <c r="A290" s="98"/>
      <c r="B290" s="69"/>
      <c r="C290" s="98"/>
      <c r="D290" s="98"/>
      <c r="E290" s="99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</row>
    <row r="291">
      <c r="A291" s="98"/>
      <c r="B291" s="69"/>
      <c r="C291" s="98"/>
      <c r="D291" s="98"/>
      <c r="E291" s="99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</row>
    <row r="292">
      <c r="A292" s="98"/>
      <c r="B292" s="69"/>
      <c r="C292" s="98"/>
      <c r="D292" s="98"/>
      <c r="E292" s="99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</row>
    <row r="293">
      <c r="A293" s="98"/>
      <c r="B293" s="69"/>
      <c r="C293" s="98"/>
      <c r="D293" s="98"/>
      <c r="E293" s="99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</row>
    <row r="294">
      <c r="A294" s="98"/>
      <c r="B294" s="69"/>
      <c r="C294" s="98"/>
      <c r="D294" s="98"/>
      <c r="E294" s="99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</row>
    <row r="295">
      <c r="A295" s="98"/>
      <c r="B295" s="69"/>
      <c r="C295" s="98"/>
      <c r="D295" s="98"/>
      <c r="E295" s="99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</row>
    <row r="296">
      <c r="A296" s="98"/>
      <c r="B296" s="69"/>
      <c r="C296" s="98"/>
      <c r="D296" s="98"/>
      <c r="E296" s="99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</row>
    <row r="297">
      <c r="A297" s="98"/>
      <c r="B297" s="69"/>
      <c r="C297" s="98"/>
      <c r="D297" s="98"/>
      <c r="E297" s="99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</row>
    <row r="298">
      <c r="A298" s="98"/>
      <c r="B298" s="69"/>
      <c r="C298" s="98"/>
      <c r="D298" s="98"/>
      <c r="E298" s="99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</row>
    <row r="299">
      <c r="A299" s="98"/>
      <c r="B299" s="69"/>
      <c r="C299" s="98"/>
      <c r="D299" s="98"/>
      <c r="E299" s="99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</row>
    <row r="300">
      <c r="A300" s="98"/>
      <c r="B300" s="69"/>
      <c r="C300" s="98"/>
      <c r="D300" s="98"/>
      <c r="E300" s="99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</row>
    <row r="301">
      <c r="A301" s="98"/>
      <c r="B301" s="69"/>
      <c r="C301" s="98"/>
      <c r="D301" s="98"/>
      <c r="E301" s="99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</row>
    <row r="302">
      <c r="A302" s="98"/>
      <c r="B302" s="69"/>
      <c r="C302" s="98"/>
      <c r="D302" s="98"/>
      <c r="E302" s="99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</row>
    <row r="303">
      <c r="A303" s="98"/>
      <c r="B303" s="69"/>
      <c r="C303" s="98"/>
      <c r="D303" s="98"/>
      <c r="E303" s="99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</row>
    <row r="304">
      <c r="A304" s="98"/>
      <c r="B304" s="69"/>
      <c r="C304" s="98"/>
      <c r="D304" s="98"/>
      <c r="E304" s="99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</row>
    <row r="305">
      <c r="A305" s="98"/>
      <c r="B305" s="69"/>
      <c r="C305" s="98"/>
      <c r="D305" s="98"/>
      <c r="E305" s="99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</row>
    <row r="306">
      <c r="A306" s="98"/>
      <c r="B306" s="69"/>
      <c r="C306" s="98"/>
      <c r="D306" s="98"/>
      <c r="E306" s="99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</row>
    <row r="307">
      <c r="A307" s="98"/>
      <c r="B307" s="69"/>
      <c r="C307" s="98"/>
      <c r="D307" s="98"/>
      <c r="E307" s="99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</row>
    <row r="308">
      <c r="A308" s="98"/>
      <c r="B308" s="69"/>
      <c r="C308" s="98"/>
      <c r="D308" s="98"/>
      <c r="E308" s="99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</row>
    <row r="309">
      <c r="A309" s="98"/>
      <c r="B309" s="69"/>
      <c r="C309" s="98"/>
      <c r="D309" s="98"/>
      <c r="E309" s="99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</row>
    <row r="310">
      <c r="A310" s="98"/>
      <c r="B310" s="69"/>
      <c r="C310" s="98"/>
      <c r="D310" s="98"/>
      <c r="E310" s="99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</row>
    <row r="311">
      <c r="A311" s="98"/>
      <c r="B311" s="69"/>
      <c r="C311" s="98"/>
      <c r="D311" s="98"/>
      <c r="E311" s="99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</row>
    <row r="312">
      <c r="A312" s="98"/>
      <c r="B312" s="69"/>
      <c r="C312" s="98"/>
      <c r="D312" s="98"/>
      <c r="E312" s="99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</row>
    <row r="313">
      <c r="A313" s="98"/>
      <c r="B313" s="69"/>
      <c r="C313" s="98"/>
      <c r="D313" s="98"/>
      <c r="E313" s="99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</row>
    <row r="314">
      <c r="A314" s="98"/>
      <c r="B314" s="69"/>
      <c r="C314" s="98"/>
      <c r="D314" s="98"/>
      <c r="E314" s="99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</row>
    <row r="315">
      <c r="A315" s="98"/>
      <c r="B315" s="69"/>
      <c r="C315" s="98"/>
      <c r="D315" s="98"/>
      <c r="E315" s="99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</row>
    <row r="316">
      <c r="A316" s="98"/>
      <c r="B316" s="69"/>
      <c r="C316" s="98"/>
      <c r="D316" s="98"/>
      <c r="E316" s="99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</row>
    <row r="317">
      <c r="A317" s="98"/>
      <c r="B317" s="69"/>
      <c r="C317" s="98"/>
      <c r="D317" s="98"/>
      <c r="E317" s="99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</row>
    <row r="318">
      <c r="A318" s="98"/>
      <c r="B318" s="69"/>
      <c r="C318" s="98"/>
      <c r="D318" s="98"/>
      <c r="E318" s="99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</row>
    <row r="319">
      <c r="A319" s="98"/>
      <c r="B319" s="69"/>
      <c r="C319" s="98"/>
      <c r="D319" s="98"/>
      <c r="E319" s="99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</row>
    <row r="320">
      <c r="A320" s="98"/>
      <c r="B320" s="69"/>
      <c r="C320" s="98"/>
      <c r="D320" s="98"/>
      <c r="E320" s="99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</row>
    <row r="321">
      <c r="A321" s="98"/>
      <c r="B321" s="69"/>
      <c r="C321" s="98"/>
      <c r="D321" s="98"/>
      <c r="E321" s="99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</row>
    <row r="322">
      <c r="A322" s="98"/>
      <c r="B322" s="69"/>
      <c r="C322" s="98"/>
      <c r="D322" s="98"/>
      <c r="E322" s="99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</row>
    <row r="323">
      <c r="A323" s="98"/>
      <c r="B323" s="69"/>
      <c r="C323" s="98"/>
      <c r="D323" s="98"/>
      <c r="E323" s="99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</row>
    <row r="324">
      <c r="A324" s="98"/>
      <c r="B324" s="69"/>
      <c r="C324" s="98"/>
      <c r="D324" s="98"/>
      <c r="E324" s="99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</row>
    <row r="325">
      <c r="A325" s="98"/>
      <c r="B325" s="69"/>
      <c r="C325" s="98"/>
      <c r="D325" s="98"/>
      <c r="E325" s="99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</row>
    <row r="326">
      <c r="A326" s="98"/>
      <c r="B326" s="69"/>
      <c r="C326" s="98"/>
      <c r="D326" s="98"/>
      <c r="E326" s="99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</row>
    <row r="327">
      <c r="A327" s="98"/>
      <c r="B327" s="69"/>
      <c r="C327" s="98"/>
      <c r="D327" s="98"/>
      <c r="E327" s="99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</row>
    <row r="328">
      <c r="A328" s="98"/>
      <c r="B328" s="69"/>
      <c r="C328" s="98"/>
      <c r="D328" s="98"/>
      <c r="E328" s="99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</row>
    <row r="329">
      <c r="A329" s="98"/>
      <c r="B329" s="69"/>
      <c r="C329" s="98"/>
      <c r="D329" s="98"/>
      <c r="E329" s="99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</row>
    <row r="330">
      <c r="A330" s="98"/>
      <c r="B330" s="69"/>
      <c r="C330" s="98"/>
      <c r="D330" s="98"/>
      <c r="E330" s="99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</row>
    <row r="331">
      <c r="A331" s="98"/>
      <c r="B331" s="69"/>
      <c r="C331" s="98"/>
      <c r="D331" s="98"/>
      <c r="E331" s="99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</row>
    <row r="332">
      <c r="A332" s="98"/>
      <c r="B332" s="69"/>
      <c r="C332" s="98"/>
      <c r="D332" s="98"/>
      <c r="E332" s="99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</row>
    <row r="333">
      <c r="A333" s="98"/>
      <c r="B333" s="69"/>
      <c r="C333" s="98"/>
      <c r="D333" s="98"/>
      <c r="E333" s="99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</row>
    <row r="334">
      <c r="A334" s="98"/>
      <c r="B334" s="69"/>
      <c r="C334" s="98"/>
      <c r="D334" s="98"/>
      <c r="E334" s="99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</row>
    <row r="335">
      <c r="A335" s="98"/>
      <c r="B335" s="69"/>
      <c r="C335" s="98"/>
      <c r="D335" s="98"/>
      <c r="E335" s="99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</row>
    <row r="336">
      <c r="A336" s="98"/>
      <c r="B336" s="69"/>
      <c r="C336" s="98"/>
      <c r="D336" s="98"/>
      <c r="E336" s="99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</row>
    <row r="337">
      <c r="A337" s="98"/>
      <c r="B337" s="69"/>
      <c r="C337" s="98"/>
      <c r="D337" s="98"/>
      <c r="E337" s="99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</row>
    <row r="338">
      <c r="A338" s="98"/>
      <c r="B338" s="69"/>
      <c r="C338" s="98"/>
      <c r="D338" s="98"/>
      <c r="E338" s="99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</row>
    <row r="339">
      <c r="A339" s="98"/>
      <c r="B339" s="69"/>
      <c r="C339" s="98"/>
      <c r="D339" s="98"/>
      <c r="E339" s="99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</row>
    <row r="340">
      <c r="A340" s="98"/>
      <c r="B340" s="69"/>
      <c r="C340" s="98"/>
      <c r="D340" s="98"/>
      <c r="E340" s="99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</row>
    <row r="341">
      <c r="A341" s="98"/>
      <c r="B341" s="69"/>
      <c r="C341" s="98"/>
      <c r="D341" s="98"/>
      <c r="E341" s="99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</row>
    <row r="342">
      <c r="A342" s="98"/>
      <c r="B342" s="69"/>
      <c r="C342" s="98"/>
      <c r="D342" s="98"/>
      <c r="E342" s="99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</row>
    <row r="343">
      <c r="A343" s="98"/>
      <c r="B343" s="69"/>
      <c r="C343" s="98"/>
      <c r="D343" s="98"/>
      <c r="E343" s="99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</row>
    <row r="344">
      <c r="A344" s="98"/>
      <c r="B344" s="69"/>
      <c r="C344" s="98"/>
      <c r="D344" s="98"/>
      <c r="E344" s="99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</row>
    <row r="345">
      <c r="A345" s="98"/>
      <c r="B345" s="69"/>
      <c r="C345" s="98"/>
      <c r="D345" s="98"/>
      <c r="E345" s="99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</row>
    <row r="346">
      <c r="A346" s="98"/>
      <c r="B346" s="69"/>
      <c r="C346" s="98"/>
      <c r="D346" s="98"/>
      <c r="E346" s="99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</row>
    <row r="347">
      <c r="A347" s="98"/>
      <c r="B347" s="69"/>
      <c r="C347" s="98"/>
      <c r="D347" s="98"/>
      <c r="E347" s="99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</row>
    <row r="348">
      <c r="A348" s="98"/>
      <c r="B348" s="69"/>
      <c r="C348" s="98"/>
      <c r="D348" s="98"/>
      <c r="E348" s="99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</row>
    <row r="349">
      <c r="A349" s="98"/>
      <c r="B349" s="69"/>
      <c r="C349" s="98"/>
      <c r="D349" s="98"/>
      <c r="E349" s="99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</row>
    <row r="350">
      <c r="A350" s="98"/>
      <c r="B350" s="69"/>
      <c r="C350" s="98"/>
      <c r="D350" s="98"/>
      <c r="E350" s="99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</row>
    <row r="351">
      <c r="A351" s="98"/>
      <c r="B351" s="69"/>
      <c r="C351" s="98"/>
      <c r="D351" s="98"/>
      <c r="E351" s="99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</row>
    <row r="352">
      <c r="A352" s="98"/>
      <c r="B352" s="69"/>
      <c r="C352" s="98"/>
      <c r="D352" s="98"/>
      <c r="E352" s="99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</row>
    <row r="353">
      <c r="A353" s="98"/>
      <c r="B353" s="69"/>
      <c r="C353" s="98"/>
      <c r="D353" s="98"/>
      <c r="E353" s="99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</row>
    <row r="354">
      <c r="A354" s="98"/>
      <c r="B354" s="69"/>
      <c r="C354" s="98"/>
      <c r="D354" s="98"/>
      <c r="E354" s="99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</row>
    <row r="355">
      <c r="A355" s="98"/>
      <c r="B355" s="69"/>
      <c r="C355" s="98"/>
      <c r="D355" s="98"/>
      <c r="E355" s="99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</row>
    <row r="356">
      <c r="A356" s="98"/>
      <c r="B356" s="69"/>
      <c r="C356" s="98"/>
      <c r="D356" s="98"/>
      <c r="E356" s="99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</row>
    <row r="357">
      <c r="A357" s="98"/>
      <c r="B357" s="69"/>
      <c r="C357" s="98"/>
      <c r="D357" s="98"/>
      <c r="E357" s="99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</row>
    <row r="358">
      <c r="A358" s="98"/>
      <c r="B358" s="69"/>
      <c r="C358" s="98"/>
      <c r="D358" s="98"/>
      <c r="E358" s="99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</row>
    <row r="359">
      <c r="A359" s="98"/>
      <c r="B359" s="69"/>
      <c r="C359" s="98"/>
      <c r="D359" s="98"/>
      <c r="E359" s="99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</row>
    <row r="360">
      <c r="A360" s="98"/>
      <c r="B360" s="69"/>
      <c r="C360" s="98"/>
      <c r="D360" s="98"/>
      <c r="E360" s="99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</row>
    <row r="361">
      <c r="A361" s="98"/>
      <c r="B361" s="69"/>
      <c r="C361" s="98"/>
      <c r="D361" s="98"/>
      <c r="E361" s="99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</row>
    <row r="362">
      <c r="A362" s="98"/>
      <c r="B362" s="69"/>
      <c r="C362" s="98"/>
      <c r="D362" s="98"/>
      <c r="E362" s="99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</row>
    <row r="363">
      <c r="A363" s="98"/>
      <c r="B363" s="69"/>
      <c r="C363" s="98"/>
      <c r="D363" s="98"/>
      <c r="E363" s="99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</row>
    <row r="364">
      <c r="A364" s="98"/>
      <c r="B364" s="69"/>
      <c r="C364" s="98"/>
      <c r="D364" s="98"/>
      <c r="E364" s="99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</row>
    <row r="365">
      <c r="A365" s="98"/>
      <c r="B365" s="69"/>
      <c r="C365" s="98"/>
      <c r="D365" s="98"/>
      <c r="E365" s="99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</row>
    <row r="366">
      <c r="A366" s="98"/>
      <c r="B366" s="69"/>
      <c r="C366" s="98"/>
      <c r="D366" s="98"/>
      <c r="E366" s="99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</row>
    <row r="367">
      <c r="A367" s="98"/>
      <c r="B367" s="69"/>
      <c r="C367" s="98"/>
      <c r="D367" s="98"/>
      <c r="E367" s="99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</row>
    <row r="368">
      <c r="A368" s="98"/>
      <c r="B368" s="69"/>
      <c r="C368" s="98"/>
      <c r="D368" s="98"/>
      <c r="E368" s="99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</row>
    <row r="369">
      <c r="A369" s="98"/>
      <c r="B369" s="69"/>
      <c r="C369" s="98"/>
      <c r="D369" s="98"/>
      <c r="E369" s="99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</row>
    <row r="370">
      <c r="A370" s="98"/>
      <c r="B370" s="69"/>
      <c r="C370" s="98"/>
      <c r="D370" s="98"/>
      <c r="E370" s="99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</row>
    <row r="371">
      <c r="A371" s="98"/>
      <c r="B371" s="69"/>
      <c r="C371" s="98"/>
      <c r="D371" s="98"/>
      <c r="E371" s="99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</row>
    <row r="372">
      <c r="A372" s="98"/>
      <c r="B372" s="69"/>
      <c r="C372" s="98"/>
      <c r="D372" s="98"/>
      <c r="E372" s="99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</row>
    <row r="373">
      <c r="A373" s="98"/>
      <c r="B373" s="69"/>
      <c r="C373" s="98"/>
      <c r="D373" s="98"/>
      <c r="E373" s="99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</row>
    <row r="374">
      <c r="A374" s="98"/>
      <c r="B374" s="69"/>
      <c r="C374" s="98"/>
      <c r="D374" s="98"/>
      <c r="E374" s="99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</row>
    <row r="375">
      <c r="A375" s="98"/>
      <c r="B375" s="69"/>
      <c r="C375" s="98"/>
      <c r="D375" s="98"/>
      <c r="E375" s="99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</row>
    <row r="376">
      <c r="A376" s="98"/>
      <c r="B376" s="69"/>
      <c r="C376" s="98"/>
      <c r="D376" s="98"/>
      <c r="E376" s="99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</row>
    <row r="377">
      <c r="A377" s="98"/>
      <c r="B377" s="69"/>
      <c r="C377" s="98"/>
      <c r="D377" s="98"/>
      <c r="E377" s="99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</row>
    <row r="378">
      <c r="A378" s="98"/>
      <c r="B378" s="69"/>
      <c r="C378" s="98"/>
      <c r="D378" s="98"/>
      <c r="E378" s="99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</row>
    <row r="379">
      <c r="A379" s="98"/>
      <c r="B379" s="69"/>
      <c r="C379" s="98"/>
      <c r="D379" s="98"/>
      <c r="E379" s="99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</row>
    <row r="380">
      <c r="A380" s="98"/>
      <c r="B380" s="69"/>
      <c r="C380" s="98"/>
      <c r="D380" s="98"/>
      <c r="E380" s="99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</row>
    <row r="381">
      <c r="A381" s="98"/>
      <c r="B381" s="69"/>
      <c r="C381" s="98"/>
      <c r="D381" s="98"/>
      <c r="E381" s="99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</row>
    <row r="382">
      <c r="A382" s="98"/>
      <c r="B382" s="69"/>
      <c r="C382" s="98"/>
      <c r="D382" s="98"/>
      <c r="E382" s="99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</row>
    <row r="383">
      <c r="A383" s="98"/>
      <c r="B383" s="69"/>
      <c r="C383" s="98"/>
      <c r="D383" s="98"/>
      <c r="E383" s="99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</row>
    <row r="384">
      <c r="A384" s="98"/>
      <c r="B384" s="69"/>
      <c r="C384" s="98"/>
      <c r="D384" s="98"/>
      <c r="E384" s="99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</row>
    <row r="385">
      <c r="A385" s="98"/>
      <c r="B385" s="69"/>
      <c r="C385" s="98"/>
      <c r="D385" s="98"/>
      <c r="E385" s="99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</row>
    <row r="386">
      <c r="A386" s="98"/>
      <c r="B386" s="69"/>
      <c r="C386" s="98"/>
      <c r="D386" s="98"/>
      <c r="E386" s="99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</row>
    <row r="387">
      <c r="A387" s="98"/>
      <c r="B387" s="69"/>
      <c r="C387" s="98"/>
      <c r="D387" s="98"/>
      <c r="E387" s="99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</row>
    <row r="388">
      <c r="A388" s="98"/>
      <c r="B388" s="69"/>
      <c r="C388" s="98"/>
      <c r="D388" s="98"/>
      <c r="E388" s="99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</row>
    <row r="389">
      <c r="A389" s="98"/>
      <c r="B389" s="69"/>
      <c r="C389" s="98"/>
      <c r="D389" s="98"/>
      <c r="E389" s="99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</row>
    <row r="390">
      <c r="A390" s="98"/>
      <c r="B390" s="69"/>
      <c r="C390" s="98"/>
      <c r="D390" s="98"/>
      <c r="E390" s="99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</row>
    <row r="391">
      <c r="A391" s="98"/>
      <c r="B391" s="69"/>
      <c r="C391" s="98"/>
      <c r="D391" s="98"/>
      <c r="E391" s="99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</row>
    <row r="392">
      <c r="A392" s="98"/>
      <c r="B392" s="69"/>
      <c r="C392" s="98"/>
      <c r="D392" s="98"/>
      <c r="E392" s="99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</row>
    <row r="393">
      <c r="A393" s="98"/>
      <c r="B393" s="69"/>
      <c r="C393" s="98"/>
      <c r="D393" s="98"/>
      <c r="E393" s="99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</row>
    <row r="394">
      <c r="A394" s="98"/>
      <c r="B394" s="69"/>
      <c r="C394" s="98"/>
      <c r="D394" s="98"/>
      <c r="E394" s="99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</row>
    <row r="395">
      <c r="A395" s="98"/>
      <c r="B395" s="69"/>
      <c r="C395" s="98"/>
      <c r="D395" s="98"/>
      <c r="E395" s="99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</row>
    <row r="396">
      <c r="A396" s="98"/>
      <c r="B396" s="69"/>
      <c r="C396" s="98"/>
      <c r="D396" s="98"/>
      <c r="E396" s="99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</row>
    <row r="397">
      <c r="A397" s="98"/>
      <c r="B397" s="69"/>
      <c r="C397" s="98"/>
      <c r="D397" s="98"/>
      <c r="E397" s="99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</row>
    <row r="398">
      <c r="A398" s="98"/>
      <c r="B398" s="69"/>
      <c r="C398" s="98"/>
      <c r="D398" s="98"/>
      <c r="E398" s="99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</row>
    <row r="399">
      <c r="A399" s="98"/>
      <c r="B399" s="69"/>
      <c r="C399" s="98"/>
      <c r="D399" s="98"/>
      <c r="E399" s="99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</row>
    <row r="400">
      <c r="A400" s="98"/>
      <c r="B400" s="69"/>
      <c r="C400" s="98"/>
      <c r="D400" s="98"/>
      <c r="E400" s="99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</row>
    <row r="401">
      <c r="A401" s="98"/>
      <c r="B401" s="69"/>
      <c r="C401" s="98"/>
      <c r="D401" s="98"/>
      <c r="E401" s="99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</row>
    <row r="402">
      <c r="A402" s="98"/>
      <c r="B402" s="69"/>
      <c r="C402" s="98"/>
      <c r="D402" s="98"/>
      <c r="E402" s="99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</row>
    <row r="403">
      <c r="A403" s="98"/>
      <c r="B403" s="69"/>
      <c r="C403" s="98"/>
      <c r="D403" s="98"/>
      <c r="E403" s="99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</row>
    <row r="404">
      <c r="A404" s="98"/>
      <c r="B404" s="69"/>
      <c r="C404" s="98"/>
      <c r="D404" s="98"/>
      <c r="E404" s="99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</row>
    <row r="405">
      <c r="A405" s="98"/>
      <c r="B405" s="69"/>
      <c r="C405" s="98"/>
      <c r="D405" s="98"/>
      <c r="E405" s="99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</row>
    <row r="406">
      <c r="A406" s="98"/>
      <c r="B406" s="69"/>
      <c r="C406" s="98"/>
      <c r="D406" s="98"/>
      <c r="E406" s="99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</row>
    <row r="407">
      <c r="A407" s="98"/>
      <c r="B407" s="69"/>
      <c r="C407" s="98"/>
      <c r="D407" s="98"/>
      <c r="E407" s="99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</row>
    <row r="408">
      <c r="A408" s="98"/>
      <c r="B408" s="69"/>
      <c r="C408" s="98"/>
      <c r="D408" s="98"/>
      <c r="E408" s="99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</row>
    <row r="409">
      <c r="A409" s="98"/>
      <c r="B409" s="69"/>
      <c r="C409" s="98"/>
      <c r="D409" s="98"/>
      <c r="E409" s="99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</row>
    <row r="410">
      <c r="A410" s="98"/>
      <c r="B410" s="69"/>
      <c r="C410" s="98"/>
      <c r="D410" s="98"/>
      <c r="E410" s="99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</row>
    <row r="411">
      <c r="A411" s="98"/>
      <c r="B411" s="69"/>
      <c r="C411" s="98"/>
      <c r="D411" s="98"/>
      <c r="E411" s="99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</row>
    <row r="412">
      <c r="A412" s="98"/>
      <c r="B412" s="69"/>
      <c r="C412" s="98"/>
      <c r="D412" s="98"/>
      <c r="E412" s="99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</row>
    <row r="413">
      <c r="A413" s="98"/>
      <c r="B413" s="69"/>
      <c r="C413" s="98"/>
      <c r="D413" s="98"/>
      <c r="E413" s="99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</row>
    <row r="414">
      <c r="A414" s="98"/>
      <c r="B414" s="69"/>
      <c r="C414" s="98"/>
      <c r="D414" s="98"/>
      <c r="E414" s="99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</row>
    <row r="415">
      <c r="A415" s="98"/>
      <c r="B415" s="69"/>
      <c r="C415" s="98"/>
      <c r="D415" s="98"/>
      <c r="E415" s="99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</row>
    <row r="416">
      <c r="A416" s="98"/>
      <c r="B416" s="69"/>
      <c r="C416" s="98"/>
      <c r="D416" s="98"/>
      <c r="E416" s="99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</row>
    <row r="417">
      <c r="A417" s="98"/>
      <c r="B417" s="69"/>
      <c r="C417" s="98"/>
      <c r="D417" s="98"/>
      <c r="E417" s="99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</row>
    <row r="418">
      <c r="A418" s="98"/>
      <c r="B418" s="69"/>
      <c r="C418" s="98"/>
      <c r="D418" s="98"/>
      <c r="E418" s="99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</row>
    <row r="419">
      <c r="A419" s="98"/>
      <c r="B419" s="69"/>
      <c r="C419" s="98"/>
      <c r="D419" s="98"/>
      <c r="E419" s="99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</row>
    <row r="420">
      <c r="A420" s="98"/>
      <c r="B420" s="69"/>
      <c r="C420" s="98"/>
      <c r="D420" s="98"/>
      <c r="E420" s="99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</row>
    <row r="421">
      <c r="A421" s="98"/>
      <c r="B421" s="69"/>
      <c r="C421" s="98"/>
      <c r="D421" s="98"/>
      <c r="E421" s="99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</row>
    <row r="422">
      <c r="A422" s="98"/>
      <c r="B422" s="69"/>
      <c r="C422" s="98"/>
      <c r="D422" s="98"/>
      <c r="E422" s="99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</row>
    <row r="423">
      <c r="A423" s="98"/>
      <c r="B423" s="69"/>
      <c r="C423" s="98"/>
      <c r="D423" s="98"/>
      <c r="E423" s="99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</row>
    <row r="424">
      <c r="A424" s="98"/>
      <c r="B424" s="69"/>
      <c r="C424" s="98"/>
      <c r="D424" s="98"/>
      <c r="E424" s="99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</row>
    <row r="425">
      <c r="A425" s="98"/>
      <c r="B425" s="69"/>
      <c r="C425" s="98"/>
      <c r="D425" s="98"/>
      <c r="E425" s="99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</row>
    <row r="426">
      <c r="A426" s="98"/>
      <c r="B426" s="69"/>
      <c r="C426" s="98"/>
      <c r="D426" s="98"/>
      <c r="E426" s="99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</row>
    <row r="427">
      <c r="A427" s="98"/>
      <c r="B427" s="69"/>
      <c r="C427" s="98"/>
      <c r="D427" s="98"/>
      <c r="E427" s="99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</row>
    <row r="428">
      <c r="A428" s="98"/>
      <c r="B428" s="69"/>
      <c r="C428" s="98"/>
      <c r="D428" s="98"/>
      <c r="E428" s="99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</row>
    <row r="429">
      <c r="A429" s="98"/>
      <c r="B429" s="69"/>
      <c r="C429" s="98"/>
      <c r="D429" s="98"/>
      <c r="E429" s="99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</row>
    <row r="430">
      <c r="A430" s="98"/>
      <c r="B430" s="69"/>
      <c r="C430" s="98"/>
      <c r="D430" s="98"/>
      <c r="E430" s="99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</row>
    <row r="431">
      <c r="A431" s="98"/>
      <c r="B431" s="69"/>
      <c r="C431" s="98"/>
      <c r="D431" s="98"/>
      <c r="E431" s="99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</row>
    <row r="432">
      <c r="A432" s="98"/>
      <c r="B432" s="69"/>
      <c r="C432" s="98"/>
      <c r="D432" s="98"/>
      <c r="E432" s="99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</row>
    <row r="433">
      <c r="A433" s="98"/>
      <c r="B433" s="69"/>
      <c r="C433" s="98"/>
      <c r="D433" s="98"/>
      <c r="E433" s="99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</row>
    <row r="434">
      <c r="A434" s="98"/>
      <c r="B434" s="69"/>
      <c r="C434" s="98"/>
      <c r="D434" s="98"/>
      <c r="E434" s="99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</row>
    <row r="435">
      <c r="A435" s="98"/>
      <c r="B435" s="69"/>
      <c r="C435" s="98"/>
      <c r="D435" s="98"/>
      <c r="E435" s="99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</row>
    <row r="436">
      <c r="A436" s="98"/>
      <c r="B436" s="69"/>
      <c r="C436" s="98"/>
      <c r="D436" s="98"/>
      <c r="E436" s="99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</row>
    <row r="437">
      <c r="A437" s="98"/>
      <c r="B437" s="69"/>
      <c r="C437" s="98"/>
      <c r="D437" s="98"/>
      <c r="E437" s="99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</row>
    <row r="438">
      <c r="A438" s="98"/>
      <c r="B438" s="69"/>
      <c r="C438" s="98"/>
      <c r="D438" s="98"/>
      <c r="E438" s="99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</row>
    <row r="439">
      <c r="A439" s="98"/>
      <c r="B439" s="69"/>
      <c r="C439" s="98"/>
      <c r="D439" s="98"/>
      <c r="E439" s="99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</row>
    <row r="440">
      <c r="A440" s="98"/>
      <c r="B440" s="69"/>
      <c r="C440" s="98"/>
      <c r="D440" s="98"/>
      <c r="E440" s="99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</row>
    <row r="441">
      <c r="A441" s="98"/>
      <c r="B441" s="69"/>
      <c r="C441" s="98"/>
      <c r="D441" s="98"/>
      <c r="E441" s="99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</row>
    <row r="442">
      <c r="A442" s="98"/>
      <c r="B442" s="69"/>
      <c r="C442" s="98"/>
      <c r="D442" s="98"/>
      <c r="E442" s="99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</row>
    <row r="443">
      <c r="A443" s="98"/>
      <c r="B443" s="69"/>
      <c r="C443" s="98"/>
      <c r="D443" s="98"/>
      <c r="E443" s="99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</row>
    <row r="444">
      <c r="A444" s="98"/>
      <c r="B444" s="69"/>
      <c r="C444" s="98"/>
      <c r="D444" s="98"/>
      <c r="E444" s="99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</row>
    <row r="445">
      <c r="A445" s="98"/>
      <c r="B445" s="69"/>
      <c r="C445" s="98"/>
      <c r="D445" s="98"/>
      <c r="E445" s="99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</row>
    <row r="446">
      <c r="A446" s="98"/>
      <c r="B446" s="69"/>
      <c r="C446" s="98"/>
      <c r="D446" s="98"/>
      <c r="E446" s="99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</row>
    <row r="447">
      <c r="A447" s="98"/>
      <c r="B447" s="69"/>
      <c r="C447" s="98"/>
      <c r="D447" s="98"/>
      <c r="E447" s="99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</row>
    <row r="448">
      <c r="A448" s="98"/>
      <c r="B448" s="69"/>
      <c r="C448" s="98"/>
      <c r="D448" s="98"/>
      <c r="E448" s="99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</row>
    <row r="449">
      <c r="A449" s="98"/>
      <c r="B449" s="69"/>
      <c r="C449" s="98"/>
      <c r="D449" s="98"/>
      <c r="E449" s="99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</row>
    <row r="450">
      <c r="A450" s="98"/>
      <c r="B450" s="69"/>
      <c r="C450" s="98"/>
      <c r="D450" s="98"/>
      <c r="E450" s="99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</row>
    <row r="451">
      <c r="A451" s="98"/>
      <c r="B451" s="69"/>
      <c r="C451" s="98"/>
      <c r="D451" s="98"/>
      <c r="E451" s="99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</row>
    <row r="452">
      <c r="A452" s="98"/>
      <c r="B452" s="69"/>
      <c r="C452" s="98"/>
      <c r="D452" s="98"/>
      <c r="E452" s="99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</row>
    <row r="453">
      <c r="A453" s="98"/>
      <c r="B453" s="69"/>
      <c r="C453" s="98"/>
      <c r="D453" s="98"/>
      <c r="E453" s="99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</row>
    <row r="454">
      <c r="A454" s="98"/>
      <c r="B454" s="69"/>
      <c r="C454" s="98"/>
      <c r="D454" s="98"/>
      <c r="E454" s="99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</row>
    <row r="455">
      <c r="A455" s="98"/>
      <c r="B455" s="69"/>
      <c r="C455" s="98"/>
      <c r="D455" s="98"/>
      <c r="E455" s="99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</row>
    <row r="456">
      <c r="A456" s="98"/>
      <c r="B456" s="69"/>
      <c r="C456" s="98"/>
      <c r="D456" s="98"/>
      <c r="E456" s="99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</row>
    <row r="457">
      <c r="A457" s="98"/>
      <c r="B457" s="69"/>
      <c r="C457" s="98"/>
      <c r="D457" s="98"/>
      <c r="E457" s="99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</row>
    <row r="458">
      <c r="A458" s="98"/>
      <c r="B458" s="69"/>
      <c r="C458" s="98"/>
      <c r="D458" s="98"/>
      <c r="E458" s="99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</row>
    <row r="459">
      <c r="A459" s="98"/>
      <c r="B459" s="69"/>
      <c r="C459" s="98"/>
      <c r="D459" s="98"/>
      <c r="E459" s="99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</row>
    <row r="460">
      <c r="A460" s="98"/>
      <c r="B460" s="69"/>
      <c r="C460" s="98"/>
      <c r="D460" s="98"/>
      <c r="E460" s="99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</row>
    <row r="461">
      <c r="A461" s="98"/>
      <c r="B461" s="69"/>
      <c r="C461" s="98"/>
      <c r="D461" s="98"/>
      <c r="E461" s="99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</row>
    <row r="462">
      <c r="A462" s="98"/>
      <c r="B462" s="69"/>
      <c r="C462" s="98"/>
      <c r="D462" s="98"/>
      <c r="E462" s="99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</row>
    <row r="463">
      <c r="A463" s="98"/>
      <c r="B463" s="69"/>
      <c r="C463" s="98"/>
      <c r="D463" s="98"/>
      <c r="E463" s="99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</row>
    <row r="464">
      <c r="A464" s="98"/>
      <c r="B464" s="69"/>
      <c r="C464" s="98"/>
      <c r="D464" s="98"/>
      <c r="E464" s="99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</row>
    <row r="465">
      <c r="A465" s="98"/>
      <c r="B465" s="69"/>
      <c r="C465" s="98"/>
      <c r="D465" s="98"/>
      <c r="E465" s="99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</row>
    <row r="466">
      <c r="A466" s="98"/>
      <c r="B466" s="69"/>
      <c r="C466" s="98"/>
      <c r="D466" s="98"/>
      <c r="E466" s="99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</row>
    <row r="467">
      <c r="A467" s="98"/>
      <c r="B467" s="69"/>
      <c r="C467" s="98"/>
      <c r="D467" s="98"/>
      <c r="E467" s="99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</row>
    <row r="468">
      <c r="A468" s="98"/>
      <c r="B468" s="69"/>
      <c r="C468" s="98"/>
      <c r="D468" s="98"/>
      <c r="E468" s="99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</row>
    <row r="469">
      <c r="A469" s="98"/>
      <c r="B469" s="69"/>
      <c r="C469" s="98"/>
      <c r="D469" s="98"/>
      <c r="E469" s="99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</row>
    <row r="470">
      <c r="A470" s="98"/>
      <c r="B470" s="69"/>
      <c r="C470" s="98"/>
      <c r="D470" s="98"/>
      <c r="E470" s="99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</row>
    <row r="471">
      <c r="A471" s="98"/>
      <c r="B471" s="69"/>
      <c r="C471" s="98"/>
      <c r="D471" s="98"/>
      <c r="E471" s="99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</row>
    <row r="472">
      <c r="A472" s="98"/>
      <c r="B472" s="69"/>
      <c r="C472" s="98"/>
      <c r="D472" s="98"/>
      <c r="E472" s="99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</row>
    <row r="473">
      <c r="A473" s="98"/>
      <c r="B473" s="69"/>
      <c r="C473" s="98"/>
      <c r="D473" s="98"/>
      <c r="E473" s="99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</row>
    <row r="474">
      <c r="A474" s="98"/>
      <c r="B474" s="69"/>
      <c r="C474" s="98"/>
      <c r="D474" s="98"/>
      <c r="E474" s="99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</row>
    <row r="475">
      <c r="A475" s="98"/>
      <c r="B475" s="69"/>
      <c r="C475" s="98"/>
      <c r="D475" s="98"/>
      <c r="E475" s="99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</row>
    <row r="476">
      <c r="A476" s="98"/>
      <c r="B476" s="69"/>
      <c r="C476" s="98"/>
      <c r="D476" s="98"/>
      <c r="E476" s="99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</row>
    <row r="477">
      <c r="A477" s="98"/>
      <c r="B477" s="69"/>
      <c r="C477" s="98"/>
      <c r="D477" s="98"/>
      <c r="E477" s="99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</row>
    <row r="478">
      <c r="A478" s="98"/>
      <c r="B478" s="69"/>
      <c r="C478" s="98"/>
      <c r="D478" s="98"/>
      <c r="E478" s="99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</row>
    <row r="479">
      <c r="A479" s="98"/>
      <c r="B479" s="69"/>
      <c r="C479" s="98"/>
      <c r="D479" s="98"/>
      <c r="E479" s="99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</row>
    <row r="480">
      <c r="A480" s="98"/>
      <c r="B480" s="69"/>
      <c r="C480" s="98"/>
      <c r="D480" s="98"/>
      <c r="E480" s="99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</row>
    <row r="481">
      <c r="A481" s="98"/>
      <c r="B481" s="69"/>
      <c r="C481" s="98"/>
      <c r="D481" s="98"/>
      <c r="E481" s="99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</row>
    <row r="482">
      <c r="A482" s="98"/>
      <c r="B482" s="69"/>
      <c r="C482" s="98"/>
      <c r="D482" s="98"/>
      <c r="E482" s="99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</row>
    <row r="483">
      <c r="A483" s="98"/>
      <c r="B483" s="69"/>
      <c r="C483" s="98"/>
      <c r="D483" s="98"/>
      <c r="E483" s="99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</row>
    <row r="484">
      <c r="A484" s="98"/>
      <c r="B484" s="69"/>
      <c r="C484" s="98"/>
      <c r="D484" s="98"/>
      <c r="E484" s="99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</row>
    <row r="485">
      <c r="A485" s="98"/>
      <c r="B485" s="69"/>
      <c r="C485" s="98"/>
      <c r="D485" s="98"/>
      <c r="E485" s="99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</row>
    <row r="486">
      <c r="A486" s="98"/>
      <c r="B486" s="69"/>
      <c r="C486" s="98"/>
      <c r="D486" s="98"/>
      <c r="E486" s="99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</row>
    <row r="487">
      <c r="A487" s="98"/>
      <c r="B487" s="69"/>
      <c r="C487" s="98"/>
      <c r="D487" s="98"/>
      <c r="E487" s="99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</row>
    <row r="488">
      <c r="A488" s="98"/>
      <c r="B488" s="69"/>
      <c r="C488" s="98"/>
      <c r="D488" s="98"/>
      <c r="E488" s="99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</row>
    <row r="489">
      <c r="A489" s="98"/>
      <c r="B489" s="69"/>
      <c r="C489" s="98"/>
      <c r="D489" s="98"/>
      <c r="E489" s="99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</row>
    <row r="490">
      <c r="A490" s="98"/>
      <c r="B490" s="69"/>
      <c r="C490" s="98"/>
      <c r="D490" s="98"/>
      <c r="E490" s="99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</row>
    <row r="491">
      <c r="A491" s="98"/>
      <c r="B491" s="69"/>
      <c r="C491" s="98"/>
      <c r="D491" s="98"/>
      <c r="E491" s="99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</row>
    <row r="492">
      <c r="A492" s="98"/>
      <c r="B492" s="69"/>
      <c r="C492" s="98"/>
      <c r="D492" s="98"/>
      <c r="E492" s="99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</row>
    <row r="493">
      <c r="A493" s="98"/>
      <c r="B493" s="69"/>
      <c r="C493" s="98"/>
      <c r="D493" s="98"/>
      <c r="E493" s="99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</row>
    <row r="494">
      <c r="A494" s="98"/>
      <c r="B494" s="69"/>
      <c r="C494" s="98"/>
      <c r="D494" s="98"/>
      <c r="E494" s="99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</row>
    <row r="495">
      <c r="A495" s="98"/>
      <c r="B495" s="69"/>
      <c r="C495" s="98"/>
      <c r="D495" s="98"/>
      <c r="E495" s="99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</row>
    <row r="496">
      <c r="A496" s="98"/>
      <c r="B496" s="69"/>
      <c r="C496" s="98"/>
      <c r="D496" s="98"/>
      <c r="E496" s="99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</row>
    <row r="497">
      <c r="A497" s="98"/>
      <c r="B497" s="69"/>
      <c r="C497" s="98"/>
      <c r="D497" s="98"/>
      <c r="E497" s="99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</row>
    <row r="498">
      <c r="A498" s="98"/>
      <c r="B498" s="69"/>
      <c r="C498" s="98"/>
      <c r="D498" s="98"/>
      <c r="E498" s="99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</row>
    <row r="499">
      <c r="A499" s="98"/>
      <c r="B499" s="69"/>
      <c r="C499" s="98"/>
      <c r="D499" s="98"/>
      <c r="E499" s="99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</row>
    <row r="500">
      <c r="A500" s="98"/>
      <c r="B500" s="69"/>
      <c r="C500" s="98"/>
      <c r="D500" s="98"/>
      <c r="E500" s="99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</row>
    <row r="501">
      <c r="A501" s="98"/>
      <c r="B501" s="69"/>
      <c r="C501" s="98"/>
      <c r="D501" s="98"/>
      <c r="E501" s="99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</row>
    <row r="502">
      <c r="A502" s="98"/>
      <c r="B502" s="69"/>
      <c r="C502" s="98"/>
      <c r="D502" s="98"/>
      <c r="E502" s="99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</row>
    <row r="503">
      <c r="A503" s="98"/>
      <c r="B503" s="69"/>
      <c r="C503" s="98"/>
      <c r="D503" s="98"/>
      <c r="E503" s="99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</row>
    <row r="504">
      <c r="A504" s="98"/>
      <c r="B504" s="69"/>
      <c r="C504" s="98"/>
      <c r="D504" s="98"/>
      <c r="E504" s="99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</row>
    <row r="505">
      <c r="A505" s="98"/>
      <c r="B505" s="69"/>
      <c r="C505" s="98"/>
      <c r="D505" s="98"/>
      <c r="E505" s="99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</row>
    <row r="506">
      <c r="A506" s="98"/>
      <c r="B506" s="69"/>
      <c r="C506" s="98"/>
      <c r="D506" s="98"/>
      <c r="E506" s="99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</row>
    <row r="507">
      <c r="A507" s="98"/>
      <c r="B507" s="69"/>
      <c r="C507" s="98"/>
      <c r="D507" s="98"/>
      <c r="E507" s="99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</row>
    <row r="508">
      <c r="A508" s="98"/>
      <c r="B508" s="69"/>
      <c r="C508" s="98"/>
      <c r="D508" s="98"/>
      <c r="E508" s="99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</row>
    <row r="509">
      <c r="A509" s="98"/>
      <c r="B509" s="69"/>
      <c r="C509" s="98"/>
      <c r="D509" s="98"/>
      <c r="E509" s="99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</row>
    <row r="510">
      <c r="A510" s="98"/>
      <c r="B510" s="69"/>
      <c r="C510" s="98"/>
      <c r="D510" s="98"/>
      <c r="E510" s="99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</row>
    <row r="511">
      <c r="A511" s="98"/>
      <c r="B511" s="69"/>
      <c r="C511" s="98"/>
      <c r="D511" s="98"/>
      <c r="E511" s="99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</row>
    <row r="512">
      <c r="A512" s="98"/>
      <c r="B512" s="69"/>
      <c r="C512" s="98"/>
      <c r="D512" s="98"/>
      <c r="E512" s="99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</row>
    <row r="513">
      <c r="A513" s="98"/>
      <c r="B513" s="69"/>
      <c r="C513" s="98"/>
      <c r="D513" s="98"/>
      <c r="E513" s="99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</row>
    <row r="514">
      <c r="A514" s="98"/>
      <c r="B514" s="69"/>
      <c r="C514" s="98"/>
      <c r="D514" s="98"/>
      <c r="E514" s="99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</row>
    <row r="515">
      <c r="A515" s="98"/>
      <c r="B515" s="69"/>
      <c r="C515" s="98"/>
      <c r="D515" s="98"/>
      <c r="E515" s="99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</row>
    <row r="516">
      <c r="A516" s="98"/>
      <c r="B516" s="69"/>
      <c r="C516" s="98"/>
      <c r="D516" s="98"/>
      <c r="E516" s="99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</row>
    <row r="517">
      <c r="A517" s="98"/>
      <c r="B517" s="69"/>
      <c r="C517" s="98"/>
      <c r="D517" s="98"/>
      <c r="E517" s="99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</row>
    <row r="518">
      <c r="A518" s="98"/>
      <c r="B518" s="69"/>
      <c r="C518" s="98"/>
      <c r="D518" s="98"/>
      <c r="E518" s="99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</row>
    <row r="519">
      <c r="A519" s="98"/>
      <c r="B519" s="69"/>
      <c r="C519" s="98"/>
      <c r="D519" s="98"/>
      <c r="E519" s="99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</row>
    <row r="520">
      <c r="A520" s="98"/>
      <c r="B520" s="69"/>
      <c r="C520" s="98"/>
      <c r="D520" s="98"/>
      <c r="E520" s="99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</row>
    <row r="521">
      <c r="A521" s="98"/>
      <c r="B521" s="69"/>
      <c r="C521" s="98"/>
      <c r="D521" s="98"/>
      <c r="E521" s="99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</row>
    <row r="522">
      <c r="A522" s="98"/>
      <c r="B522" s="69"/>
      <c r="C522" s="98"/>
      <c r="D522" s="98"/>
      <c r="E522" s="99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</row>
    <row r="523">
      <c r="A523" s="98"/>
      <c r="B523" s="69"/>
      <c r="C523" s="98"/>
      <c r="D523" s="98"/>
      <c r="E523" s="99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</row>
    <row r="524">
      <c r="A524" s="98"/>
      <c r="B524" s="69"/>
      <c r="C524" s="98"/>
      <c r="D524" s="98"/>
      <c r="E524" s="99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</row>
    <row r="525">
      <c r="A525" s="98"/>
      <c r="B525" s="69"/>
      <c r="C525" s="98"/>
      <c r="D525" s="98"/>
      <c r="E525" s="99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</row>
    <row r="526">
      <c r="A526" s="98"/>
      <c r="B526" s="69"/>
      <c r="C526" s="98"/>
      <c r="D526" s="98"/>
      <c r="E526" s="99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</row>
    <row r="527">
      <c r="A527" s="98"/>
      <c r="B527" s="69"/>
      <c r="C527" s="98"/>
      <c r="D527" s="98"/>
      <c r="E527" s="99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</row>
    <row r="528">
      <c r="A528" s="98"/>
      <c r="B528" s="69"/>
      <c r="C528" s="98"/>
      <c r="D528" s="98"/>
      <c r="E528" s="99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</row>
    <row r="529">
      <c r="A529" s="98"/>
      <c r="B529" s="69"/>
      <c r="C529" s="98"/>
      <c r="D529" s="98"/>
      <c r="E529" s="99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</row>
    <row r="530">
      <c r="A530" s="98"/>
      <c r="B530" s="69"/>
      <c r="C530" s="98"/>
      <c r="D530" s="98"/>
      <c r="E530" s="99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</row>
    <row r="531">
      <c r="A531" s="98"/>
      <c r="B531" s="69"/>
      <c r="C531" s="98"/>
      <c r="D531" s="98"/>
      <c r="E531" s="99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</row>
    <row r="532">
      <c r="A532" s="98"/>
      <c r="B532" s="69"/>
      <c r="C532" s="98"/>
      <c r="D532" s="98"/>
      <c r="E532" s="99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</row>
    <row r="533">
      <c r="A533" s="98"/>
      <c r="B533" s="69"/>
      <c r="C533" s="98"/>
      <c r="D533" s="98"/>
      <c r="E533" s="99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</row>
    <row r="534">
      <c r="A534" s="98"/>
      <c r="B534" s="69"/>
      <c r="C534" s="98"/>
      <c r="D534" s="98"/>
      <c r="E534" s="99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</row>
    <row r="535">
      <c r="A535" s="98"/>
      <c r="B535" s="69"/>
      <c r="C535" s="98"/>
      <c r="D535" s="98"/>
      <c r="E535" s="99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</row>
    <row r="536">
      <c r="A536" s="98"/>
      <c r="B536" s="69"/>
      <c r="C536" s="98"/>
      <c r="D536" s="98"/>
      <c r="E536" s="99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</row>
    <row r="537">
      <c r="A537" s="98"/>
      <c r="B537" s="69"/>
      <c r="C537" s="98"/>
      <c r="D537" s="98"/>
      <c r="E537" s="99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</row>
    <row r="538">
      <c r="A538" s="98"/>
      <c r="B538" s="69"/>
      <c r="C538" s="98"/>
      <c r="D538" s="98"/>
      <c r="E538" s="99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</row>
    <row r="539">
      <c r="A539" s="98"/>
      <c r="B539" s="69"/>
      <c r="C539" s="98"/>
      <c r="D539" s="98"/>
      <c r="E539" s="99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</row>
    <row r="540">
      <c r="A540" s="98"/>
      <c r="B540" s="69"/>
      <c r="C540" s="98"/>
      <c r="D540" s="98"/>
      <c r="E540" s="99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</row>
    <row r="541">
      <c r="A541" s="98"/>
      <c r="B541" s="69"/>
      <c r="C541" s="98"/>
      <c r="D541" s="98"/>
      <c r="E541" s="99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</row>
    <row r="542">
      <c r="A542" s="98"/>
      <c r="B542" s="69"/>
      <c r="C542" s="98"/>
      <c r="D542" s="98"/>
      <c r="E542" s="99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</row>
    <row r="543">
      <c r="A543" s="98"/>
      <c r="B543" s="69"/>
      <c r="C543" s="98"/>
      <c r="D543" s="98"/>
      <c r="E543" s="99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</row>
    <row r="544">
      <c r="A544" s="98"/>
      <c r="B544" s="69"/>
      <c r="C544" s="98"/>
      <c r="D544" s="98"/>
      <c r="E544" s="99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</row>
    <row r="545">
      <c r="A545" s="98"/>
      <c r="B545" s="69"/>
      <c r="C545" s="98"/>
      <c r="D545" s="98"/>
      <c r="E545" s="99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</row>
    <row r="546">
      <c r="A546" s="98"/>
      <c r="B546" s="69"/>
      <c r="C546" s="98"/>
      <c r="D546" s="98"/>
      <c r="E546" s="99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</row>
    <row r="547">
      <c r="A547" s="98"/>
      <c r="B547" s="69"/>
      <c r="C547" s="98"/>
      <c r="D547" s="98"/>
      <c r="E547" s="99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</row>
    <row r="548">
      <c r="A548" s="98"/>
      <c r="B548" s="69"/>
      <c r="C548" s="98"/>
      <c r="D548" s="98"/>
      <c r="E548" s="99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</row>
    <row r="549">
      <c r="A549" s="98"/>
      <c r="B549" s="69"/>
      <c r="C549" s="98"/>
      <c r="D549" s="98"/>
      <c r="E549" s="99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</row>
    <row r="550">
      <c r="A550" s="98"/>
      <c r="B550" s="69"/>
      <c r="C550" s="98"/>
      <c r="D550" s="98"/>
      <c r="E550" s="99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</row>
    <row r="551">
      <c r="A551" s="98"/>
      <c r="B551" s="69"/>
      <c r="C551" s="98"/>
      <c r="D551" s="98"/>
      <c r="E551" s="99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</row>
    <row r="552">
      <c r="A552" s="98"/>
      <c r="B552" s="69"/>
      <c r="C552" s="98"/>
      <c r="D552" s="98"/>
      <c r="E552" s="99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</row>
    <row r="553">
      <c r="A553" s="98"/>
      <c r="B553" s="69"/>
      <c r="C553" s="98"/>
      <c r="D553" s="98"/>
      <c r="E553" s="99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</row>
    <row r="554">
      <c r="A554" s="98"/>
      <c r="B554" s="69"/>
      <c r="C554" s="98"/>
      <c r="D554" s="98"/>
      <c r="E554" s="99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</row>
    <row r="555">
      <c r="A555" s="98"/>
      <c r="B555" s="69"/>
      <c r="C555" s="98"/>
      <c r="D555" s="98"/>
      <c r="E555" s="99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</row>
    <row r="556">
      <c r="A556" s="98"/>
      <c r="B556" s="69"/>
      <c r="C556" s="98"/>
      <c r="D556" s="98"/>
      <c r="E556" s="99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</row>
    <row r="557">
      <c r="A557" s="98"/>
      <c r="B557" s="69"/>
      <c r="C557" s="98"/>
      <c r="D557" s="98"/>
      <c r="E557" s="99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</row>
    <row r="558">
      <c r="A558" s="98"/>
      <c r="B558" s="69"/>
      <c r="C558" s="98"/>
      <c r="D558" s="98"/>
      <c r="E558" s="99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</row>
    <row r="559">
      <c r="A559" s="98"/>
      <c r="B559" s="69"/>
      <c r="C559" s="98"/>
      <c r="D559" s="98"/>
      <c r="E559" s="99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</row>
    <row r="560">
      <c r="A560" s="98"/>
      <c r="B560" s="69"/>
      <c r="C560" s="98"/>
      <c r="D560" s="98"/>
      <c r="E560" s="99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</row>
    <row r="561">
      <c r="A561" s="98"/>
      <c r="B561" s="69"/>
      <c r="C561" s="98"/>
      <c r="D561" s="98"/>
      <c r="E561" s="99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</row>
    <row r="562">
      <c r="A562" s="98"/>
      <c r="B562" s="69"/>
      <c r="C562" s="98"/>
      <c r="D562" s="98"/>
      <c r="E562" s="99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</row>
    <row r="563">
      <c r="A563" s="98"/>
      <c r="B563" s="69"/>
      <c r="C563" s="98"/>
      <c r="D563" s="98"/>
      <c r="E563" s="99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</row>
    <row r="564">
      <c r="A564" s="98"/>
      <c r="B564" s="69"/>
      <c r="C564" s="98"/>
      <c r="D564" s="98"/>
      <c r="E564" s="99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</row>
    <row r="565">
      <c r="A565" s="98"/>
      <c r="B565" s="69"/>
      <c r="C565" s="98"/>
      <c r="D565" s="98"/>
      <c r="E565" s="99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</row>
    <row r="566">
      <c r="A566" s="98"/>
      <c r="B566" s="69"/>
      <c r="C566" s="98"/>
      <c r="D566" s="98"/>
      <c r="E566" s="99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</row>
    <row r="567">
      <c r="A567" s="98"/>
      <c r="B567" s="69"/>
      <c r="C567" s="98"/>
      <c r="D567" s="98"/>
      <c r="E567" s="99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</row>
    <row r="568">
      <c r="A568" s="98"/>
      <c r="B568" s="69"/>
      <c r="C568" s="98"/>
      <c r="D568" s="98"/>
      <c r="E568" s="99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</row>
    <row r="569">
      <c r="A569" s="98"/>
      <c r="B569" s="69"/>
      <c r="C569" s="98"/>
      <c r="D569" s="98"/>
      <c r="E569" s="99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</row>
    <row r="570">
      <c r="A570" s="98"/>
      <c r="B570" s="69"/>
      <c r="C570" s="98"/>
      <c r="D570" s="98"/>
      <c r="E570" s="99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</row>
    <row r="571">
      <c r="A571" s="98"/>
      <c r="B571" s="69"/>
      <c r="C571" s="98"/>
      <c r="D571" s="98"/>
      <c r="E571" s="99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</row>
    <row r="572">
      <c r="A572" s="98"/>
      <c r="B572" s="69"/>
      <c r="C572" s="98"/>
      <c r="D572" s="98"/>
      <c r="E572" s="99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</row>
    <row r="573">
      <c r="A573" s="98"/>
      <c r="B573" s="69"/>
      <c r="C573" s="98"/>
      <c r="D573" s="98"/>
      <c r="E573" s="99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</row>
    <row r="574">
      <c r="A574" s="98"/>
      <c r="B574" s="69"/>
      <c r="C574" s="98"/>
      <c r="D574" s="98"/>
      <c r="E574" s="99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</row>
    <row r="575">
      <c r="A575" s="98"/>
      <c r="B575" s="69"/>
      <c r="C575" s="98"/>
      <c r="D575" s="98"/>
      <c r="E575" s="99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</row>
    <row r="576">
      <c r="A576" s="98"/>
      <c r="B576" s="69"/>
      <c r="C576" s="98"/>
      <c r="D576" s="98"/>
      <c r="E576" s="99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</row>
    <row r="577">
      <c r="A577" s="98"/>
      <c r="B577" s="69"/>
      <c r="C577" s="98"/>
      <c r="D577" s="98"/>
      <c r="E577" s="99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</row>
    <row r="578">
      <c r="A578" s="98"/>
      <c r="B578" s="69"/>
      <c r="C578" s="98"/>
      <c r="D578" s="98"/>
      <c r="E578" s="99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</row>
    <row r="579">
      <c r="A579" s="98"/>
      <c r="B579" s="69"/>
      <c r="C579" s="98"/>
      <c r="D579" s="98"/>
      <c r="E579" s="99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</row>
    <row r="580">
      <c r="A580" s="98"/>
      <c r="B580" s="69"/>
      <c r="C580" s="98"/>
      <c r="D580" s="98"/>
      <c r="E580" s="99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</row>
    <row r="581">
      <c r="A581" s="98"/>
      <c r="B581" s="69"/>
      <c r="C581" s="98"/>
      <c r="D581" s="98"/>
      <c r="E581" s="99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</row>
    <row r="582">
      <c r="A582" s="98"/>
      <c r="B582" s="69"/>
      <c r="C582" s="98"/>
      <c r="D582" s="98"/>
      <c r="E582" s="99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</row>
    <row r="583">
      <c r="A583" s="98"/>
      <c r="B583" s="69"/>
      <c r="C583" s="98"/>
      <c r="D583" s="98"/>
      <c r="E583" s="99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</row>
    <row r="584">
      <c r="A584" s="98"/>
      <c r="B584" s="69"/>
      <c r="C584" s="98"/>
      <c r="D584" s="98"/>
      <c r="E584" s="99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</row>
    <row r="585">
      <c r="A585" s="98"/>
      <c r="B585" s="69"/>
      <c r="C585" s="98"/>
      <c r="D585" s="98"/>
      <c r="E585" s="99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</row>
    <row r="586">
      <c r="A586" s="98"/>
      <c r="B586" s="69"/>
      <c r="C586" s="98"/>
      <c r="D586" s="98"/>
      <c r="E586" s="99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</row>
    <row r="587">
      <c r="A587" s="98"/>
      <c r="B587" s="69"/>
      <c r="C587" s="98"/>
      <c r="D587" s="98"/>
      <c r="E587" s="99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</row>
    <row r="588">
      <c r="A588" s="98"/>
      <c r="B588" s="69"/>
      <c r="C588" s="98"/>
      <c r="D588" s="98"/>
      <c r="E588" s="99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</row>
    <row r="589">
      <c r="A589" s="98"/>
      <c r="B589" s="69"/>
      <c r="C589" s="98"/>
      <c r="D589" s="98"/>
      <c r="E589" s="99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</row>
    <row r="590">
      <c r="A590" s="98"/>
      <c r="B590" s="69"/>
      <c r="C590" s="98"/>
      <c r="D590" s="98"/>
      <c r="E590" s="99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</row>
    <row r="591">
      <c r="A591" s="98"/>
      <c r="B591" s="69"/>
      <c r="C591" s="98"/>
      <c r="D591" s="98"/>
      <c r="E591" s="99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</row>
    <row r="592">
      <c r="A592" s="98"/>
      <c r="B592" s="69"/>
      <c r="C592" s="98"/>
      <c r="D592" s="98"/>
      <c r="E592" s="99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</row>
    <row r="593">
      <c r="A593" s="98"/>
      <c r="B593" s="69"/>
      <c r="C593" s="98"/>
      <c r="D593" s="98"/>
      <c r="E593" s="99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</row>
    <row r="594">
      <c r="A594" s="98"/>
      <c r="B594" s="69"/>
      <c r="C594" s="98"/>
      <c r="D594" s="98"/>
      <c r="E594" s="99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</row>
    <row r="595">
      <c r="A595" s="98"/>
      <c r="B595" s="69"/>
      <c r="C595" s="98"/>
      <c r="D595" s="98"/>
      <c r="E595" s="99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</row>
    <row r="596">
      <c r="A596" s="98"/>
      <c r="B596" s="69"/>
      <c r="C596" s="98"/>
      <c r="D596" s="98"/>
      <c r="E596" s="99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</row>
    <row r="597">
      <c r="A597" s="98"/>
      <c r="B597" s="69"/>
      <c r="C597" s="98"/>
      <c r="D597" s="98"/>
      <c r="E597" s="99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</row>
    <row r="598">
      <c r="A598" s="98"/>
      <c r="B598" s="69"/>
      <c r="C598" s="98"/>
      <c r="D598" s="98"/>
      <c r="E598" s="99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</row>
    <row r="599">
      <c r="A599" s="98"/>
      <c r="B599" s="69"/>
      <c r="C599" s="98"/>
      <c r="D599" s="98"/>
      <c r="E599" s="99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</row>
    <row r="600">
      <c r="A600" s="98"/>
      <c r="B600" s="69"/>
      <c r="C600" s="98"/>
      <c r="D600" s="98"/>
      <c r="E600" s="99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</row>
    <row r="601">
      <c r="A601" s="98"/>
      <c r="B601" s="69"/>
      <c r="C601" s="98"/>
      <c r="D601" s="98"/>
      <c r="E601" s="99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</row>
    <row r="602">
      <c r="A602" s="98"/>
      <c r="B602" s="69"/>
      <c r="C602" s="98"/>
      <c r="D602" s="98"/>
      <c r="E602" s="99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</row>
    <row r="603">
      <c r="A603" s="98"/>
      <c r="B603" s="69"/>
      <c r="C603" s="98"/>
      <c r="D603" s="98"/>
      <c r="E603" s="99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</row>
    <row r="604">
      <c r="A604" s="98"/>
      <c r="B604" s="69"/>
      <c r="C604" s="98"/>
      <c r="D604" s="98"/>
      <c r="E604" s="99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</row>
    <row r="605">
      <c r="A605" s="98"/>
      <c r="B605" s="69"/>
      <c r="C605" s="98"/>
      <c r="D605" s="98"/>
      <c r="E605" s="99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</row>
    <row r="606">
      <c r="A606" s="98"/>
      <c r="B606" s="69"/>
      <c r="C606" s="98"/>
      <c r="D606" s="98"/>
      <c r="E606" s="99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</row>
    <row r="607">
      <c r="A607" s="98"/>
      <c r="B607" s="69"/>
      <c r="C607" s="98"/>
      <c r="D607" s="98"/>
      <c r="E607" s="99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</row>
    <row r="608">
      <c r="A608" s="98"/>
      <c r="B608" s="69"/>
      <c r="C608" s="98"/>
      <c r="D608" s="98"/>
      <c r="E608" s="99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</row>
    <row r="609">
      <c r="A609" s="98"/>
      <c r="B609" s="69"/>
      <c r="C609" s="98"/>
      <c r="D609" s="98"/>
      <c r="E609" s="99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</row>
    <row r="610">
      <c r="A610" s="98"/>
      <c r="B610" s="69"/>
      <c r="C610" s="98"/>
      <c r="D610" s="98"/>
      <c r="E610" s="99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</row>
    <row r="611">
      <c r="A611" s="98"/>
      <c r="B611" s="69"/>
      <c r="C611" s="98"/>
      <c r="D611" s="98"/>
      <c r="E611" s="99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</row>
    <row r="612">
      <c r="A612" s="98"/>
      <c r="B612" s="69"/>
      <c r="C612" s="98"/>
      <c r="D612" s="98"/>
      <c r="E612" s="99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</row>
    <row r="613">
      <c r="A613" s="98"/>
      <c r="B613" s="69"/>
      <c r="C613" s="98"/>
      <c r="D613" s="98"/>
      <c r="E613" s="99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</row>
    <row r="614">
      <c r="A614" s="98"/>
      <c r="B614" s="69"/>
      <c r="C614" s="98"/>
      <c r="D614" s="98"/>
      <c r="E614" s="99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</row>
    <row r="615">
      <c r="A615" s="98"/>
      <c r="B615" s="69"/>
      <c r="C615" s="98"/>
      <c r="D615" s="98"/>
      <c r="E615" s="99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</row>
    <row r="616">
      <c r="A616" s="98"/>
      <c r="B616" s="69"/>
      <c r="C616" s="98"/>
      <c r="D616" s="98"/>
      <c r="E616" s="99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</row>
    <row r="617">
      <c r="A617" s="98"/>
      <c r="B617" s="69"/>
      <c r="C617" s="98"/>
      <c r="D617" s="98"/>
      <c r="E617" s="99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</row>
    <row r="618">
      <c r="A618" s="98"/>
      <c r="B618" s="69"/>
      <c r="C618" s="98"/>
      <c r="D618" s="98"/>
      <c r="E618" s="99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</row>
    <row r="619">
      <c r="A619" s="98"/>
      <c r="B619" s="69"/>
      <c r="C619" s="98"/>
      <c r="D619" s="98"/>
      <c r="E619" s="99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</row>
    <row r="620">
      <c r="A620" s="98"/>
      <c r="B620" s="69"/>
      <c r="C620" s="98"/>
      <c r="D620" s="98"/>
      <c r="E620" s="99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</row>
    <row r="621">
      <c r="A621" s="98"/>
      <c r="B621" s="69"/>
      <c r="C621" s="98"/>
      <c r="D621" s="98"/>
      <c r="E621" s="99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</row>
    <row r="622">
      <c r="A622" s="98"/>
      <c r="B622" s="69"/>
      <c r="C622" s="98"/>
      <c r="D622" s="98"/>
      <c r="E622" s="99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</row>
    <row r="623">
      <c r="A623" s="98"/>
      <c r="B623" s="69"/>
      <c r="C623" s="98"/>
      <c r="D623" s="98"/>
      <c r="E623" s="99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</row>
    <row r="624">
      <c r="A624" s="98"/>
      <c r="B624" s="69"/>
      <c r="C624" s="98"/>
      <c r="D624" s="98"/>
      <c r="E624" s="99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</row>
    <row r="625">
      <c r="A625" s="98"/>
      <c r="B625" s="69"/>
      <c r="C625" s="98"/>
      <c r="D625" s="98"/>
      <c r="E625" s="99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</row>
    <row r="626">
      <c r="A626" s="98"/>
      <c r="B626" s="69"/>
      <c r="C626" s="98"/>
      <c r="D626" s="98"/>
      <c r="E626" s="99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</row>
    <row r="627">
      <c r="A627" s="98"/>
      <c r="B627" s="69"/>
      <c r="C627" s="98"/>
      <c r="D627" s="98"/>
      <c r="E627" s="99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</row>
    <row r="628">
      <c r="A628" s="98"/>
      <c r="B628" s="69"/>
      <c r="C628" s="98"/>
      <c r="D628" s="98"/>
      <c r="E628" s="99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</row>
    <row r="629">
      <c r="A629" s="98"/>
      <c r="B629" s="69"/>
      <c r="C629" s="98"/>
      <c r="D629" s="98"/>
      <c r="E629" s="99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</row>
    <row r="630">
      <c r="A630" s="98"/>
      <c r="B630" s="69"/>
      <c r="C630" s="98"/>
      <c r="D630" s="98"/>
      <c r="E630" s="99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</row>
    <row r="631">
      <c r="A631" s="98"/>
      <c r="B631" s="69"/>
      <c r="C631" s="98"/>
      <c r="D631" s="98"/>
      <c r="E631" s="99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</row>
    <row r="632">
      <c r="A632" s="98"/>
      <c r="B632" s="69"/>
      <c r="C632" s="98"/>
      <c r="D632" s="98"/>
      <c r="E632" s="99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</row>
    <row r="633">
      <c r="A633" s="98"/>
      <c r="B633" s="69"/>
      <c r="C633" s="98"/>
      <c r="D633" s="98"/>
      <c r="E633" s="99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</row>
    <row r="634">
      <c r="A634" s="98"/>
      <c r="B634" s="69"/>
      <c r="C634" s="98"/>
      <c r="D634" s="98"/>
      <c r="E634" s="99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</row>
    <row r="635">
      <c r="A635" s="98"/>
      <c r="B635" s="69"/>
      <c r="C635" s="98"/>
      <c r="D635" s="98"/>
      <c r="E635" s="99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</row>
    <row r="636">
      <c r="A636" s="98"/>
      <c r="B636" s="69"/>
      <c r="C636" s="98"/>
      <c r="D636" s="98"/>
      <c r="E636" s="99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</row>
    <row r="637">
      <c r="A637" s="98"/>
      <c r="B637" s="69"/>
      <c r="C637" s="98"/>
      <c r="D637" s="98"/>
      <c r="E637" s="99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</row>
    <row r="638">
      <c r="A638" s="98"/>
      <c r="B638" s="69"/>
      <c r="C638" s="98"/>
      <c r="D638" s="98"/>
      <c r="E638" s="99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</row>
    <row r="639">
      <c r="A639" s="98"/>
      <c r="B639" s="69"/>
      <c r="C639" s="98"/>
      <c r="D639" s="98"/>
      <c r="E639" s="99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</row>
    <row r="640">
      <c r="A640" s="98"/>
      <c r="B640" s="69"/>
      <c r="C640" s="98"/>
      <c r="D640" s="98"/>
      <c r="E640" s="99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</row>
    <row r="641">
      <c r="A641" s="98"/>
      <c r="B641" s="69"/>
      <c r="C641" s="98"/>
      <c r="D641" s="98"/>
      <c r="E641" s="99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</row>
    <row r="642">
      <c r="A642" s="98"/>
      <c r="B642" s="69"/>
      <c r="C642" s="98"/>
      <c r="D642" s="98"/>
      <c r="E642" s="99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</row>
    <row r="643">
      <c r="A643" s="98"/>
      <c r="B643" s="69"/>
      <c r="C643" s="98"/>
      <c r="D643" s="98"/>
      <c r="E643" s="99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</row>
    <row r="644">
      <c r="A644" s="98"/>
      <c r="B644" s="69"/>
      <c r="C644" s="98"/>
      <c r="D644" s="98"/>
      <c r="E644" s="99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</row>
    <row r="645">
      <c r="A645" s="98"/>
      <c r="B645" s="69"/>
      <c r="C645" s="98"/>
      <c r="D645" s="98"/>
      <c r="E645" s="99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</row>
    <row r="646">
      <c r="A646" s="98"/>
      <c r="B646" s="69"/>
      <c r="C646" s="98"/>
      <c r="D646" s="98"/>
      <c r="E646" s="99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</row>
    <row r="647">
      <c r="A647" s="98"/>
      <c r="B647" s="69"/>
      <c r="C647" s="98"/>
      <c r="D647" s="98"/>
      <c r="E647" s="99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</row>
    <row r="648">
      <c r="A648" s="98"/>
      <c r="B648" s="69"/>
      <c r="C648" s="98"/>
      <c r="D648" s="98"/>
      <c r="E648" s="99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</row>
    <row r="649">
      <c r="A649" s="98"/>
      <c r="B649" s="69"/>
      <c r="C649" s="98"/>
      <c r="D649" s="98"/>
      <c r="E649" s="99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</row>
    <row r="650">
      <c r="A650" s="98"/>
      <c r="B650" s="69"/>
      <c r="C650" s="98"/>
      <c r="D650" s="98"/>
      <c r="E650" s="99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</row>
    <row r="651">
      <c r="A651" s="98"/>
      <c r="B651" s="69"/>
      <c r="C651" s="98"/>
      <c r="D651" s="98"/>
      <c r="E651" s="99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</row>
    <row r="652">
      <c r="A652" s="98"/>
      <c r="B652" s="69"/>
      <c r="C652" s="98"/>
      <c r="D652" s="98"/>
      <c r="E652" s="99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</row>
    <row r="653">
      <c r="A653" s="98"/>
      <c r="B653" s="69"/>
      <c r="C653" s="98"/>
      <c r="D653" s="98"/>
      <c r="E653" s="99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</row>
    <row r="654">
      <c r="A654" s="98"/>
      <c r="B654" s="69"/>
      <c r="C654" s="98"/>
      <c r="D654" s="98"/>
      <c r="E654" s="99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</row>
    <row r="655">
      <c r="A655" s="98"/>
      <c r="B655" s="69"/>
      <c r="C655" s="98"/>
      <c r="D655" s="98"/>
      <c r="E655" s="99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</row>
    <row r="656">
      <c r="A656" s="98"/>
      <c r="B656" s="69"/>
      <c r="C656" s="98"/>
      <c r="D656" s="98"/>
      <c r="E656" s="99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</row>
    <row r="657">
      <c r="A657" s="98"/>
      <c r="B657" s="69"/>
      <c r="C657" s="98"/>
      <c r="D657" s="98"/>
      <c r="E657" s="99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</row>
    <row r="658">
      <c r="A658" s="98"/>
      <c r="B658" s="69"/>
      <c r="C658" s="98"/>
      <c r="D658" s="98"/>
      <c r="E658" s="99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</row>
    <row r="659">
      <c r="A659" s="98"/>
      <c r="B659" s="69"/>
      <c r="C659" s="98"/>
      <c r="D659" s="98"/>
      <c r="E659" s="99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</row>
    <row r="660">
      <c r="A660" s="98"/>
      <c r="B660" s="69"/>
      <c r="C660" s="98"/>
      <c r="D660" s="98"/>
      <c r="E660" s="99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</row>
    <row r="661">
      <c r="A661" s="98"/>
      <c r="B661" s="69"/>
      <c r="C661" s="98"/>
      <c r="D661" s="98"/>
      <c r="E661" s="99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</row>
    <row r="662">
      <c r="A662" s="98"/>
      <c r="B662" s="69"/>
      <c r="C662" s="98"/>
      <c r="D662" s="98"/>
      <c r="E662" s="99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</row>
    <row r="663">
      <c r="A663" s="98"/>
      <c r="B663" s="69"/>
      <c r="C663" s="98"/>
      <c r="D663" s="98"/>
      <c r="E663" s="99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</row>
    <row r="664">
      <c r="A664" s="98"/>
      <c r="B664" s="69"/>
      <c r="C664" s="98"/>
      <c r="D664" s="98"/>
      <c r="E664" s="99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</row>
    <row r="665">
      <c r="A665" s="98"/>
      <c r="B665" s="69"/>
      <c r="C665" s="98"/>
      <c r="D665" s="98"/>
      <c r="E665" s="99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</row>
    <row r="666">
      <c r="A666" s="98"/>
      <c r="B666" s="69"/>
      <c r="C666" s="98"/>
      <c r="D666" s="98"/>
      <c r="E666" s="99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</row>
    <row r="667">
      <c r="A667" s="98"/>
      <c r="B667" s="69"/>
      <c r="C667" s="98"/>
      <c r="D667" s="98"/>
      <c r="E667" s="99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</row>
    <row r="668">
      <c r="A668" s="98"/>
      <c r="B668" s="69"/>
      <c r="C668" s="98"/>
      <c r="D668" s="98"/>
      <c r="E668" s="99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</row>
    <row r="669">
      <c r="A669" s="98"/>
      <c r="B669" s="69"/>
      <c r="C669" s="98"/>
      <c r="D669" s="98"/>
      <c r="E669" s="99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</row>
    <row r="670">
      <c r="A670" s="98"/>
      <c r="B670" s="69"/>
      <c r="C670" s="98"/>
      <c r="D670" s="98"/>
      <c r="E670" s="99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</row>
    <row r="671">
      <c r="A671" s="98"/>
      <c r="B671" s="69"/>
      <c r="C671" s="98"/>
      <c r="D671" s="98"/>
      <c r="E671" s="99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</row>
    <row r="672">
      <c r="A672" s="98"/>
      <c r="B672" s="69"/>
      <c r="C672" s="98"/>
      <c r="D672" s="98"/>
      <c r="E672" s="99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</row>
    <row r="673">
      <c r="A673" s="98"/>
      <c r="B673" s="69"/>
      <c r="C673" s="98"/>
      <c r="D673" s="98"/>
      <c r="E673" s="99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</row>
    <row r="674">
      <c r="A674" s="98"/>
      <c r="B674" s="69"/>
      <c r="C674" s="98"/>
      <c r="D674" s="98"/>
      <c r="E674" s="99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</row>
    <row r="675">
      <c r="A675" s="98"/>
      <c r="B675" s="69"/>
      <c r="C675" s="98"/>
      <c r="D675" s="98"/>
      <c r="E675" s="99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</row>
    <row r="676">
      <c r="A676" s="98"/>
      <c r="B676" s="69"/>
      <c r="C676" s="98"/>
      <c r="D676" s="98"/>
      <c r="E676" s="99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</row>
    <row r="677">
      <c r="A677" s="98"/>
      <c r="B677" s="69"/>
      <c r="C677" s="98"/>
      <c r="D677" s="98"/>
      <c r="E677" s="99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</row>
    <row r="678">
      <c r="A678" s="98"/>
      <c r="B678" s="69"/>
      <c r="C678" s="98"/>
      <c r="D678" s="98"/>
      <c r="E678" s="99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</row>
    <row r="679">
      <c r="A679" s="98"/>
      <c r="B679" s="69"/>
      <c r="C679" s="98"/>
      <c r="D679" s="98"/>
      <c r="E679" s="99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</row>
    <row r="680">
      <c r="A680" s="98"/>
      <c r="B680" s="69"/>
      <c r="C680" s="98"/>
      <c r="D680" s="98"/>
      <c r="E680" s="99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</row>
    <row r="681">
      <c r="A681" s="98"/>
      <c r="B681" s="69"/>
      <c r="C681" s="98"/>
      <c r="D681" s="98"/>
      <c r="E681" s="99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</row>
    <row r="682">
      <c r="A682" s="98"/>
      <c r="B682" s="69"/>
      <c r="C682" s="98"/>
      <c r="D682" s="98"/>
      <c r="E682" s="99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</row>
    <row r="683">
      <c r="A683" s="98"/>
      <c r="B683" s="69"/>
      <c r="C683" s="98"/>
      <c r="D683" s="98"/>
      <c r="E683" s="99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</row>
    <row r="684">
      <c r="A684" s="98"/>
      <c r="B684" s="69"/>
      <c r="C684" s="98"/>
      <c r="D684" s="98"/>
      <c r="E684" s="99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</row>
    <row r="685">
      <c r="A685" s="98"/>
      <c r="B685" s="69"/>
      <c r="C685" s="98"/>
      <c r="D685" s="98"/>
      <c r="E685" s="99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</row>
    <row r="686">
      <c r="A686" s="98"/>
      <c r="B686" s="69"/>
      <c r="C686" s="98"/>
      <c r="D686" s="98"/>
      <c r="E686" s="99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</row>
    <row r="687">
      <c r="A687" s="98"/>
      <c r="B687" s="69"/>
      <c r="C687" s="98"/>
      <c r="D687" s="98"/>
      <c r="E687" s="99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</row>
    <row r="688">
      <c r="A688" s="98"/>
      <c r="B688" s="69"/>
      <c r="C688" s="98"/>
      <c r="D688" s="98"/>
      <c r="E688" s="99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</row>
    <row r="689">
      <c r="A689" s="98"/>
      <c r="B689" s="69"/>
      <c r="C689" s="98"/>
      <c r="D689" s="98"/>
      <c r="E689" s="99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</row>
    <row r="690">
      <c r="A690" s="98"/>
      <c r="B690" s="69"/>
      <c r="C690" s="98"/>
      <c r="D690" s="98"/>
      <c r="E690" s="99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</row>
    <row r="691">
      <c r="A691" s="98"/>
      <c r="B691" s="69"/>
      <c r="C691" s="98"/>
      <c r="D691" s="98"/>
      <c r="E691" s="99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</row>
    <row r="692">
      <c r="A692" s="98"/>
      <c r="B692" s="69"/>
      <c r="C692" s="98"/>
      <c r="D692" s="98"/>
      <c r="E692" s="99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</row>
    <row r="693">
      <c r="A693" s="98"/>
      <c r="B693" s="69"/>
      <c r="C693" s="98"/>
      <c r="D693" s="98"/>
      <c r="E693" s="99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</row>
    <row r="694">
      <c r="A694" s="98"/>
      <c r="B694" s="69"/>
      <c r="C694" s="98"/>
      <c r="D694" s="98"/>
      <c r="E694" s="99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</row>
    <row r="695">
      <c r="A695" s="98"/>
      <c r="B695" s="69"/>
      <c r="C695" s="98"/>
      <c r="D695" s="98"/>
      <c r="E695" s="99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</row>
    <row r="696">
      <c r="A696" s="98"/>
      <c r="B696" s="69"/>
      <c r="C696" s="98"/>
      <c r="D696" s="98"/>
      <c r="E696" s="99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</row>
    <row r="697">
      <c r="A697" s="98"/>
      <c r="B697" s="69"/>
      <c r="C697" s="98"/>
      <c r="D697" s="98"/>
      <c r="E697" s="99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</row>
    <row r="698">
      <c r="A698" s="98"/>
      <c r="B698" s="69"/>
      <c r="C698" s="98"/>
      <c r="D698" s="98"/>
      <c r="E698" s="99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</row>
    <row r="699">
      <c r="A699" s="98"/>
      <c r="B699" s="69"/>
      <c r="C699" s="98"/>
      <c r="D699" s="98"/>
      <c r="E699" s="99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</row>
    <row r="700">
      <c r="A700" s="98"/>
      <c r="B700" s="69"/>
      <c r="C700" s="98"/>
      <c r="D700" s="98"/>
      <c r="E700" s="99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</row>
    <row r="701">
      <c r="A701" s="98"/>
      <c r="B701" s="69"/>
      <c r="C701" s="98"/>
      <c r="D701" s="98"/>
      <c r="E701" s="99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</row>
    <row r="702">
      <c r="A702" s="98"/>
      <c r="B702" s="69"/>
      <c r="C702" s="98"/>
      <c r="D702" s="98"/>
      <c r="E702" s="99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</row>
    <row r="703">
      <c r="A703" s="98"/>
      <c r="B703" s="69"/>
      <c r="C703" s="98"/>
      <c r="D703" s="98"/>
      <c r="E703" s="99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</row>
    <row r="704">
      <c r="A704" s="98"/>
      <c r="B704" s="69"/>
      <c r="C704" s="98"/>
      <c r="D704" s="98"/>
      <c r="E704" s="99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</row>
    <row r="705">
      <c r="A705" s="98"/>
      <c r="B705" s="69"/>
      <c r="C705" s="98"/>
      <c r="D705" s="98"/>
      <c r="E705" s="99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</row>
    <row r="706">
      <c r="A706" s="98"/>
      <c r="B706" s="69"/>
      <c r="C706" s="98"/>
      <c r="D706" s="98"/>
      <c r="E706" s="99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</row>
    <row r="707">
      <c r="A707" s="98"/>
      <c r="B707" s="69"/>
      <c r="C707" s="98"/>
      <c r="D707" s="98"/>
      <c r="E707" s="99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</row>
    <row r="708">
      <c r="A708" s="98"/>
      <c r="B708" s="69"/>
      <c r="C708" s="98"/>
      <c r="D708" s="98"/>
      <c r="E708" s="99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</row>
    <row r="709">
      <c r="A709" s="98"/>
      <c r="B709" s="69"/>
      <c r="C709" s="98"/>
      <c r="D709" s="98"/>
      <c r="E709" s="99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</row>
    <row r="710">
      <c r="A710" s="98"/>
      <c r="B710" s="69"/>
      <c r="C710" s="98"/>
      <c r="D710" s="98"/>
      <c r="E710" s="99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</row>
    <row r="711">
      <c r="A711" s="98"/>
      <c r="B711" s="69"/>
      <c r="C711" s="98"/>
      <c r="D711" s="98"/>
      <c r="E711" s="99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</row>
    <row r="712">
      <c r="A712" s="98"/>
      <c r="B712" s="69"/>
      <c r="C712" s="98"/>
      <c r="D712" s="98"/>
      <c r="E712" s="99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</row>
    <row r="713">
      <c r="A713" s="98"/>
      <c r="B713" s="69"/>
      <c r="C713" s="98"/>
      <c r="D713" s="98"/>
      <c r="E713" s="99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</row>
    <row r="714">
      <c r="A714" s="98"/>
      <c r="B714" s="69"/>
      <c r="C714" s="98"/>
      <c r="D714" s="98"/>
      <c r="E714" s="99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</row>
    <row r="715">
      <c r="A715" s="98"/>
      <c r="B715" s="69"/>
      <c r="C715" s="98"/>
      <c r="D715" s="98"/>
      <c r="E715" s="99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</row>
    <row r="716">
      <c r="A716" s="98"/>
      <c r="B716" s="69"/>
      <c r="C716" s="98"/>
      <c r="D716" s="98"/>
      <c r="E716" s="99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</row>
    <row r="717">
      <c r="A717" s="98"/>
      <c r="B717" s="69"/>
      <c r="C717" s="98"/>
      <c r="D717" s="98"/>
      <c r="E717" s="99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</row>
    <row r="718">
      <c r="A718" s="98"/>
      <c r="B718" s="69"/>
      <c r="C718" s="98"/>
      <c r="D718" s="98"/>
      <c r="E718" s="99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</row>
    <row r="719">
      <c r="A719" s="98"/>
      <c r="B719" s="69"/>
      <c r="C719" s="98"/>
      <c r="D719" s="98"/>
      <c r="E719" s="99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</row>
    <row r="720">
      <c r="A720" s="98"/>
      <c r="B720" s="69"/>
      <c r="C720" s="98"/>
      <c r="D720" s="98"/>
      <c r="E720" s="99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</row>
    <row r="721">
      <c r="A721" s="98"/>
      <c r="B721" s="69"/>
      <c r="C721" s="98"/>
      <c r="D721" s="98"/>
      <c r="E721" s="99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</row>
    <row r="722">
      <c r="A722" s="98"/>
      <c r="B722" s="69"/>
      <c r="C722" s="98"/>
      <c r="D722" s="98"/>
      <c r="E722" s="99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</row>
    <row r="723">
      <c r="A723" s="98"/>
      <c r="B723" s="69"/>
      <c r="C723" s="98"/>
      <c r="D723" s="98"/>
      <c r="E723" s="99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</row>
    <row r="724">
      <c r="A724" s="98"/>
      <c r="B724" s="69"/>
      <c r="C724" s="98"/>
      <c r="D724" s="98"/>
      <c r="E724" s="99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</row>
    <row r="725">
      <c r="A725" s="98"/>
      <c r="B725" s="69"/>
      <c r="C725" s="98"/>
      <c r="D725" s="98"/>
      <c r="E725" s="99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</row>
    <row r="726">
      <c r="A726" s="98"/>
      <c r="B726" s="69"/>
      <c r="C726" s="98"/>
      <c r="D726" s="98"/>
      <c r="E726" s="99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</row>
    <row r="727">
      <c r="A727" s="98"/>
      <c r="B727" s="69"/>
      <c r="C727" s="98"/>
      <c r="D727" s="98"/>
      <c r="E727" s="99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</row>
    <row r="728">
      <c r="A728" s="98"/>
      <c r="B728" s="69"/>
      <c r="C728" s="98"/>
      <c r="D728" s="98"/>
      <c r="E728" s="99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</row>
    <row r="729">
      <c r="A729" s="98"/>
      <c r="B729" s="69"/>
      <c r="C729" s="98"/>
      <c r="D729" s="98"/>
      <c r="E729" s="99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</row>
    <row r="730">
      <c r="A730" s="98"/>
      <c r="B730" s="69"/>
      <c r="C730" s="98"/>
      <c r="D730" s="98"/>
      <c r="E730" s="99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</row>
    <row r="731">
      <c r="A731" s="98"/>
      <c r="B731" s="69"/>
      <c r="C731" s="98"/>
      <c r="D731" s="98"/>
      <c r="E731" s="99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</row>
    <row r="732">
      <c r="A732" s="98"/>
      <c r="B732" s="69"/>
      <c r="C732" s="98"/>
      <c r="D732" s="98"/>
      <c r="E732" s="99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</row>
    <row r="733">
      <c r="A733" s="98"/>
      <c r="B733" s="69"/>
      <c r="C733" s="98"/>
      <c r="D733" s="98"/>
      <c r="E733" s="99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</row>
    <row r="734">
      <c r="A734" s="98"/>
      <c r="B734" s="69"/>
      <c r="C734" s="98"/>
      <c r="D734" s="98"/>
      <c r="E734" s="99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</row>
    <row r="735">
      <c r="A735" s="98"/>
      <c r="B735" s="69"/>
      <c r="C735" s="98"/>
      <c r="D735" s="98"/>
      <c r="E735" s="99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</row>
    <row r="736">
      <c r="A736" s="98"/>
      <c r="B736" s="69"/>
      <c r="C736" s="98"/>
      <c r="D736" s="98"/>
      <c r="E736" s="99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</row>
    <row r="737">
      <c r="A737" s="98"/>
      <c r="B737" s="69"/>
      <c r="C737" s="98"/>
      <c r="D737" s="98"/>
      <c r="E737" s="99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</row>
    <row r="738">
      <c r="A738" s="98"/>
      <c r="B738" s="69"/>
      <c r="C738" s="98"/>
      <c r="D738" s="98"/>
      <c r="E738" s="99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</row>
    <row r="739">
      <c r="A739" s="98"/>
      <c r="B739" s="69"/>
      <c r="C739" s="98"/>
      <c r="D739" s="98"/>
      <c r="E739" s="99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</row>
    <row r="740">
      <c r="A740" s="98"/>
      <c r="B740" s="69"/>
      <c r="C740" s="98"/>
      <c r="D740" s="98"/>
      <c r="E740" s="99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</row>
    <row r="741">
      <c r="A741" s="98"/>
      <c r="B741" s="69"/>
      <c r="C741" s="98"/>
      <c r="D741" s="98"/>
      <c r="E741" s="99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</row>
    <row r="742">
      <c r="A742" s="98"/>
      <c r="B742" s="69"/>
      <c r="C742" s="98"/>
      <c r="D742" s="98"/>
      <c r="E742" s="99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</row>
    <row r="743">
      <c r="A743" s="98"/>
      <c r="B743" s="69"/>
      <c r="C743" s="98"/>
      <c r="D743" s="98"/>
      <c r="E743" s="99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</row>
    <row r="744">
      <c r="A744" s="98"/>
      <c r="B744" s="69"/>
      <c r="C744" s="98"/>
      <c r="D744" s="98"/>
      <c r="E744" s="99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</row>
    <row r="745">
      <c r="A745" s="98"/>
      <c r="B745" s="69"/>
      <c r="C745" s="98"/>
      <c r="D745" s="98"/>
      <c r="E745" s="99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</row>
    <row r="746">
      <c r="A746" s="98"/>
      <c r="B746" s="69"/>
      <c r="C746" s="98"/>
      <c r="D746" s="98"/>
      <c r="E746" s="99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</row>
    <row r="747">
      <c r="A747" s="98"/>
      <c r="B747" s="69"/>
      <c r="C747" s="98"/>
      <c r="D747" s="98"/>
      <c r="E747" s="99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</row>
    <row r="748">
      <c r="A748" s="98"/>
      <c r="B748" s="69"/>
      <c r="C748" s="98"/>
      <c r="D748" s="98"/>
      <c r="E748" s="99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</row>
    <row r="749">
      <c r="A749" s="98"/>
      <c r="B749" s="69"/>
      <c r="C749" s="98"/>
      <c r="D749" s="98"/>
      <c r="E749" s="99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</row>
    <row r="750">
      <c r="A750" s="98"/>
      <c r="B750" s="69"/>
      <c r="C750" s="98"/>
      <c r="D750" s="98"/>
      <c r="E750" s="99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</row>
    <row r="751">
      <c r="A751" s="98"/>
      <c r="B751" s="69"/>
      <c r="C751" s="98"/>
      <c r="D751" s="98"/>
      <c r="E751" s="99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</row>
    <row r="752">
      <c r="A752" s="98"/>
      <c r="B752" s="69"/>
      <c r="C752" s="98"/>
      <c r="D752" s="98"/>
      <c r="E752" s="99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</row>
    <row r="753">
      <c r="A753" s="98"/>
      <c r="B753" s="69"/>
      <c r="C753" s="98"/>
      <c r="D753" s="98"/>
      <c r="E753" s="99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</row>
    <row r="754">
      <c r="A754" s="98"/>
      <c r="B754" s="69"/>
      <c r="C754" s="98"/>
      <c r="D754" s="98"/>
      <c r="E754" s="99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</row>
    <row r="755">
      <c r="A755" s="98"/>
      <c r="B755" s="69"/>
      <c r="C755" s="98"/>
      <c r="D755" s="98"/>
      <c r="E755" s="99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</row>
    <row r="756">
      <c r="A756" s="98"/>
      <c r="B756" s="69"/>
      <c r="C756" s="98"/>
      <c r="D756" s="98"/>
      <c r="E756" s="99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</row>
    <row r="757">
      <c r="A757" s="98"/>
      <c r="B757" s="69"/>
      <c r="C757" s="98"/>
      <c r="D757" s="98"/>
      <c r="E757" s="99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</row>
    <row r="758">
      <c r="A758" s="98"/>
      <c r="B758" s="69"/>
      <c r="C758" s="98"/>
      <c r="D758" s="98"/>
      <c r="E758" s="99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</row>
    <row r="759">
      <c r="A759" s="98"/>
      <c r="B759" s="69"/>
      <c r="C759" s="98"/>
      <c r="D759" s="98"/>
      <c r="E759" s="99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</row>
    <row r="760">
      <c r="A760" s="98"/>
      <c r="B760" s="69"/>
      <c r="C760" s="98"/>
      <c r="D760" s="98"/>
      <c r="E760" s="99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</row>
    <row r="761">
      <c r="A761" s="98"/>
      <c r="B761" s="69"/>
      <c r="C761" s="98"/>
      <c r="D761" s="98"/>
      <c r="E761" s="99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</row>
    <row r="762">
      <c r="A762" s="98"/>
      <c r="B762" s="69"/>
      <c r="C762" s="98"/>
      <c r="D762" s="98"/>
      <c r="E762" s="99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</row>
    <row r="763">
      <c r="A763" s="98"/>
      <c r="B763" s="69"/>
      <c r="C763" s="98"/>
      <c r="D763" s="98"/>
      <c r="E763" s="99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</row>
    <row r="764">
      <c r="A764" s="98"/>
      <c r="B764" s="69"/>
      <c r="C764" s="98"/>
      <c r="D764" s="98"/>
      <c r="E764" s="99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</row>
    <row r="765">
      <c r="A765" s="98"/>
      <c r="B765" s="69"/>
      <c r="C765" s="98"/>
      <c r="D765" s="98"/>
      <c r="E765" s="99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</row>
    <row r="766">
      <c r="A766" s="98"/>
      <c r="B766" s="69"/>
      <c r="C766" s="98"/>
      <c r="D766" s="98"/>
      <c r="E766" s="99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</row>
    <row r="767">
      <c r="A767" s="98"/>
      <c r="B767" s="69"/>
      <c r="C767" s="98"/>
      <c r="D767" s="98"/>
      <c r="E767" s="99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</row>
    <row r="768">
      <c r="A768" s="98"/>
      <c r="B768" s="69"/>
      <c r="C768" s="98"/>
      <c r="D768" s="98"/>
      <c r="E768" s="99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</row>
    <row r="769">
      <c r="A769" s="98"/>
      <c r="B769" s="69"/>
      <c r="C769" s="98"/>
      <c r="D769" s="98"/>
      <c r="E769" s="99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</row>
    <row r="770">
      <c r="A770" s="98"/>
      <c r="B770" s="69"/>
      <c r="C770" s="98"/>
      <c r="D770" s="98"/>
      <c r="E770" s="99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</row>
    <row r="771">
      <c r="A771" s="98"/>
      <c r="B771" s="69"/>
      <c r="C771" s="98"/>
      <c r="D771" s="98"/>
      <c r="E771" s="99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</row>
    <row r="772">
      <c r="A772" s="98"/>
      <c r="B772" s="69"/>
      <c r="C772" s="98"/>
      <c r="D772" s="98"/>
      <c r="E772" s="99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</row>
    <row r="773">
      <c r="A773" s="98"/>
      <c r="B773" s="69"/>
      <c r="C773" s="98"/>
      <c r="D773" s="98"/>
      <c r="E773" s="99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</row>
    <row r="774">
      <c r="A774" s="98"/>
      <c r="B774" s="69"/>
      <c r="C774" s="98"/>
      <c r="D774" s="98"/>
      <c r="E774" s="99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</row>
    <row r="775">
      <c r="A775" s="98"/>
      <c r="B775" s="69"/>
      <c r="C775" s="98"/>
      <c r="D775" s="98"/>
      <c r="E775" s="99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</row>
    <row r="776">
      <c r="A776" s="98"/>
      <c r="B776" s="69"/>
      <c r="C776" s="98"/>
      <c r="D776" s="98"/>
      <c r="E776" s="99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</row>
    <row r="777">
      <c r="A777" s="98"/>
      <c r="B777" s="69"/>
      <c r="C777" s="98"/>
      <c r="D777" s="98"/>
      <c r="E777" s="99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</row>
    <row r="778">
      <c r="A778" s="98"/>
      <c r="B778" s="69"/>
      <c r="C778" s="98"/>
      <c r="D778" s="98"/>
      <c r="E778" s="99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</row>
    <row r="779">
      <c r="A779" s="98"/>
      <c r="B779" s="69"/>
      <c r="C779" s="98"/>
      <c r="D779" s="98"/>
      <c r="E779" s="99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</row>
    <row r="780">
      <c r="A780" s="98"/>
      <c r="B780" s="69"/>
      <c r="C780" s="98"/>
      <c r="D780" s="98"/>
      <c r="E780" s="99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</row>
    <row r="781">
      <c r="A781" s="98"/>
      <c r="B781" s="69"/>
      <c r="C781" s="98"/>
      <c r="D781" s="98"/>
      <c r="E781" s="99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</row>
    <row r="782">
      <c r="A782" s="98"/>
      <c r="B782" s="69"/>
      <c r="C782" s="98"/>
      <c r="D782" s="98"/>
      <c r="E782" s="99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</row>
    <row r="783">
      <c r="A783" s="98"/>
      <c r="B783" s="69"/>
      <c r="C783" s="98"/>
      <c r="D783" s="98"/>
      <c r="E783" s="99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</row>
    <row r="784">
      <c r="A784" s="98"/>
      <c r="B784" s="69"/>
      <c r="C784" s="98"/>
      <c r="D784" s="98"/>
      <c r="E784" s="99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</row>
    <row r="785">
      <c r="A785" s="98"/>
      <c r="B785" s="69"/>
      <c r="C785" s="98"/>
      <c r="D785" s="98"/>
      <c r="E785" s="99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</row>
    <row r="786">
      <c r="A786" s="98"/>
      <c r="B786" s="69"/>
      <c r="C786" s="98"/>
      <c r="D786" s="98"/>
      <c r="E786" s="99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</row>
    <row r="787">
      <c r="A787" s="98"/>
      <c r="B787" s="69"/>
      <c r="C787" s="98"/>
      <c r="D787" s="98"/>
      <c r="E787" s="99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</row>
    <row r="788">
      <c r="A788" s="98"/>
      <c r="B788" s="69"/>
      <c r="C788" s="98"/>
      <c r="D788" s="98"/>
      <c r="E788" s="99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</row>
    <row r="789">
      <c r="A789" s="98"/>
      <c r="B789" s="69"/>
      <c r="C789" s="98"/>
      <c r="D789" s="98"/>
      <c r="E789" s="99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</row>
    <row r="790">
      <c r="A790" s="98"/>
      <c r="B790" s="69"/>
      <c r="C790" s="98"/>
      <c r="D790" s="98"/>
      <c r="E790" s="99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</row>
    <row r="791">
      <c r="A791" s="98"/>
      <c r="B791" s="69"/>
      <c r="C791" s="98"/>
      <c r="D791" s="98"/>
      <c r="E791" s="99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</row>
    <row r="792">
      <c r="A792" s="98"/>
      <c r="B792" s="69"/>
      <c r="C792" s="98"/>
      <c r="D792" s="98"/>
      <c r="E792" s="99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</row>
    <row r="793">
      <c r="A793" s="98"/>
      <c r="B793" s="69"/>
      <c r="C793" s="98"/>
      <c r="D793" s="98"/>
      <c r="E793" s="99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</row>
    <row r="794">
      <c r="A794" s="98"/>
      <c r="B794" s="69"/>
      <c r="C794" s="98"/>
      <c r="D794" s="98"/>
      <c r="E794" s="99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</row>
    <row r="795">
      <c r="A795" s="98"/>
      <c r="B795" s="69"/>
      <c r="C795" s="98"/>
      <c r="D795" s="98"/>
      <c r="E795" s="99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</row>
    <row r="796">
      <c r="A796" s="98"/>
      <c r="B796" s="69"/>
      <c r="C796" s="98"/>
      <c r="D796" s="98"/>
      <c r="E796" s="99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</row>
    <row r="797">
      <c r="A797" s="98"/>
      <c r="B797" s="69"/>
      <c r="C797" s="98"/>
      <c r="D797" s="98"/>
      <c r="E797" s="99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</row>
    <row r="798">
      <c r="A798" s="98"/>
      <c r="B798" s="69"/>
      <c r="C798" s="98"/>
      <c r="D798" s="98"/>
      <c r="E798" s="99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</row>
    <row r="799">
      <c r="A799" s="98"/>
      <c r="B799" s="69"/>
      <c r="C799" s="98"/>
      <c r="D799" s="98"/>
      <c r="E799" s="99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</row>
    <row r="800">
      <c r="A800" s="98"/>
      <c r="B800" s="69"/>
      <c r="C800" s="98"/>
      <c r="D800" s="98"/>
      <c r="E800" s="99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</row>
    <row r="801">
      <c r="A801" s="98"/>
      <c r="B801" s="69"/>
      <c r="C801" s="98"/>
      <c r="D801" s="98"/>
      <c r="E801" s="99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</row>
    <row r="802">
      <c r="A802" s="98"/>
      <c r="B802" s="69"/>
      <c r="C802" s="98"/>
      <c r="D802" s="98"/>
      <c r="E802" s="99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</row>
    <row r="803">
      <c r="A803" s="98"/>
      <c r="B803" s="69"/>
      <c r="C803" s="98"/>
      <c r="D803" s="98"/>
      <c r="E803" s="99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</row>
    <row r="804">
      <c r="A804" s="98"/>
      <c r="B804" s="69"/>
      <c r="C804" s="98"/>
      <c r="D804" s="98"/>
      <c r="E804" s="99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</row>
    <row r="805">
      <c r="A805" s="98"/>
      <c r="B805" s="69"/>
      <c r="C805" s="98"/>
      <c r="D805" s="98"/>
      <c r="E805" s="99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</row>
    <row r="806">
      <c r="A806" s="98"/>
      <c r="B806" s="69"/>
      <c r="C806" s="98"/>
      <c r="D806" s="98"/>
      <c r="E806" s="99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</row>
    <row r="807">
      <c r="A807" s="98"/>
      <c r="B807" s="69"/>
      <c r="C807" s="98"/>
      <c r="D807" s="98"/>
      <c r="E807" s="99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</row>
    <row r="808">
      <c r="A808" s="98"/>
      <c r="B808" s="69"/>
      <c r="C808" s="98"/>
      <c r="D808" s="98"/>
      <c r="E808" s="99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</row>
    <row r="809">
      <c r="A809" s="98"/>
      <c r="B809" s="69"/>
      <c r="C809" s="98"/>
      <c r="D809" s="98"/>
      <c r="E809" s="99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</row>
    <row r="810">
      <c r="A810" s="98"/>
      <c r="B810" s="69"/>
      <c r="C810" s="98"/>
      <c r="D810" s="98"/>
      <c r="E810" s="99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</row>
    <row r="811">
      <c r="A811" s="98"/>
      <c r="B811" s="69"/>
      <c r="C811" s="98"/>
      <c r="D811" s="98"/>
      <c r="E811" s="99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</row>
    <row r="812">
      <c r="A812" s="98"/>
      <c r="B812" s="69"/>
      <c r="C812" s="98"/>
      <c r="D812" s="98"/>
      <c r="E812" s="99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</row>
    <row r="813">
      <c r="A813" s="98"/>
      <c r="B813" s="69"/>
      <c r="C813" s="98"/>
      <c r="D813" s="98"/>
      <c r="E813" s="99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</row>
    <row r="814">
      <c r="A814" s="98"/>
      <c r="B814" s="69"/>
      <c r="C814" s="98"/>
      <c r="D814" s="98"/>
      <c r="E814" s="99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</row>
    <row r="815">
      <c r="A815" s="98"/>
      <c r="B815" s="69"/>
      <c r="C815" s="98"/>
      <c r="D815" s="98"/>
      <c r="E815" s="99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</row>
    <row r="816">
      <c r="A816" s="98"/>
      <c r="B816" s="69"/>
      <c r="C816" s="98"/>
      <c r="D816" s="98"/>
      <c r="E816" s="99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</row>
    <row r="817">
      <c r="A817" s="98"/>
      <c r="B817" s="69"/>
      <c r="C817" s="98"/>
      <c r="D817" s="98"/>
      <c r="E817" s="99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</row>
    <row r="818">
      <c r="A818" s="98"/>
      <c r="B818" s="69"/>
      <c r="C818" s="98"/>
      <c r="D818" s="98"/>
      <c r="E818" s="99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</row>
    <row r="819">
      <c r="A819" s="98"/>
      <c r="B819" s="69"/>
      <c r="C819" s="98"/>
      <c r="D819" s="98"/>
      <c r="E819" s="99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</row>
    <row r="820">
      <c r="A820" s="98"/>
      <c r="B820" s="69"/>
      <c r="C820" s="98"/>
      <c r="D820" s="98"/>
      <c r="E820" s="99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</row>
    <row r="821">
      <c r="A821" s="98"/>
      <c r="B821" s="69"/>
      <c r="C821" s="98"/>
      <c r="D821" s="98"/>
      <c r="E821" s="99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</row>
    <row r="822">
      <c r="A822" s="98"/>
      <c r="B822" s="69"/>
      <c r="C822" s="98"/>
      <c r="D822" s="98"/>
      <c r="E822" s="99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</row>
    <row r="823">
      <c r="A823" s="98"/>
      <c r="B823" s="69"/>
      <c r="C823" s="98"/>
      <c r="D823" s="98"/>
      <c r="E823" s="99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</row>
    <row r="824">
      <c r="A824" s="98"/>
      <c r="B824" s="69"/>
      <c r="C824" s="98"/>
      <c r="D824" s="98"/>
      <c r="E824" s="99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</row>
    <row r="825">
      <c r="A825" s="98"/>
      <c r="B825" s="69"/>
      <c r="C825" s="98"/>
      <c r="D825" s="98"/>
      <c r="E825" s="99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</row>
    <row r="826">
      <c r="A826" s="98"/>
      <c r="B826" s="69"/>
      <c r="C826" s="98"/>
      <c r="D826" s="98"/>
      <c r="E826" s="99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</row>
    <row r="827">
      <c r="A827" s="98"/>
      <c r="B827" s="69"/>
      <c r="C827" s="98"/>
      <c r="D827" s="98"/>
      <c r="E827" s="99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</row>
    <row r="828">
      <c r="A828" s="98"/>
      <c r="B828" s="69"/>
      <c r="C828" s="98"/>
      <c r="D828" s="98"/>
      <c r="E828" s="99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</row>
    <row r="829">
      <c r="A829" s="98"/>
      <c r="B829" s="69"/>
      <c r="C829" s="98"/>
      <c r="D829" s="98"/>
      <c r="E829" s="99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</row>
    <row r="830">
      <c r="A830" s="98"/>
      <c r="B830" s="69"/>
      <c r="C830" s="98"/>
      <c r="D830" s="98"/>
      <c r="E830" s="99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</row>
    <row r="831">
      <c r="A831" s="98"/>
      <c r="B831" s="69"/>
      <c r="C831" s="98"/>
      <c r="D831" s="98"/>
      <c r="E831" s="99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</row>
    <row r="832">
      <c r="A832" s="98"/>
      <c r="B832" s="69"/>
      <c r="C832" s="98"/>
      <c r="D832" s="98"/>
      <c r="E832" s="99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</row>
    <row r="833">
      <c r="A833" s="98"/>
      <c r="B833" s="69"/>
      <c r="C833" s="98"/>
      <c r="D833" s="98"/>
      <c r="E833" s="99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</row>
    <row r="834">
      <c r="A834" s="98"/>
      <c r="B834" s="69"/>
      <c r="C834" s="98"/>
      <c r="D834" s="98"/>
      <c r="E834" s="99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</row>
    <row r="835">
      <c r="A835" s="98"/>
      <c r="B835" s="69"/>
      <c r="C835" s="98"/>
      <c r="D835" s="98"/>
      <c r="E835" s="99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</row>
    <row r="836">
      <c r="A836" s="98"/>
      <c r="B836" s="69"/>
      <c r="C836" s="98"/>
      <c r="D836" s="98"/>
      <c r="E836" s="99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</row>
    <row r="837">
      <c r="A837" s="98"/>
      <c r="B837" s="69"/>
      <c r="C837" s="98"/>
      <c r="D837" s="98"/>
      <c r="E837" s="99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</row>
    <row r="838">
      <c r="A838" s="98"/>
      <c r="B838" s="69"/>
      <c r="C838" s="98"/>
      <c r="D838" s="98"/>
      <c r="E838" s="99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</row>
    <row r="839">
      <c r="A839" s="98"/>
      <c r="B839" s="69"/>
      <c r="C839" s="98"/>
      <c r="D839" s="98"/>
      <c r="E839" s="99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</row>
    <row r="840">
      <c r="A840" s="98"/>
      <c r="B840" s="69"/>
      <c r="C840" s="98"/>
      <c r="D840" s="98"/>
      <c r="E840" s="99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</row>
    <row r="841">
      <c r="A841" s="98"/>
      <c r="B841" s="69"/>
      <c r="C841" s="98"/>
      <c r="D841" s="98"/>
      <c r="E841" s="99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</row>
    <row r="842">
      <c r="A842" s="98"/>
      <c r="B842" s="69"/>
      <c r="C842" s="98"/>
      <c r="D842" s="98"/>
      <c r="E842" s="99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</row>
    <row r="843">
      <c r="A843" s="98"/>
      <c r="B843" s="69"/>
      <c r="C843" s="98"/>
      <c r="D843" s="98"/>
      <c r="E843" s="99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</row>
    <row r="844">
      <c r="A844" s="98"/>
      <c r="B844" s="69"/>
      <c r="C844" s="98"/>
      <c r="D844" s="98"/>
      <c r="E844" s="99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</row>
    <row r="845">
      <c r="A845" s="98"/>
      <c r="B845" s="69"/>
      <c r="C845" s="98"/>
      <c r="D845" s="98"/>
      <c r="E845" s="99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</row>
    <row r="846">
      <c r="A846" s="98"/>
      <c r="B846" s="69"/>
      <c r="C846" s="98"/>
      <c r="D846" s="98"/>
      <c r="E846" s="99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</row>
    <row r="847">
      <c r="A847" s="98"/>
      <c r="B847" s="69"/>
      <c r="C847" s="98"/>
      <c r="D847" s="98"/>
      <c r="E847" s="99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</row>
    <row r="848">
      <c r="A848" s="98"/>
      <c r="B848" s="69"/>
      <c r="C848" s="98"/>
      <c r="D848" s="98"/>
      <c r="E848" s="99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</row>
    <row r="849">
      <c r="A849" s="98"/>
      <c r="B849" s="69"/>
      <c r="C849" s="98"/>
      <c r="D849" s="98"/>
      <c r="E849" s="99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</row>
    <row r="850">
      <c r="A850" s="98"/>
      <c r="B850" s="69"/>
      <c r="C850" s="98"/>
      <c r="D850" s="98"/>
      <c r="E850" s="99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</row>
    <row r="851">
      <c r="A851" s="98"/>
      <c r="B851" s="69"/>
      <c r="C851" s="98"/>
      <c r="D851" s="98"/>
      <c r="E851" s="99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</row>
    <row r="852">
      <c r="A852" s="98"/>
      <c r="B852" s="69"/>
      <c r="C852" s="98"/>
      <c r="D852" s="98"/>
      <c r="E852" s="99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</row>
    <row r="853">
      <c r="A853" s="98"/>
      <c r="B853" s="69"/>
      <c r="C853" s="98"/>
      <c r="D853" s="98"/>
      <c r="E853" s="99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</row>
    <row r="854">
      <c r="A854" s="98"/>
      <c r="B854" s="69"/>
      <c r="C854" s="98"/>
      <c r="D854" s="98"/>
      <c r="E854" s="99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</row>
    <row r="855">
      <c r="A855" s="98"/>
      <c r="B855" s="69"/>
      <c r="C855" s="98"/>
      <c r="D855" s="98"/>
      <c r="E855" s="99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</row>
    <row r="856">
      <c r="A856" s="98"/>
      <c r="B856" s="69"/>
      <c r="C856" s="98"/>
      <c r="D856" s="98"/>
      <c r="E856" s="99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</row>
    <row r="857">
      <c r="A857" s="98"/>
      <c r="B857" s="69"/>
      <c r="C857" s="98"/>
      <c r="D857" s="98"/>
      <c r="E857" s="99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</row>
    <row r="858">
      <c r="A858" s="98"/>
      <c r="B858" s="69"/>
      <c r="C858" s="98"/>
      <c r="D858" s="98"/>
      <c r="E858" s="99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</row>
    <row r="859">
      <c r="A859" s="98"/>
      <c r="B859" s="69"/>
      <c r="C859" s="98"/>
      <c r="D859" s="98"/>
      <c r="E859" s="99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</row>
    <row r="860">
      <c r="A860" s="98"/>
      <c r="B860" s="69"/>
      <c r="C860" s="98"/>
      <c r="D860" s="98"/>
      <c r="E860" s="99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</row>
    <row r="861">
      <c r="A861" s="98"/>
      <c r="B861" s="69"/>
      <c r="C861" s="98"/>
      <c r="D861" s="98"/>
      <c r="E861" s="99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</row>
    <row r="862">
      <c r="A862" s="98"/>
      <c r="B862" s="69"/>
      <c r="C862" s="98"/>
      <c r="D862" s="98"/>
      <c r="E862" s="99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</row>
    <row r="863">
      <c r="A863" s="98"/>
      <c r="B863" s="69"/>
      <c r="C863" s="98"/>
      <c r="D863" s="98"/>
      <c r="E863" s="99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</row>
    <row r="864">
      <c r="A864" s="98"/>
      <c r="B864" s="69"/>
      <c r="C864" s="98"/>
      <c r="D864" s="98"/>
      <c r="E864" s="99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</row>
    <row r="865">
      <c r="A865" s="98"/>
      <c r="B865" s="69"/>
      <c r="C865" s="98"/>
      <c r="D865" s="98"/>
      <c r="E865" s="99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</row>
    <row r="866">
      <c r="A866" s="98"/>
      <c r="B866" s="69"/>
      <c r="C866" s="98"/>
      <c r="D866" s="98"/>
      <c r="E866" s="99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</row>
    <row r="867">
      <c r="A867" s="98"/>
      <c r="B867" s="69"/>
      <c r="C867" s="98"/>
      <c r="D867" s="98"/>
      <c r="E867" s="99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</row>
    <row r="868">
      <c r="A868" s="98"/>
      <c r="B868" s="69"/>
      <c r="C868" s="98"/>
      <c r="D868" s="98"/>
      <c r="E868" s="99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</row>
    <row r="869">
      <c r="A869" s="98"/>
      <c r="B869" s="69"/>
      <c r="C869" s="98"/>
      <c r="D869" s="98"/>
      <c r="E869" s="99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</row>
    <row r="870">
      <c r="A870" s="98"/>
      <c r="B870" s="69"/>
      <c r="C870" s="98"/>
      <c r="D870" s="98"/>
      <c r="E870" s="99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</row>
    <row r="871">
      <c r="A871" s="98"/>
      <c r="B871" s="69"/>
      <c r="C871" s="98"/>
      <c r="D871" s="98"/>
      <c r="E871" s="99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</row>
    <row r="872">
      <c r="A872" s="98"/>
      <c r="B872" s="69"/>
      <c r="C872" s="98"/>
      <c r="D872" s="98"/>
      <c r="E872" s="99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</row>
    <row r="873">
      <c r="A873" s="98"/>
      <c r="B873" s="69"/>
      <c r="C873" s="98"/>
      <c r="D873" s="98"/>
      <c r="E873" s="99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</row>
    <row r="874">
      <c r="A874" s="98"/>
      <c r="B874" s="69"/>
      <c r="C874" s="98"/>
      <c r="D874" s="98"/>
      <c r="E874" s="99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</row>
    <row r="875">
      <c r="A875" s="98"/>
      <c r="B875" s="69"/>
      <c r="C875" s="98"/>
      <c r="D875" s="98"/>
      <c r="E875" s="99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</row>
    <row r="876">
      <c r="A876" s="98"/>
      <c r="B876" s="69"/>
      <c r="C876" s="98"/>
      <c r="D876" s="98"/>
      <c r="E876" s="99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</row>
    <row r="877">
      <c r="A877" s="98"/>
      <c r="B877" s="69"/>
      <c r="C877" s="98"/>
      <c r="D877" s="98"/>
      <c r="E877" s="99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</row>
    <row r="878">
      <c r="A878" s="98"/>
      <c r="B878" s="69"/>
      <c r="C878" s="98"/>
      <c r="D878" s="98"/>
      <c r="E878" s="99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</row>
    <row r="879">
      <c r="A879" s="98"/>
      <c r="B879" s="69"/>
      <c r="C879" s="98"/>
      <c r="D879" s="98"/>
      <c r="E879" s="99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</row>
    <row r="880">
      <c r="A880" s="98"/>
      <c r="B880" s="69"/>
      <c r="C880" s="98"/>
      <c r="D880" s="98"/>
      <c r="E880" s="99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</row>
    <row r="881">
      <c r="A881" s="98"/>
      <c r="B881" s="69"/>
      <c r="C881" s="98"/>
      <c r="D881" s="98"/>
      <c r="E881" s="99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</row>
    <row r="882">
      <c r="A882" s="98"/>
      <c r="B882" s="69"/>
      <c r="C882" s="98"/>
      <c r="D882" s="98"/>
      <c r="E882" s="99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</row>
    <row r="883">
      <c r="A883" s="98"/>
      <c r="B883" s="69"/>
      <c r="C883" s="98"/>
      <c r="D883" s="98"/>
      <c r="E883" s="99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</row>
    <row r="884">
      <c r="A884" s="98"/>
      <c r="B884" s="69"/>
      <c r="C884" s="98"/>
      <c r="D884" s="98"/>
      <c r="E884" s="99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</row>
    <row r="885">
      <c r="A885" s="98"/>
      <c r="B885" s="69"/>
      <c r="C885" s="98"/>
      <c r="D885" s="98"/>
      <c r="E885" s="99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</row>
    <row r="886">
      <c r="A886" s="98"/>
      <c r="B886" s="69"/>
      <c r="C886" s="98"/>
      <c r="D886" s="98"/>
      <c r="E886" s="99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</row>
    <row r="887">
      <c r="A887" s="98"/>
      <c r="B887" s="69"/>
      <c r="C887" s="98"/>
      <c r="D887" s="98"/>
      <c r="E887" s="99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</row>
    <row r="888">
      <c r="A888" s="98"/>
      <c r="B888" s="69"/>
      <c r="C888" s="98"/>
      <c r="D888" s="98"/>
      <c r="E888" s="99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</row>
    <row r="889">
      <c r="A889" s="98"/>
      <c r="B889" s="69"/>
      <c r="C889" s="98"/>
      <c r="D889" s="98"/>
      <c r="E889" s="99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</row>
    <row r="890">
      <c r="A890" s="98"/>
      <c r="B890" s="69"/>
      <c r="C890" s="98"/>
      <c r="D890" s="98"/>
      <c r="E890" s="99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</row>
    <row r="891">
      <c r="A891" s="98"/>
      <c r="B891" s="69"/>
      <c r="C891" s="98"/>
      <c r="D891" s="98"/>
      <c r="E891" s="99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</row>
    <row r="892">
      <c r="A892" s="98"/>
      <c r="B892" s="69"/>
      <c r="C892" s="98"/>
      <c r="D892" s="98"/>
      <c r="E892" s="99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</row>
    <row r="893">
      <c r="A893" s="98"/>
      <c r="B893" s="69"/>
      <c r="C893" s="98"/>
      <c r="D893" s="98"/>
      <c r="E893" s="99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</row>
    <row r="894">
      <c r="A894" s="98"/>
      <c r="B894" s="69"/>
      <c r="C894" s="98"/>
      <c r="D894" s="98"/>
      <c r="E894" s="99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</row>
    <row r="895">
      <c r="A895" s="98"/>
      <c r="B895" s="69"/>
      <c r="C895" s="98"/>
      <c r="D895" s="98"/>
      <c r="E895" s="99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</row>
    <row r="896">
      <c r="A896" s="98"/>
      <c r="B896" s="69"/>
      <c r="C896" s="98"/>
      <c r="D896" s="98"/>
      <c r="E896" s="99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</row>
    <row r="897">
      <c r="A897" s="98"/>
      <c r="B897" s="69"/>
      <c r="C897" s="98"/>
      <c r="D897" s="98"/>
      <c r="E897" s="99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</row>
    <row r="898">
      <c r="A898" s="98"/>
      <c r="B898" s="69"/>
      <c r="C898" s="98"/>
      <c r="D898" s="98"/>
      <c r="E898" s="99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</row>
    <row r="899">
      <c r="A899" s="98"/>
      <c r="B899" s="69"/>
      <c r="C899" s="98"/>
      <c r="D899" s="98"/>
      <c r="E899" s="99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</row>
    <row r="900">
      <c r="A900" s="98"/>
      <c r="B900" s="69"/>
      <c r="C900" s="98"/>
      <c r="D900" s="98"/>
      <c r="E900" s="99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</row>
    <row r="901">
      <c r="A901" s="98"/>
      <c r="B901" s="69"/>
      <c r="C901" s="98"/>
      <c r="D901" s="98"/>
      <c r="E901" s="99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</row>
    <row r="902">
      <c r="A902" s="98"/>
      <c r="B902" s="69"/>
      <c r="C902" s="98"/>
      <c r="D902" s="98"/>
      <c r="E902" s="99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</row>
    <row r="903">
      <c r="A903" s="98"/>
      <c r="B903" s="69"/>
      <c r="C903" s="98"/>
      <c r="D903" s="98"/>
      <c r="E903" s="99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</row>
    <row r="904">
      <c r="A904" s="98"/>
      <c r="B904" s="69"/>
      <c r="C904" s="98"/>
      <c r="D904" s="98"/>
      <c r="E904" s="99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</row>
    <row r="905">
      <c r="A905" s="98"/>
      <c r="B905" s="69"/>
      <c r="C905" s="98"/>
      <c r="D905" s="98"/>
      <c r="E905" s="99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</row>
    <row r="906">
      <c r="A906" s="98"/>
      <c r="B906" s="69"/>
      <c r="C906" s="98"/>
      <c r="D906" s="98"/>
      <c r="E906" s="99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</row>
    <row r="907">
      <c r="A907" s="98"/>
      <c r="B907" s="69"/>
      <c r="C907" s="98"/>
      <c r="D907" s="98"/>
      <c r="E907" s="99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</row>
    <row r="908">
      <c r="A908" s="98"/>
      <c r="B908" s="69"/>
      <c r="C908" s="98"/>
      <c r="D908" s="98"/>
      <c r="E908" s="99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</row>
    <row r="909">
      <c r="A909" s="98"/>
      <c r="B909" s="69"/>
      <c r="C909" s="98"/>
      <c r="D909" s="98"/>
      <c r="E909" s="99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</row>
    <row r="910">
      <c r="A910" s="98"/>
      <c r="B910" s="69"/>
      <c r="C910" s="98"/>
      <c r="D910" s="98"/>
      <c r="E910" s="99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</row>
    <row r="911">
      <c r="A911" s="98"/>
      <c r="B911" s="69"/>
      <c r="C911" s="98"/>
      <c r="D911" s="98"/>
      <c r="E911" s="99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</row>
    <row r="912">
      <c r="A912" s="98"/>
      <c r="B912" s="69"/>
      <c r="C912" s="98"/>
      <c r="D912" s="98"/>
      <c r="E912" s="99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</row>
    <row r="913">
      <c r="A913" s="98"/>
      <c r="B913" s="69"/>
      <c r="C913" s="98"/>
      <c r="D913" s="98"/>
      <c r="E913" s="99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</row>
    <row r="914">
      <c r="A914" s="98"/>
      <c r="B914" s="69"/>
      <c r="C914" s="98"/>
      <c r="D914" s="98"/>
      <c r="E914" s="99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</row>
    <row r="915">
      <c r="A915" s="98"/>
      <c r="B915" s="69"/>
      <c r="C915" s="98"/>
      <c r="D915" s="98"/>
      <c r="E915" s="99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</row>
    <row r="916">
      <c r="A916" s="98"/>
      <c r="B916" s="69"/>
      <c r="C916" s="98"/>
      <c r="D916" s="98"/>
      <c r="E916" s="99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</row>
    <row r="917">
      <c r="A917" s="98"/>
      <c r="B917" s="69"/>
      <c r="C917" s="98"/>
      <c r="D917" s="98"/>
      <c r="E917" s="99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</row>
    <row r="918">
      <c r="A918" s="98"/>
      <c r="B918" s="69"/>
      <c r="C918" s="98"/>
      <c r="D918" s="98"/>
      <c r="E918" s="99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</row>
    <row r="919">
      <c r="A919" s="98"/>
      <c r="B919" s="69"/>
      <c r="C919" s="98"/>
      <c r="D919" s="98"/>
      <c r="E919" s="99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</row>
    <row r="920">
      <c r="A920" s="98"/>
      <c r="B920" s="69"/>
      <c r="C920" s="98"/>
      <c r="D920" s="98"/>
      <c r="E920" s="99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</row>
    <row r="921">
      <c r="A921" s="98"/>
      <c r="B921" s="69"/>
      <c r="C921" s="98"/>
      <c r="D921" s="98"/>
      <c r="E921" s="99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</row>
    <row r="922">
      <c r="A922" s="98"/>
      <c r="B922" s="69"/>
      <c r="C922" s="98"/>
      <c r="D922" s="98"/>
      <c r="E922" s="99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</row>
    <row r="923">
      <c r="A923" s="98"/>
      <c r="B923" s="69"/>
      <c r="C923" s="98"/>
      <c r="D923" s="98"/>
      <c r="E923" s="99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</row>
    <row r="924">
      <c r="A924" s="98"/>
      <c r="B924" s="69"/>
      <c r="C924" s="98"/>
      <c r="D924" s="98"/>
      <c r="E924" s="99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</row>
    <row r="925">
      <c r="A925" s="98"/>
      <c r="B925" s="69"/>
      <c r="C925" s="98"/>
      <c r="D925" s="98"/>
      <c r="E925" s="99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</row>
    <row r="926">
      <c r="A926" s="98"/>
      <c r="B926" s="69"/>
      <c r="C926" s="98"/>
      <c r="D926" s="98"/>
      <c r="E926" s="99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</row>
    <row r="927">
      <c r="A927" s="98"/>
      <c r="B927" s="69"/>
      <c r="C927" s="98"/>
      <c r="D927" s="98"/>
      <c r="E927" s="99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</row>
    <row r="928">
      <c r="A928" s="98"/>
      <c r="B928" s="69"/>
      <c r="C928" s="98"/>
      <c r="D928" s="98"/>
      <c r="E928" s="99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</row>
    <row r="929">
      <c r="A929" s="98"/>
      <c r="B929" s="69"/>
      <c r="C929" s="98"/>
      <c r="D929" s="98"/>
      <c r="E929" s="99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</row>
    <row r="930">
      <c r="A930" s="98"/>
      <c r="B930" s="69"/>
      <c r="C930" s="98"/>
      <c r="D930" s="98"/>
      <c r="E930" s="99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</row>
    <row r="931">
      <c r="A931" s="98"/>
      <c r="B931" s="69"/>
      <c r="C931" s="98"/>
      <c r="D931" s="98"/>
      <c r="E931" s="99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</row>
    <row r="932">
      <c r="A932" s="98"/>
      <c r="B932" s="69"/>
      <c r="C932" s="98"/>
      <c r="D932" s="98"/>
      <c r="E932" s="99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</row>
    <row r="933">
      <c r="A933" s="98"/>
      <c r="B933" s="69"/>
      <c r="C933" s="98"/>
      <c r="D933" s="98"/>
      <c r="E933" s="99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</row>
    <row r="934">
      <c r="A934" s="98"/>
      <c r="B934" s="69"/>
      <c r="C934" s="98"/>
      <c r="D934" s="98"/>
      <c r="E934" s="99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</row>
    <row r="935">
      <c r="A935" s="98"/>
      <c r="B935" s="69"/>
      <c r="C935" s="98"/>
      <c r="D935" s="98"/>
      <c r="E935" s="99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</row>
    <row r="936">
      <c r="A936" s="98"/>
      <c r="B936" s="69"/>
      <c r="C936" s="98"/>
      <c r="D936" s="98"/>
      <c r="E936" s="99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</row>
    <row r="937">
      <c r="A937" s="98"/>
      <c r="B937" s="69"/>
      <c r="C937" s="98"/>
      <c r="D937" s="98"/>
      <c r="E937" s="99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  <c r="V937" s="98"/>
      <c r="W937" s="98"/>
      <c r="X937" s="98"/>
      <c r="Y937" s="98"/>
      <c r="Z937" s="98"/>
      <c r="AA937" s="98"/>
    </row>
    <row r="938">
      <c r="A938" s="98"/>
      <c r="B938" s="69"/>
      <c r="C938" s="98"/>
      <c r="D938" s="98"/>
      <c r="E938" s="99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  <c r="V938" s="98"/>
      <c r="W938" s="98"/>
      <c r="X938" s="98"/>
      <c r="Y938" s="98"/>
      <c r="Z938" s="98"/>
      <c r="AA938" s="98"/>
    </row>
    <row r="939">
      <c r="A939" s="98"/>
      <c r="B939" s="69"/>
      <c r="C939" s="98"/>
      <c r="D939" s="98"/>
      <c r="E939" s="99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  <c r="V939" s="98"/>
      <c r="W939" s="98"/>
      <c r="X939" s="98"/>
      <c r="Y939" s="98"/>
      <c r="Z939" s="98"/>
      <c r="AA939" s="98"/>
    </row>
    <row r="940">
      <c r="A940" s="98"/>
      <c r="B940" s="69"/>
      <c r="C940" s="98"/>
      <c r="D940" s="98"/>
      <c r="E940" s="99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  <c r="V940" s="98"/>
      <c r="W940" s="98"/>
      <c r="X940" s="98"/>
      <c r="Y940" s="98"/>
      <c r="Z940" s="98"/>
      <c r="AA940" s="98"/>
    </row>
    <row r="941">
      <c r="A941" s="98"/>
      <c r="B941" s="69"/>
      <c r="C941" s="98"/>
      <c r="D941" s="98"/>
      <c r="E941" s="99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  <c r="V941" s="98"/>
      <c r="W941" s="98"/>
      <c r="X941" s="98"/>
      <c r="Y941" s="98"/>
      <c r="Z941" s="98"/>
      <c r="AA941" s="98"/>
    </row>
    <row r="942">
      <c r="A942" s="98"/>
      <c r="B942" s="69"/>
      <c r="C942" s="98"/>
      <c r="D942" s="98"/>
      <c r="E942" s="99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  <c r="V942" s="98"/>
      <c r="W942" s="98"/>
      <c r="X942" s="98"/>
      <c r="Y942" s="98"/>
      <c r="Z942" s="98"/>
      <c r="AA942" s="98"/>
    </row>
    <row r="943">
      <c r="A943" s="98"/>
      <c r="B943" s="69"/>
      <c r="C943" s="98"/>
      <c r="D943" s="98"/>
      <c r="E943" s="99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  <c r="V943" s="98"/>
      <c r="W943" s="98"/>
      <c r="X943" s="98"/>
      <c r="Y943" s="98"/>
      <c r="Z943" s="98"/>
      <c r="AA943" s="98"/>
    </row>
    <row r="944">
      <c r="A944" s="98"/>
      <c r="B944" s="69"/>
      <c r="C944" s="98"/>
      <c r="D944" s="98"/>
      <c r="E944" s="99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  <c r="V944" s="98"/>
      <c r="W944" s="98"/>
      <c r="X944" s="98"/>
      <c r="Y944" s="98"/>
      <c r="Z944" s="98"/>
      <c r="AA944" s="98"/>
    </row>
    <row r="945">
      <c r="A945" s="98"/>
      <c r="B945" s="69"/>
      <c r="C945" s="98"/>
      <c r="D945" s="98"/>
      <c r="E945" s="99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  <c r="V945" s="98"/>
      <c r="W945" s="98"/>
      <c r="X945" s="98"/>
      <c r="Y945" s="98"/>
      <c r="Z945" s="98"/>
      <c r="AA945" s="98"/>
    </row>
    <row r="946">
      <c r="A946" s="98"/>
      <c r="B946" s="69"/>
      <c r="C946" s="98"/>
      <c r="D946" s="98"/>
      <c r="E946" s="99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  <c r="V946" s="98"/>
      <c r="W946" s="98"/>
      <c r="X946" s="98"/>
      <c r="Y946" s="98"/>
      <c r="Z946" s="98"/>
      <c r="AA946" s="98"/>
    </row>
    <row r="947">
      <c r="A947" s="98"/>
      <c r="B947" s="69"/>
      <c r="C947" s="98"/>
      <c r="D947" s="98"/>
      <c r="E947" s="99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  <c r="V947" s="98"/>
      <c r="W947" s="98"/>
      <c r="X947" s="98"/>
      <c r="Y947" s="98"/>
      <c r="Z947" s="98"/>
      <c r="AA947" s="98"/>
    </row>
    <row r="948">
      <c r="A948" s="98"/>
      <c r="B948" s="69"/>
      <c r="C948" s="98"/>
      <c r="D948" s="98"/>
      <c r="E948" s="99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  <c r="V948" s="98"/>
      <c r="W948" s="98"/>
      <c r="X948" s="98"/>
      <c r="Y948" s="98"/>
      <c r="Z948" s="98"/>
      <c r="AA948" s="98"/>
    </row>
    <row r="949">
      <c r="A949" s="98"/>
      <c r="B949" s="69"/>
      <c r="C949" s="98"/>
      <c r="D949" s="98"/>
      <c r="E949" s="99"/>
      <c r="F949" s="98"/>
      <c r="G949" s="98"/>
      <c r="H949" s="98"/>
      <c r="I949" s="98"/>
      <c r="J949" s="98"/>
      <c r="K949" s="98"/>
      <c r="L949" s="98"/>
      <c r="M949" s="98"/>
      <c r="N949" s="98"/>
      <c r="O949" s="98"/>
      <c r="P949" s="98"/>
      <c r="Q949" s="98"/>
      <c r="R949" s="98"/>
      <c r="S949" s="98"/>
      <c r="T949" s="98"/>
      <c r="U949" s="98"/>
      <c r="V949" s="98"/>
      <c r="W949" s="98"/>
      <c r="X949" s="98"/>
      <c r="Y949" s="98"/>
      <c r="Z949" s="98"/>
      <c r="AA949" s="98"/>
    </row>
    <row r="950">
      <c r="A950" s="98"/>
      <c r="B950" s="69"/>
      <c r="C950" s="98"/>
      <c r="D950" s="98"/>
      <c r="E950" s="99"/>
      <c r="F950" s="98"/>
      <c r="G950" s="98"/>
      <c r="H950" s="98"/>
      <c r="I950" s="98"/>
      <c r="J950" s="98"/>
      <c r="K950" s="98"/>
      <c r="L950" s="98"/>
      <c r="M950" s="98"/>
      <c r="N950" s="98"/>
      <c r="O950" s="98"/>
      <c r="P950" s="98"/>
      <c r="Q950" s="98"/>
      <c r="R950" s="98"/>
      <c r="S950" s="98"/>
      <c r="T950" s="98"/>
      <c r="U950" s="98"/>
      <c r="V950" s="98"/>
      <c r="W950" s="98"/>
      <c r="X950" s="98"/>
      <c r="Y950" s="98"/>
      <c r="Z950" s="98"/>
      <c r="AA950" s="98"/>
    </row>
    <row r="951">
      <c r="A951" s="98"/>
      <c r="B951" s="69"/>
      <c r="C951" s="98"/>
      <c r="D951" s="98"/>
      <c r="E951" s="99"/>
      <c r="F951" s="98"/>
      <c r="G951" s="98"/>
      <c r="H951" s="98"/>
      <c r="I951" s="98"/>
      <c r="J951" s="98"/>
      <c r="K951" s="98"/>
      <c r="L951" s="98"/>
      <c r="M951" s="98"/>
      <c r="N951" s="98"/>
      <c r="O951" s="98"/>
      <c r="P951" s="98"/>
      <c r="Q951" s="98"/>
      <c r="R951" s="98"/>
      <c r="S951" s="98"/>
      <c r="T951" s="98"/>
      <c r="U951" s="98"/>
      <c r="V951" s="98"/>
      <c r="W951" s="98"/>
      <c r="X951" s="98"/>
      <c r="Y951" s="98"/>
      <c r="Z951" s="98"/>
      <c r="AA951" s="98"/>
    </row>
    <row r="952">
      <c r="A952" s="98"/>
      <c r="B952" s="69"/>
      <c r="C952" s="98"/>
      <c r="D952" s="98"/>
      <c r="E952" s="99"/>
      <c r="F952" s="98"/>
      <c r="G952" s="98"/>
      <c r="H952" s="98"/>
      <c r="I952" s="98"/>
      <c r="J952" s="98"/>
      <c r="K952" s="98"/>
      <c r="L952" s="98"/>
      <c r="M952" s="98"/>
      <c r="N952" s="98"/>
      <c r="O952" s="98"/>
      <c r="P952" s="98"/>
      <c r="Q952" s="98"/>
      <c r="R952" s="98"/>
      <c r="S952" s="98"/>
      <c r="T952" s="98"/>
      <c r="U952" s="98"/>
      <c r="V952" s="98"/>
      <c r="W952" s="98"/>
      <c r="X952" s="98"/>
      <c r="Y952" s="98"/>
      <c r="Z952" s="98"/>
      <c r="AA952" s="98"/>
    </row>
    <row r="953">
      <c r="A953" s="98"/>
      <c r="B953" s="69"/>
      <c r="C953" s="98"/>
      <c r="D953" s="98"/>
      <c r="E953" s="99"/>
      <c r="F953" s="98"/>
      <c r="G953" s="98"/>
      <c r="H953" s="98"/>
      <c r="I953" s="98"/>
      <c r="J953" s="98"/>
      <c r="K953" s="98"/>
      <c r="L953" s="98"/>
      <c r="M953" s="98"/>
      <c r="N953" s="98"/>
      <c r="O953" s="98"/>
      <c r="P953" s="98"/>
      <c r="Q953" s="98"/>
      <c r="R953" s="98"/>
      <c r="S953" s="98"/>
      <c r="T953" s="98"/>
      <c r="U953" s="98"/>
      <c r="V953" s="98"/>
      <c r="W953" s="98"/>
      <c r="X953" s="98"/>
      <c r="Y953" s="98"/>
      <c r="Z953" s="98"/>
      <c r="AA953" s="98"/>
    </row>
    <row r="954">
      <c r="A954" s="98"/>
      <c r="B954" s="69"/>
      <c r="C954" s="98"/>
      <c r="D954" s="98"/>
      <c r="E954" s="99"/>
      <c r="F954" s="98"/>
      <c r="G954" s="98"/>
      <c r="H954" s="98"/>
      <c r="I954" s="98"/>
      <c r="J954" s="98"/>
      <c r="K954" s="98"/>
      <c r="L954" s="98"/>
      <c r="M954" s="98"/>
      <c r="N954" s="98"/>
      <c r="O954" s="98"/>
      <c r="P954" s="98"/>
      <c r="Q954" s="98"/>
      <c r="R954" s="98"/>
      <c r="S954" s="98"/>
      <c r="T954" s="98"/>
      <c r="U954" s="98"/>
      <c r="V954" s="98"/>
      <c r="W954" s="98"/>
      <c r="X954" s="98"/>
      <c r="Y954" s="98"/>
      <c r="Z954" s="98"/>
      <c r="AA954" s="98"/>
    </row>
    <row r="955">
      <c r="A955" s="98"/>
      <c r="B955" s="69"/>
      <c r="C955" s="98"/>
      <c r="D955" s="98"/>
      <c r="E955" s="99"/>
      <c r="F955" s="98"/>
      <c r="G955" s="98"/>
      <c r="H955" s="98"/>
      <c r="I955" s="98"/>
      <c r="J955" s="98"/>
      <c r="K955" s="98"/>
      <c r="L955" s="98"/>
      <c r="M955" s="98"/>
      <c r="N955" s="98"/>
      <c r="O955" s="98"/>
      <c r="P955" s="98"/>
      <c r="Q955" s="98"/>
      <c r="R955" s="98"/>
      <c r="S955" s="98"/>
      <c r="T955" s="98"/>
      <c r="U955" s="98"/>
      <c r="V955" s="98"/>
      <c r="W955" s="98"/>
      <c r="X955" s="98"/>
      <c r="Y955" s="98"/>
      <c r="Z955" s="98"/>
      <c r="AA955" s="98"/>
    </row>
    <row r="956">
      <c r="A956" s="98"/>
      <c r="B956" s="69"/>
      <c r="C956" s="98"/>
      <c r="D956" s="98"/>
      <c r="E956" s="99"/>
      <c r="F956" s="98"/>
      <c r="G956" s="98"/>
      <c r="H956" s="98"/>
      <c r="I956" s="98"/>
      <c r="J956" s="98"/>
      <c r="K956" s="98"/>
      <c r="L956" s="98"/>
      <c r="M956" s="98"/>
      <c r="N956" s="98"/>
      <c r="O956" s="98"/>
      <c r="P956" s="98"/>
      <c r="Q956" s="98"/>
      <c r="R956" s="98"/>
      <c r="S956" s="98"/>
      <c r="T956" s="98"/>
      <c r="U956" s="98"/>
      <c r="V956" s="98"/>
      <c r="W956" s="98"/>
      <c r="X956" s="98"/>
      <c r="Y956" s="98"/>
      <c r="Z956" s="98"/>
      <c r="AA956" s="98"/>
    </row>
    <row r="957">
      <c r="A957" s="98"/>
      <c r="B957" s="69"/>
      <c r="C957" s="98"/>
      <c r="D957" s="98"/>
      <c r="E957" s="99"/>
      <c r="F957" s="98"/>
      <c r="G957" s="98"/>
      <c r="H957" s="98"/>
      <c r="I957" s="98"/>
      <c r="J957" s="98"/>
      <c r="K957" s="98"/>
      <c r="L957" s="98"/>
      <c r="M957" s="98"/>
      <c r="N957" s="98"/>
      <c r="O957" s="98"/>
      <c r="P957" s="98"/>
      <c r="Q957" s="98"/>
      <c r="R957" s="98"/>
      <c r="S957" s="98"/>
      <c r="T957" s="98"/>
      <c r="U957" s="98"/>
      <c r="V957" s="98"/>
      <c r="W957" s="98"/>
      <c r="X957" s="98"/>
      <c r="Y957" s="98"/>
      <c r="Z957" s="98"/>
      <c r="AA957" s="98"/>
    </row>
    <row r="958">
      <c r="A958" s="98"/>
      <c r="B958" s="69"/>
      <c r="C958" s="98"/>
      <c r="D958" s="98"/>
      <c r="E958" s="99"/>
      <c r="F958" s="98"/>
      <c r="G958" s="98"/>
      <c r="H958" s="98"/>
      <c r="I958" s="98"/>
      <c r="J958" s="98"/>
      <c r="K958" s="98"/>
      <c r="L958" s="98"/>
      <c r="M958" s="98"/>
      <c r="N958" s="98"/>
      <c r="O958" s="98"/>
      <c r="P958" s="98"/>
      <c r="Q958" s="98"/>
      <c r="R958" s="98"/>
      <c r="S958" s="98"/>
      <c r="T958" s="98"/>
      <c r="U958" s="98"/>
      <c r="V958" s="98"/>
      <c r="W958" s="98"/>
      <c r="X958" s="98"/>
      <c r="Y958" s="98"/>
      <c r="Z958" s="98"/>
      <c r="AA958" s="98"/>
    </row>
    <row r="959">
      <c r="A959" s="98"/>
      <c r="B959" s="69"/>
      <c r="C959" s="98"/>
      <c r="D959" s="98"/>
      <c r="E959" s="99"/>
      <c r="F959" s="98"/>
      <c r="G959" s="98"/>
      <c r="H959" s="98"/>
      <c r="I959" s="98"/>
      <c r="J959" s="98"/>
      <c r="K959" s="98"/>
      <c r="L959" s="98"/>
      <c r="M959" s="98"/>
      <c r="N959" s="98"/>
      <c r="O959" s="98"/>
      <c r="P959" s="98"/>
      <c r="Q959" s="98"/>
      <c r="R959" s="98"/>
      <c r="S959" s="98"/>
      <c r="T959" s="98"/>
      <c r="U959" s="98"/>
      <c r="V959" s="98"/>
      <c r="W959" s="98"/>
      <c r="X959" s="98"/>
      <c r="Y959" s="98"/>
      <c r="Z959" s="98"/>
      <c r="AA959" s="98"/>
    </row>
    <row r="960">
      <c r="A960" s="98"/>
      <c r="B960" s="69"/>
      <c r="C960" s="98"/>
      <c r="D960" s="98"/>
      <c r="E960" s="99"/>
      <c r="F960" s="98"/>
      <c r="G960" s="98"/>
      <c r="H960" s="98"/>
      <c r="I960" s="98"/>
      <c r="J960" s="98"/>
      <c r="K960" s="98"/>
      <c r="L960" s="98"/>
      <c r="M960" s="98"/>
      <c r="N960" s="98"/>
      <c r="O960" s="98"/>
      <c r="P960" s="98"/>
      <c r="Q960" s="98"/>
      <c r="R960" s="98"/>
      <c r="S960" s="98"/>
      <c r="T960" s="98"/>
      <c r="U960" s="98"/>
      <c r="V960" s="98"/>
      <c r="W960" s="98"/>
      <c r="X960" s="98"/>
      <c r="Y960" s="98"/>
      <c r="Z960" s="98"/>
      <c r="AA960" s="98"/>
    </row>
    <row r="961">
      <c r="A961" s="98"/>
      <c r="B961" s="69"/>
      <c r="C961" s="98"/>
      <c r="D961" s="98"/>
      <c r="E961" s="99"/>
      <c r="F961" s="98"/>
      <c r="G961" s="98"/>
      <c r="H961" s="98"/>
      <c r="I961" s="98"/>
      <c r="J961" s="98"/>
      <c r="K961" s="98"/>
      <c r="L961" s="98"/>
      <c r="M961" s="98"/>
      <c r="N961" s="98"/>
      <c r="O961" s="98"/>
      <c r="P961" s="98"/>
      <c r="Q961" s="98"/>
      <c r="R961" s="98"/>
      <c r="S961" s="98"/>
      <c r="T961" s="98"/>
      <c r="U961" s="98"/>
      <c r="V961" s="98"/>
      <c r="W961" s="98"/>
      <c r="X961" s="98"/>
      <c r="Y961" s="98"/>
      <c r="Z961" s="98"/>
      <c r="AA961" s="98"/>
    </row>
    <row r="962">
      <c r="A962" s="98"/>
      <c r="B962" s="69"/>
      <c r="C962" s="98"/>
      <c r="D962" s="98"/>
      <c r="E962" s="99"/>
      <c r="F962" s="98"/>
      <c r="G962" s="98"/>
      <c r="H962" s="98"/>
      <c r="I962" s="98"/>
      <c r="J962" s="98"/>
      <c r="K962" s="98"/>
      <c r="L962" s="98"/>
      <c r="M962" s="98"/>
      <c r="N962" s="98"/>
      <c r="O962" s="98"/>
      <c r="P962" s="98"/>
      <c r="Q962" s="98"/>
      <c r="R962" s="98"/>
      <c r="S962" s="98"/>
      <c r="T962" s="98"/>
      <c r="U962" s="98"/>
      <c r="V962" s="98"/>
      <c r="W962" s="98"/>
      <c r="X962" s="98"/>
      <c r="Y962" s="98"/>
      <c r="Z962" s="98"/>
      <c r="AA962" s="98"/>
    </row>
    <row r="963">
      <c r="A963" s="98"/>
      <c r="B963" s="69"/>
      <c r="C963" s="98"/>
      <c r="D963" s="98"/>
      <c r="E963" s="99"/>
      <c r="F963" s="98"/>
      <c r="G963" s="98"/>
      <c r="H963" s="98"/>
      <c r="I963" s="98"/>
      <c r="J963" s="98"/>
      <c r="K963" s="98"/>
      <c r="L963" s="98"/>
      <c r="M963" s="98"/>
      <c r="N963" s="98"/>
      <c r="O963" s="98"/>
      <c r="P963" s="98"/>
      <c r="Q963" s="98"/>
      <c r="R963" s="98"/>
      <c r="S963" s="98"/>
      <c r="T963" s="98"/>
      <c r="U963" s="98"/>
      <c r="V963" s="98"/>
      <c r="W963" s="98"/>
      <c r="X963" s="98"/>
      <c r="Y963" s="98"/>
      <c r="Z963" s="98"/>
      <c r="AA963" s="98"/>
    </row>
    <row r="964">
      <c r="A964" s="98"/>
      <c r="B964" s="69"/>
      <c r="C964" s="98"/>
      <c r="D964" s="98"/>
      <c r="E964" s="99"/>
      <c r="F964" s="98"/>
      <c r="G964" s="98"/>
      <c r="H964" s="98"/>
      <c r="I964" s="98"/>
      <c r="J964" s="98"/>
      <c r="K964" s="98"/>
      <c r="L964" s="98"/>
      <c r="M964" s="98"/>
      <c r="N964" s="98"/>
      <c r="O964" s="98"/>
      <c r="P964" s="98"/>
      <c r="Q964" s="98"/>
      <c r="R964" s="98"/>
      <c r="S964" s="98"/>
      <c r="T964" s="98"/>
      <c r="U964" s="98"/>
      <c r="V964" s="98"/>
      <c r="W964" s="98"/>
      <c r="X964" s="98"/>
      <c r="Y964" s="98"/>
      <c r="Z964" s="98"/>
      <c r="AA964" s="98"/>
    </row>
    <row r="965">
      <c r="A965" s="98"/>
      <c r="B965" s="69"/>
      <c r="C965" s="98"/>
      <c r="D965" s="98"/>
      <c r="E965" s="99"/>
      <c r="F965" s="98"/>
      <c r="G965" s="98"/>
      <c r="H965" s="98"/>
      <c r="I965" s="98"/>
      <c r="J965" s="98"/>
      <c r="K965" s="98"/>
      <c r="L965" s="98"/>
      <c r="M965" s="98"/>
      <c r="N965" s="98"/>
      <c r="O965" s="98"/>
      <c r="P965" s="98"/>
      <c r="Q965" s="98"/>
      <c r="R965" s="98"/>
      <c r="S965" s="98"/>
      <c r="T965" s="98"/>
      <c r="U965" s="98"/>
      <c r="V965" s="98"/>
      <c r="W965" s="98"/>
      <c r="X965" s="98"/>
      <c r="Y965" s="98"/>
      <c r="Z965" s="98"/>
      <c r="AA965" s="98"/>
    </row>
    <row r="966">
      <c r="A966" s="98"/>
      <c r="B966" s="69"/>
      <c r="C966" s="98"/>
      <c r="D966" s="98"/>
      <c r="E966" s="99"/>
      <c r="F966" s="98"/>
      <c r="G966" s="98"/>
      <c r="H966" s="98"/>
      <c r="I966" s="98"/>
      <c r="J966" s="98"/>
      <c r="K966" s="98"/>
      <c r="L966" s="98"/>
      <c r="M966" s="98"/>
      <c r="N966" s="98"/>
      <c r="O966" s="98"/>
      <c r="P966" s="98"/>
      <c r="Q966" s="98"/>
      <c r="R966" s="98"/>
      <c r="S966" s="98"/>
      <c r="T966" s="98"/>
      <c r="U966" s="98"/>
      <c r="V966" s="98"/>
      <c r="W966" s="98"/>
      <c r="X966" s="98"/>
      <c r="Y966" s="98"/>
      <c r="Z966" s="98"/>
      <c r="AA966" s="98"/>
    </row>
    <row r="967">
      <c r="A967" s="98"/>
      <c r="B967" s="69"/>
      <c r="C967" s="98"/>
      <c r="D967" s="98"/>
      <c r="E967" s="99"/>
      <c r="F967" s="98"/>
      <c r="G967" s="98"/>
      <c r="H967" s="98"/>
      <c r="I967" s="98"/>
      <c r="J967" s="98"/>
      <c r="K967" s="98"/>
      <c r="L967" s="98"/>
      <c r="M967" s="98"/>
      <c r="N967" s="98"/>
      <c r="O967" s="98"/>
      <c r="P967" s="98"/>
      <c r="Q967" s="98"/>
      <c r="R967" s="98"/>
      <c r="S967" s="98"/>
      <c r="T967" s="98"/>
      <c r="U967" s="98"/>
      <c r="V967" s="98"/>
      <c r="W967" s="98"/>
      <c r="X967" s="98"/>
      <c r="Y967" s="98"/>
      <c r="Z967" s="98"/>
      <c r="AA967" s="98"/>
    </row>
    <row r="968">
      <c r="A968" s="98"/>
      <c r="B968" s="69"/>
      <c r="C968" s="98"/>
      <c r="D968" s="98"/>
      <c r="E968" s="99"/>
      <c r="F968" s="98"/>
      <c r="G968" s="98"/>
      <c r="H968" s="98"/>
      <c r="I968" s="98"/>
      <c r="J968" s="98"/>
      <c r="K968" s="98"/>
      <c r="L968" s="98"/>
      <c r="M968" s="98"/>
      <c r="N968" s="98"/>
      <c r="O968" s="98"/>
      <c r="P968" s="98"/>
      <c r="Q968" s="98"/>
      <c r="R968" s="98"/>
      <c r="S968" s="98"/>
      <c r="T968" s="98"/>
      <c r="U968" s="98"/>
      <c r="V968" s="98"/>
      <c r="W968" s="98"/>
      <c r="X968" s="98"/>
      <c r="Y968" s="98"/>
      <c r="Z968" s="98"/>
      <c r="AA968" s="98"/>
    </row>
    <row r="969">
      <c r="A969" s="98"/>
      <c r="B969" s="69"/>
      <c r="C969" s="98"/>
      <c r="D969" s="98"/>
      <c r="E969" s="99"/>
      <c r="F969" s="98"/>
      <c r="G969" s="98"/>
      <c r="H969" s="98"/>
      <c r="I969" s="98"/>
      <c r="J969" s="98"/>
      <c r="K969" s="98"/>
      <c r="L969" s="98"/>
      <c r="M969" s="98"/>
      <c r="N969" s="98"/>
      <c r="O969" s="98"/>
      <c r="P969" s="98"/>
      <c r="Q969" s="98"/>
      <c r="R969" s="98"/>
      <c r="S969" s="98"/>
      <c r="T969" s="98"/>
      <c r="U969" s="98"/>
      <c r="V969" s="98"/>
      <c r="W969" s="98"/>
      <c r="X969" s="98"/>
      <c r="Y969" s="98"/>
      <c r="Z969" s="98"/>
      <c r="AA969" s="98"/>
    </row>
    <row r="970">
      <c r="A970" s="98"/>
      <c r="B970" s="69"/>
      <c r="C970" s="98"/>
      <c r="D970" s="98"/>
      <c r="E970" s="99"/>
      <c r="F970" s="98"/>
      <c r="G970" s="98"/>
      <c r="H970" s="98"/>
      <c r="I970" s="98"/>
      <c r="J970" s="98"/>
      <c r="K970" s="98"/>
      <c r="L970" s="98"/>
      <c r="M970" s="98"/>
      <c r="N970" s="98"/>
      <c r="O970" s="98"/>
      <c r="P970" s="98"/>
      <c r="Q970" s="98"/>
      <c r="R970" s="98"/>
      <c r="S970" s="98"/>
      <c r="T970" s="98"/>
      <c r="U970" s="98"/>
      <c r="V970" s="98"/>
      <c r="W970" s="98"/>
      <c r="X970" s="98"/>
      <c r="Y970" s="98"/>
      <c r="Z970" s="98"/>
      <c r="AA970" s="98"/>
    </row>
    <row r="971">
      <c r="A971" s="98"/>
      <c r="B971" s="69"/>
      <c r="C971" s="98"/>
      <c r="D971" s="98"/>
      <c r="E971" s="99"/>
      <c r="F971" s="98"/>
      <c r="G971" s="98"/>
      <c r="H971" s="98"/>
      <c r="I971" s="98"/>
      <c r="J971" s="98"/>
      <c r="K971" s="98"/>
      <c r="L971" s="98"/>
      <c r="M971" s="98"/>
      <c r="N971" s="98"/>
      <c r="O971" s="98"/>
      <c r="P971" s="98"/>
      <c r="Q971" s="98"/>
      <c r="R971" s="98"/>
      <c r="S971" s="98"/>
      <c r="T971" s="98"/>
      <c r="U971" s="98"/>
      <c r="V971" s="98"/>
      <c r="W971" s="98"/>
      <c r="X971" s="98"/>
      <c r="Y971" s="98"/>
      <c r="Z971" s="98"/>
      <c r="AA971" s="98"/>
    </row>
    <row r="972">
      <c r="A972" s="98"/>
      <c r="B972" s="69"/>
      <c r="C972" s="98"/>
      <c r="D972" s="98"/>
      <c r="E972" s="99"/>
      <c r="F972" s="98"/>
      <c r="G972" s="98"/>
      <c r="H972" s="98"/>
      <c r="I972" s="98"/>
      <c r="J972" s="98"/>
      <c r="K972" s="98"/>
      <c r="L972" s="98"/>
      <c r="M972" s="98"/>
      <c r="N972" s="98"/>
      <c r="O972" s="98"/>
      <c r="P972" s="98"/>
      <c r="Q972" s="98"/>
      <c r="R972" s="98"/>
      <c r="S972" s="98"/>
      <c r="T972" s="98"/>
      <c r="U972" s="98"/>
      <c r="V972" s="98"/>
      <c r="W972" s="98"/>
      <c r="X972" s="98"/>
      <c r="Y972" s="98"/>
      <c r="Z972" s="98"/>
      <c r="AA972" s="98"/>
    </row>
    <row r="973">
      <c r="A973" s="98"/>
      <c r="B973" s="69"/>
      <c r="C973" s="98"/>
      <c r="D973" s="98"/>
      <c r="E973" s="99"/>
      <c r="F973" s="98"/>
      <c r="G973" s="98"/>
      <c r="H973" s="98"/>
      <c r="I973" s="98"/>
      <c r="J973" s="98"/>
      <c r="K973" s="98"/>
      <c r="L973" s="98"/>
      <c r="M973" s="98"/>
      <c r="N973" s="98"/>
      <c r="O973" s="98"/>
      <c r="P973" s="98"/>
      <c r="Q973" s="98"/>
      <c r="R973" s="98"/>
      <c r="S973" s="98"/>
      <c r="T973" s="98"/>
      <c r="U973" s="98"/>
      <c r="V973" s="98"/>
      <c r="W973" s="98"/>
      <c r="X973" s="98"/>
      <c r="Y973" s="98"/>
      <c r="Z973" s="98"/>
      <c r="AA973" s="98"/>
    </row>
    <row r="974">
      <c r="A974" s="98"/>
      <c r="B974" s="69"/>
      <c r="C974" s="98"/>
      <c r="D974" s="98"/>
      <c r="E974" s="99"/>
      <c r="F974" s="98"/>
      <c r="G974" s="98"/>
      <c r="H974" s="98"/>
      <c r="I974" s="98"/>
      <c r="J974" s="98"/>
      <c r="K974" s="98"/>
      <c r="L974" s="98"/>
      <c r="M974" s="98"/>
      <c r="N974" s="98"/>
      <c r="O974" s="98"/>
      <c r="P974" s="98"/>
      <c r="Q974" s="98"/>
      <c r="R974" s="98"/>
      <c r="S974" s="98"/>
      <c r="T974" s="98"/>
      <c r="U974" s="98"/>
      <c r="V974" s="98"/>
      <c r="W974" s="98"/>
      <c r="X974" s="98"/>
      <c r="Y974" s="98"/>
      <c r="Z974" s="98"/>
      <c r="AA974" s="98"/>
    </row>
    <row r="975">
      <c r="A975" s="98"/>
      <c r="B975" s="69"/>
      <c r="C975" s="98"/>
      <c r="D975" s="98"/>
      <c r="E975" s="99"/>
      <c r="F975" s="98"/>
      <c r="G975" s="98"/>
      <c r="H975" s="98"/>
      <c r="I975" s="98"/>
      <c r="J975" s="98"/>
      <c r="K975" s="98"/>
      <c r="L975" s="98"/>
      <c r="M975" s="98"/>
      <c r="N975" s="98"/>
      <c r="O975" s="98"/>
      <c r="P975" s="98"/>
      <c r="Q975" s="98"/>
      <c r="R975" s="98"/>
      <c r="S975" s="98"/>
      <c r="T975" s="98"/>
      <c r="U975" s="98"/>
      <c r="V975" s="98"/>
      <c r="W975" s="98"/>
      <c r="X975" s="98"/>
      <c r="Y975" s="98"/>
      <c r="Z975" s="98"/>
      <c r="AA975" s="98"/>
    </row>
    <row r="976">
      <c r="A976" s="98"/>
      <c r="B976" s="69"/>
      <c r="C976" s="98"/>
      <c r="D976" s="98"/>
      <c r="E976" s="99"/>
      <c r="F976" s="98"/>
      <c r="G976" s="98"/>
      <c r="H976" s="98"/>
      <c r="I976" s="98"/>
      <c r="J976" s="98"/>
      <c r="K976" s="98"/>
      <c r="L976" s="98"/>
      <c r="M976" s="98"/>
      <c r="N976" s="98"/>
      <c r="O976" s="98"/>
      <c r="P976" s="98"/>
      <c r="Q976" s="98"/>
      <c r="R976" s="98"/>
      <c r="S976" s="98"/>
      <c r="T976" s="98"/>
      <c r="U976" s="98"/>
      <c r="V976" s="98"/>
      <c r="W976" s="98"/>
      <c r="X976" s="98"/>
      <c r="Y976" s="98"/>
      <c r="Z976" s="98"/>
      <c r="AA976" s="98"/>
    </row>
    <row r="977">
      <c r="A977" s="98"/>
      <c r="B977" s="69"/>
      <c r="C977" s="98"/>
      <c r="D977" s="98"/>
      <c r="E977" s="99"/>
      <c r="F977" s="98"/>
      <c r="G977" s="98"/>
      <c r="H977" s="98"/>
      <c r="I977" s="98"/>
      <c r="J977" s="98"/>
      <c r="K977" s="98"/>
      <c r="L977" s="98"/>
      <c r="M977" s="98"/>
      <c r="N977" s="98"/>
      <c r="O977" s="98"/>
      <c r="P977" s="98"/>
      <c r="Q977" s="98"/>
      <c r="R977" s="98"/>
      <c r="S977" s="98"/>
      <c r="T977" s="98"/>
      <c r="U977" s="98"/>
      <c r="V977" s="98"/>
      <c r="W977" s="98"/>
      <c r="X977" s="98"/>
      <c r="Y977" s="98"/>
      <c r="Z977" s="98"/>
      <c r="AA977" s="98"/>
    </row>
    <row r="978">
      <c r="A978" s="98"/>
      <c r="B978" s="69"/>
      <c r="C978" s="98"/>
      <c r="D978" s="98"/>
      <c r="E978" s="99"/>
      <c r="F978" s="98"/>
      <c r="G978" s="98"/>
      <c r="H978" s="98"/>
      <c r="I978" s="98"/>
      <c r="J978" s="98"/>
      <c r="K978" s="98"/>
      <c r="L978" s="98"/>
      <c r="M978" s="98"/>
      <c r="N978" s="98"/>
      <c r="O978" s="98"/>
      <c r="P978" s="98"/>
      <c r="Q978" s="98"/>
      <c r="R978" s="98"/>
      <c r="S978" s="98"/>
      <c r="T978" s="98"/>
      <c r="U978" s="98"/>
      <c r="V978" s="98"/>
      <c r="W978" s="98"/>
      <c r="X978" s="98"/>
      <c r="Y978" s="98"/>
      <c r="Z978" s="98"/>
      <c r="AA978" s="98"/>
    </row>
    <row r="979">
      <c r="A979" s="98"/>
      <c r="B979" s="69"/>
      <c r="C979" s="98"/>
      <c r="D979" s="98"/>
      <c r="E979" s="99"/>
      <c r="F979" s="98"/>
      <c r="G979" s="98"/>
      <c r="H979" s="98"/>
      <c r="I979" s="98"/>
      <c r="J979" s="98"/>
      <c r="K979" s="98"/>
      <c r="L979" s="98"/>
      <c r="M979" s="98"/>
      <c r="N979" s="98"/>
      <c r="O979" s="98"/>
      <c r="P979" s="98"/>
      <c r="Q979" s="98"/>
      <c r="R979" s="98"/>
      <c r="S979" s="98"/>
      <c r="T979" s="98"/>
      <c r="U979" s="98"/>
      <c r="V979" s="98"/>
      <c r="W979" s="98"/>
      <c r="X979" s="98"/>
      <c r="Y979" s="98"/>
      <c r="Z979" s="98"/>
      <c r="AA979" s="98"/>
    </row>
    <row r="980">
      <c r="A980" s="98"/>
      <c r="B980" s="69"/>
      <c r="C980" s="98"/>
      <c r="D980" s="98"/>
      <c r="E980" s="99"/>
      <c r="F980" s="98"/>
      <c r="G980" s="98"/>
      <c r="H980" s="98"/>
      <c r="I980" s="98"/>
      <c r="J980" s="98"/>
      <c r="K980" s="98"/>
      <c r="L980" s="98"/>
      <c r="M980" s="98"/>
      <c r="N980" s="98"/>
      <c r="O980" s="98"/>
      <c r="P980" s="98"/>
      <c r="Q980" s="98"/>
      <c r="R980" s="98"/>
      <c r="S980" s="98"/>
      <c r="T980" s="98"/>
      <c r="U980" s="98"/>
      <c r="V980" s="98"/>
      <c r="W980" s="98"/>
      <c r="X980" s="98"/>
      <c r="Y980" s="98"/>
      <c r="Z980" s="98"/>
      <c r="AA980" s="98"/>
    </row>
    <row r="981">
      <c r="A981" s="98"/>
      <c r="B981" s="69"/>
      <c r="C981" s="98"/>
      <c r="D981" s="98"/>
      <c r="E981" s="99"/>
      <c r="F981" s="98"/>
      <c r="G981" s="98"/>
      <c r="H981" s="98"/>
      <c r="I981" s="98"/>
      <c r="J981" s="98"/>
      <c r="K981" s="98"/>
      <c r="L981" s="98"/>
      <c r="M981" s="98"/>
      <c r="N981" s="98"/>
      <c r="O981" s="98"/>
      <c r="P981" s="98"/>
      <c r="Q981" s="98"/>
      <c r="R981" s="98"/>
      <c r="S981" s="98"/>
      <c r="T981" s="98"/>
      <c r="U981" s="98"/>
      <c r="V981" s="98"/>
      <c r="W981" s="98"/>
      <c r="X981" s="98"/>
      <c r="Y981" s="98"/>
      <c r="Z981" s="98"/>
      <c r="AA981" s="98"/>
    </row>
    <row r="982">
      <c r="A982" s="98"/>
      <c r="B982" s="69"/>
      <c r="C982" s="98"/>
      <c r="D982" s="98"/>
      <c r="E982" s="99"/>
      <c r="F982" s="98"/>
      <c r="G982" s="98"/>
      <c r="H982" s="98"/>
      <c r="I982" s="98"/>
      <c r="J982" s="98"/>
      <c r="K982" s="98"/>
      <c r="L982" s="98"/>
      <c r="M982" s="98"/>
      <c r="N982" s="98"/>
      <c r="O982" s="98"/>
      <c r="P982" s="98"/>
      <c r="Q982" s="98"/>
      <c r="R982" s="98"/>
      <c r="S982" s="98"/>
      <c r="T982" s="98"/>
      <c r="U982" s="98"/>
      <c r="V982" s="98"/>
      <c r="W982" s="98"/>
      <c r="X982" s="98"/>
      <c r="Y982" s="98"/>
      <c r="Z982" s="98"/>
      <c r="AA982" s="98"/>
    </row>
    <row r="983">
      <c r="A983" s="98"/>
      <c r="B983" s="69"/>
      <c r="C983" s="98"/>
      <c r="D983" s="98"/>
      <c r="E983" s="99"/>
      <c r="F983" s="98"/>
      <c r="G983" s="98"/>
      <c r="H983" s="98"/>
      <c r="I983" s="98"/>
      <c r="J983" s="98"/>
      <c r="K983" s="98"/>
      <c r="L983" s="98"/>
      <c r="M983" s="98"/>
      <c r="N983" s="98"/>
      <c r="O983" s="98"/>
      <c r="P983" s="98"/>
      <c r="Q983" s="98"/>
      <c r="R983" s="98"/>
      <c r="S983" s="98"/>
      <c r="T983" s="98"/>
      <c r="U983" s="98"/>
      <c r="V983" s="98"/>
      <c r="W983" s="98"/>
      <c r="X983" s="98"/>
      <c r="Y983" s="98"/>
      <c r="Z983" s="98"/>
      <c r="AA983" s="98"/>
    </row>
    <row r="984">
      <c r="A984" s="98"/>
      <c r="B984" s="69"/>
      <c r="C984" s="98"/>
      <c r="D984" s="98"/>
      <c r="E984" s="99"/>
      <c r="F984" s="98"/>
      <c r="G984" s="98"/>
      <c r="H984" s="98"/>
      <c r="I984" s="98"/>
      <c r="J984" s="98"/>
      <c r="K984" s="98"/>
      <c r="L984" s="98"/>
      <c r="M984" s="98"/>
      <c r="N984" s="98"/>
      <c r="O984" s="98"/>
      <c r="P984" s="98"/>
      <c r="Q984" s="98"/>
      <c r="R984" s="98"/>
      <c r="S984" s="98"/>
      <c r="T984" s="98"/>
      <c r="U984" s="98"/>
      <c r="V984" s="98"/>
      <c r="W984" s="98"/>
      <c r="X984" s="98"/>
      <c r="Y984" s="98"/>
      <c r="Z984" s="98"/>
      <c r="AA984" s="98"/>
    </row>
    <row r="985">
      <c r="A985" s="98"/>
      <c r="B985" s="69"/>
      <c r="C985" s="98"/>
      <c r="D985" s="98"/>
      <c r="E985" s="99"/>
      <c r="F985" s="98"/>
      <c r="G985" s="98"/>
      <c r="H985" s="98"/>
      <c r="I985" s="98"/>
      <c r="J985" s="98"/>
      <c r="K985" s="98"/>
      <c r="L985" s="98"/>
      <c r="M985" s="98"/>
      <c r="N985" s="98"/>
      <c r="O985" s="98"/>
      <c r="P985" s="98"/>
      <c r="Q985" s="98"/>
      <c r="R985" s="98"/>
      <c r="S985" s="98"/>
      <c r="T985" s="98"/>
      <c r="U985" s="98"/>
      <c r="V985" s="98"/>
      <c r="W985" s="98"/>
      <c r="X985" s="98"/>
      <c r="Y985" s="98"/>
      <c r="Z985" s="98"/>
      <c r="AA985" s="98"/>
    </row>
    <row r="986">
      <c r="A986" s="98"/>
      <c r="B986" s="69"/>
      <c r="C986" s="98"/>
      <c r="D986" s="98"/>
      <c r="E986" s="99"/>
      <c r="F986" s="98"/>
      <c r="G986" s="98"/>
      <c r="H986" s="98"/>
      <c r="I986" s="98"/>
      <c r="J986" s="98"/>
      <c r="K986" s="98"/>
      <c r="L986" s="98"/>
      <c r="M986" s="98"/>
      <c r="N986" s="98"/>
      <c r="O986" s="98"/>
      <c r="P986" s="98"/>
      <c r="Q986" s="98"/>
      <c r="R986" s="98"/>
      <c r="S986" s="98"/>
      <c r="T986" s="98"/>
      <c r="U986" s="98"/>
      <c r="V986" s="98"/>
      <c r="W986" s="98"/>
      <c r="X986" s="98"/>
      <c r="Y986" s="98"/>
      <c r="Z986" s="98"/>
      <c r="AA986" s="98"/>
    </row>
    <row r="987">
      <c r="A987" s="98"/>
      <c r="B987" s="69"/>
      <c r="C987" s="98"/>
      <c r="D987" s="98"/>
      <c r="E987" s="99"/>
      <c r="F987" s="98"/>
      <c r="G987" s="98"/>
      <c r="H987" s="98"/>
      <c r="I987" s="98"/>
      <c r="J987" s="98"/>
      <c r="K987" s="98"/>
      <c r="L987" s="98"/>
      <c r="M987" s="98"/>
      <c r="N987" s="98"/>
      <c r="O987" s="98"/>
      <c r="P987" s="98"/>
      <c r="Q987" s="98"/>
      <c r="R987" s="98"/>
      <c r="S987" s="98"/>
      <c r="T987" s="98"/>
      <c r="U987" s="98"/>
      <c r="V987" s="98"/>
      <c r="W987" s="98"/>
      <c r="X987" s="98"/>
      <c r="Y987" s="98"/>
      <c r="Z987" s="98"/>
      <c r="AA987" s="98"/>
    </row>
    <row r="988">
      <c r="A988" s="98"/>
      <c r="B988" s="69"/>
      <c r="C988" s="98"/>
      <c r="D988" s="98"/>
      <c r="E988" s="99"/>
      <c r="F988" s="98"/>
      <c r="G988" s="98"/>
      <c r="H988" s="98"/>
      <c r="I988" s="98"/>
      <c r="J988" s="98"/>
      <c r="K988" s="98"/>
      <c r="L988" s="98"/>
      <c r="M988" s="98"/>
      <c r="N988" s="98"/>
      <c r="O988" s="98"/>
      <c r="P988" s="98"/>
      <c r="Q988" s="98"/>
      <c r="R988" s="98"/>
      <c r="S988" s="98"/>
      <c r="T988" s="98"/>
      <c r="U988" s="98"/>
      <c r="V988" s="98"/>
      <c r="W988" s="98"/>
      <c r="X988" s="98"/>
      <c r="Y988" s="98"/>
      <c r="Z988" s="98"/>
      <c r="AA988" s="98"/>
    </row>
    <row r="989">
      <c r="A989" s="98"/>
      <c r="B989" s="69"/>
      <c r="C989" s="98"/>
      <c r="D989" s="98"/>
      <c r="E989" s="99"/>
      <c r="F989" s="98"/>
      <c r="G989" s="98"/>
      <c r="H989" s="98"/>
      <c r="I989" s="98"/>
      <c r="J989" s="98"/>
      <c r="K989" s="98"/>
      <c r="L989" s="98"/>
      <c r="M989" s="98"/>
      <c r="N989" s="98"/>
      <c r="O989" s="98"/>
      <c r="P989" s="98"/>
      <c r="Q989" s="98"/>
      <c r="R989" s="98"/>
      <c r="S989" s="98"/>
      <c r="T989" s="98"/>
      <c r="U989" s="98"/>
      <c r="V989" s="98"/>
      <c r="W989" s="98"/>
      <c r="X989" s="98"/>
      <c r="Y989" s="98"/>
      <c r="Z989" s="98"/>
      <c r="AA989" s="98"/>
    </row>
    <row r="990">
      <c r="A990" s="98"/>
      <c r="B990" s="69"/>
      <c r="C990" s="98"/>
      <c r="D990" s="98"/>
      <c r="E990" s="99"/>
      <c r="F990" s="98"/>
      <c r="G990" s="98"/>
      <c r="H990" s="98"/>
      <c r="I990" s="98"/>
      <c r="J990" s="98"/>
      <c r="K990" s="98"/>
      <c r="L990" s="98"/>
      <c r="M990" s="98"/>
      <c r="N990" s="98"/>
      <c r="O990" s="98"/>
      <c r="P990" s="98"/>
      <c r="Q990" s="98"/>
      <c r="R990" s="98"/>
      <c r="S990" s="98"/>
      <c r="T990" s="98"/>
      <c r="U990" s="98"/>
      <c r="V990" s="98"/>
      <c r="W990" s="98"/>
      <c r="X990" s="98"/>
      <c r="Y990" s="98"/>
      <c r="Z990" s="98"/>
      <c r="AA990" s="98"/>
    </row>
    <row r="991">
      <c r="A991" s="98"/>
      <c r="B991" s="69"/>
      <c r="C991" s="98"/>
      <c r="D991" s="98"/>
      <c r="E991" s="99"/>
      <c r="F991" s="98"/>
      <c r="G991" s="98"/>
      <c r="H991" s="98"/>
      <c r="I991" s="98"/>
      <c r="J991" s="98"/>
      <c r="K991" s="98"/>
      <c r="L991" s="98"/>
      <c r="M991" s="98"/>
      <c r="N991" s="98"/>
      <c r="O991" s="98"/>
      <c r="P991" s="98"/>
      <c r="Q991" s="98"/>
      <c r="R991" s="98"/>
      <c r="S991" s="98"/>
      <c r="T991" s="98"/>
      <c r="U991" s="98"/>
      <c r="V991" s="98"/>
      <c r="W991" s="98"/>
      <c r="X991" s="98"/>
      <c r="Y991" s="98"/>
      <c r="Z991" s="98"/>
      <c r="AA991" s="98"/>
    </row>
    <row r="992">
      <c r="A992" s="98"/>
      <c r="B992" s="69"/>
      <c r="C992" s="98"/>
      <c r="D992" s="98"/>
      <c r="E992" s="99"/>
      <c r="F992" s="98"/>
      <c r="G992" s="98"/>
      <c r="H992" s="98"/>
      <c r="I992" s="98"/>
      <c r="J992" s="98"/>
      <c r="K992" s="98"/>
      <c r="L992" s="98"/>
      <c r="M992" s="98"/>
      <c r="N992" s="98"/>
      <c r="O992" s="98"/>
      <c r="P992" s="98"/>
      <c r="Q992" s="98"/>
      <c r="R992" s="98"/>
      <c r="S992" s="98"/>
      <c r="T992" s="98"/>
      <c r="U992" s="98"/>
      <c r="V992" s="98"/>
      <c r="W992" s="98"/>
      <c r="X992" s="98"/>
      <c r="Y992" s="98"/>
      <c r="Z992" s="98"/>
      <c r="AA992" s="98"/>
    </row>
    <row r="993">
      <c r="A993" s="98"/>
      <c r="B993" s="69"/>
      <c r="C993" s="98"/>
      <c r="D993" s="98"/>
      <c r="E993" s="99"/>
      <c r="F993" s="98"/>
      <c r="G993" s="98"/>
      <c r="H993" s="98"/>
      <c r="I993" s="98"/>
      <c r="J993" s="98"/>
      <c r="K993" s="98"/>
      <c r="L993" s="98"/>
      <c r="M993" s="98"/>
      <c r="N993" s="98"/>
      <c r="O993" s="98"/>
      <c r="P993" s="98"/>
      <c r="Q993" s="98"/>
      <c r="R993" s="98"/>
      <c r="S993" s="98"/>
      <c r="T993" s="98"/>
      <c r="U993" s="98"/>
      <c r="V993" s="98"/>
      <c r="W993" s="98"/>
      <c r="X993" s="98"/>
      <c r="Y993" s="98"/>
      <c r="Z993" s="98"/>
      <c r="AA993" s="98"/>
    </row>
    <row r="994">
      <c r="A994" s="98"/>
      <c r="B994" s="69"/>
      <c r="C994" s="98"/>
      <c r="D994" s="98"/>
      <c r="E994" s="99"/>
      <c r="F994" s="98"/>
      <c r="G994" s="98"/>
      <c r="H994" s="98"/>
      <c r="I994" s="98"/>
      <c r="J994" s="98"/>
      <c r="K994" s="98"/>
      <c r="L994" s="98"/>
      <c r="M994" s="98"/>
      <c r="N994" s="98"/>
      <c r="O994" s="98"/>
      <c r="P994" s="98"/>
      <c r="Q994" s="98"/>
      <c r="R994" s="98"/>
      <c r="S994" s="98"/>
      <c r="T994" s="98"/>
      <c r="U994" s="98"/>
      <c r="V994" s="98"/>
      <c r="W994" s="98"/>
      <c r="X994" s="98"/>
      <c r="Y994" s="98"/>
      <c r="Z994" s="98"/>
      <c r="AA994" s="98"/>
    </row>
    <row r="995">
      <c r="A995" s="98"/>
      <c r="B995" s="69"/>
      <c r="C995" s="98"/>
      <c r="D995" s="98"/>
      <c r="E995" s="99"/>
      <c r="F995" s="98"/>
      <c r="G995" s="98"/>
      <c r="H995" s="98"/>
      <c r="I995" s="98"/>
      <c r="J995" s="98"/>
      <c r="K995" s="98"/>
      <c r="L995" s="98"/>
      <c r="M995" s="98"/>
      <c r="N995" s="98"/>
      <c r="O995" s="98"/>
      <c r="P995" s="98"/>
      <c r="Q995" s="98"/>
      <c r="R995" s="98"/>
      <c r="S995" s="98"/>
      <c r="T995" s="98"/>
      <c r="U995" s="98"/>
      <c r="V995" s="98"/>
      <c r="W995" s="98"/>
      <c r="X995" s="98"/>
      <c r="Y995" s="98"/>
      <c r="Z995" s="98"/>
      <c r="AA995" s="98"/>
    </row>
    <row r="996">
      <c r="A996" s="98"/>
      <c r="B996" s="69"/>
      <c r="C996" s="98"/>
      <c r="D996" s="98"/>
      <c r="E996" s="99"/>
      <c r="F996" s="98"/>
      <c r="G996" s="98"/>
      <c r="H996" s="98"/>
      <c r="I996" s="98"/>
      <c r="J996" s="98"/>
      <c r="K996" s="98"/>
      <c r="L996" s="98"/>
      <c r="M996" s="98"/>
      <c r="N996" s="98"/>
      <c r="O996" s="98"/>
      <c r="P996" s="98"/>
      <c r="Q996" s="98"/>
      <c r="R996" s="98"/>
      <c r="S996" s="98"/>
      <c r="T996" s="98"/>
      <c r="U996" s="98"/>
      <c r="V996" s="98"/>
      <c r="W996" s="98"/>
      <c r="X996" s="98"/>
      <c r="Y996" s="98"/>
      <c r="Z996" s="98"/>
      <c r="AA996" s="98"/>
    </row>
    <row r="997">
      <c r="A997" s="98"/>
      <c r="B997" s="69"/>
      <c r="C997" s="98"/>
      <c r="D997" s="98"/>
      <c r="E997" s="99"/>
      <c r="F997" s="98"/>
      <c r="G997" s="98"/>
      <c r="H997" s="98"/>
      <c r="I997" s="98"/>
      <c r="J997" s="98"/>
      <c r="K997" s="98"/>
      <c r="L997" s="98"/>
      <c r="M997" s="98"/>
      <c r="N997" s="98"/>
      <c r="O997" s="98"/>
      <c r="P997" s="98"/>
      <c r="Q997" s="98"/>
      <c r="R997" s="98"/>
      <c r="S997" s="98"/>
      <c r="T997" s="98"/>
      <c r="U997" s="98"/>
      <c r="V997" s="98"/>
      <c r="W997" s="98"/>
      <c r="X997" s="98"/>
      <c r="Y997" s="98"/>
      <c r="Z997" s="98"/>
      <c r="AA997" s="98"/>
    </row>
    <row r="998">
      <c r="A998" s="98"/>
      <c r="B998" s="69"/>
      <c r="C998" s="98"/>
      <c r="D998" s="98"/>
      <c r="E998" s="99"/>
      <c r="F998" s="98"/>
      <c r="G998" s="98"/>
      <c r="H998" s="98"/>
      <c r="I998" s="98"/>
      <c r="J998" s="98"/>
      <c r="K998" s="98"/>
      <c r="L998" s="98"/>
      <c r="M998" s="98"/>
      <c r="N998" s="98"/>
      <c r="O998" s="98"/>
      <c r="P998" s="98"/>
      <c r="Q998" s="98"/>
      <c r="R998" s="98"/>
      <c r="S998" s="98"/>
      <c r="T998" s="98"/>
      <c r="U998" s="98"/>
      <c r="V998" s="98"/>
      <c r="W998" s="98"/>
      <c r="X998" s="98"/>
      <c r="Y998" s="98"/>
      <c r="Z998" s="98"/>
      <c r="AA998" s="98"/>
    </row>
    <row r="999">
      <c r="A999" s="98"/>
      <c r="B999" s="69"/>
      <c r="C999" s="98"/>
      <c r="D999" s="98"/>
      <c r="E999" s="99"/>
      <c r="F999" s="98"/>
      <c r="G999" s="98"/>
      <c r="H999" s="98"/>
      <c r="I999" s="98"/>
      <c r="J999" s="98"/>
      <c r="K999" s="98"/>
      <c r="L999" s="98"/>
      <c r="M999" s="98"/>
      <c r="N999" s="98"/>
      <c r="O999" s="98"/>
      <c r="P999" s="98"/>
      <c r="Q999" s="98"/>
      <c r="R999" s="98"/>
      <c r="S999" s="98"/>
      <c r="T999" s="98"/>
      <c r="U999" s="98"/>
      <c r="V999" s="98"/>
      <c r="W999" s="98"/>
      <c r="X999" s="98"/>
      <c r="Y999" s="98"/>
      <c r="Z999" s="98"/>
      <c r="AA999" s="98"/>
    </row>
    <row r="1000">
      <c r="A1000" s="98"/>
      <c r="B1000" s="69"/>
      <c r="C1000" s="98"/>
      <c r="D1000" s="98"/>
      <c r="E1000" s="99"/>
      <c r="F1000" s="98"/>
      <c r="G1000" s="98"/>
      <c r="H1000" s="98"/>
      <c r="I1000" s="98"/>
      <c r="J1000" s="98"/>
      <c r="K1000" s="98"/>
      <c r="L1000" s="98"/>
      <c r="M1000" s="98"/>
      <c r="N1000" s="98"/>
      <c r="O1000" s="98"/>
      <c r="P1000" s="98"/>
      <c r="Q1000" s="98"/>
      <c r="R1000" s="98"/>
      <c r="S1000" s="98"/>
      <c r="T1000" s="98"/>
      <c r="U1000" s="98"/>
      <c r="V1000" s="98"/>
      <c r="W1000" s="98"/>
      <c r="X1000" s="98"/>
      <c r="Y1000" s="98"/>
      <c r="Z1000" s="98"/>
      <c r="AA1000" s="9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7.75"/>
    <col customWidth="1" min="3" max="3" width="34.38"/>
    <col customWidth="1" min="4" max="4" width="4.75"/>
    <col customWidth="1" min="5" max="5" width="37.5"/>
    <col customWidth="1" min="6" max="6" width="62.88"/>
    <col customWidth="1" min="14" max="14" width="21.0"/>
    <col customWidth="1" min="15" max="15" width="153.38"/>
  </cols>
  <sheetData>
    <row r="1">
      <c r="A1" s="104" t="s">
        <v>0</v>
      </c>
      <c r="B1" s="104" t="s">
        <v>1</v>
      </c>
      <c r="C1" s="104" t="s">
        <v>2</v>
      </c>
      <c r="D1" s="105" t="s">
        <v>3</v>
      </c>
      <c r="E1" s="104" t="s">
        <v>4</v>
      </c>
      <c r="F1" s="104" t="s">
        <v>5</v>
      </c>
      <c r="G1" s="104" t="s">
        <v>6</v>
      </c>
      <c r="H1" s="104" t="s">
        <v>7</v>
      </c>
      <c r="I1" s="104" t="s">
        <v>4535</v>
      </c>
      <c r="J1" s="104" t="s">
        <v>9</v>
      </c>
      <c r="K1" s="104" t="s">
        <v>10</v>
      </c>
      <c r="L1" s="104" t="s">
        <v>11</v>
      </c>
      <c r="M1" s="104" t="s">
        <v>12</v>
      </c>
      <c r="N1" s="104" t="s">
        <v>13</v>
      </c>
      <c r="O1" s="104" t="s">
        <v>14</v>
      </c>
      <c r="P1" s="106" t="s">
        <v>15</v>
      </c>
    </row>
    <row r="2">
      <c r="A2" s="104" t="str">
        <f>Cadastro!$A2</f>
        <v>URBS 1</v>
      </c>
      <c r="B2" s="104" t="str">
        <f>Cadastro!$B2</f>
        <v>CURITIBA</v>
      </c>
      <c r="C2" s="107" t="str">
        <f>Cadastro!$C2</f>
        <v>https://monitoramento.pm.pr.gov.br/proxy_image_1/</v>
      </c>
      <c r="D2" s="105">
        <f>Cadastro!$D2</f>
        <v>18601</v>
      </c>
      <c r="E2" s="104" t="str">
        <f>Cadastro!$E2</f>
        <v>Camera01</v>
      </c>
      <c r="F2" s="104" t="str">
        <f>Cadastro!$F2</f>
        <v>Brasilio Itibere x Com. Franco                     </v>
      </c>
      <c r="G2" s="104" t="str">
        <f>Cadastro!$G2</f>
        <v>-25.440635</v>
      </c>
      <c r="H2" s="104" t="str">
        <f>Cadastro!$H2</f>
        <v>-49.25217</v>
      </c>
      <c r="I2" s="104" t="str">
        <f>Cadastro!$I2</f>
        <v>copom_DDTQ</v>
      </c>
      <c r="J2" s="104" t="str">
        <f>Cadastro!$J2</f>
        <v>DDTQcopom</v>
      </c>
      <c r="K2" s="104" t="s">
        <v>4536</v>
      </c>
      <c r="L2" s="104" t="s">
        <v>26</v>
      </c>
      <c r="M2" s="104" t="s">
        <v>27</v>
      </c>
      <c r="N2" s="108" t="str">
        <f t="shared" ref="N2:N1126" si="1">$A2</f>
        <v>URBS 1</v>
      </c>
      <c r="O2" s="109" t="str">
        <f>Cadastro!$O2</f>
        <v>https://monitoramento.pm.pr.gov.br/proxy_image_1/Interface/Cameras/GetJPEGStream?Camera=Camera01&amp;AuthUser=copom_DDTQ&amp;AuthPass=DDTQcopom&amp;Width=1024&amp;Height=768&amp;Quality=70&amp;FPS=10&amp;ResponseFormat=Text</v>
      </c>
      <c r="P2" s="106">
        <f>Cadastro!$P2</f>
        <v>1</v>
      </c>
    </row>
    <row r="3">
      <c r="A3" s="104" t="str">
        <f>Cadastro!$A3</f>
        <v>URBS 1</v>
      </c>
      <c r="B3" s="104" t="str">
        <f>Cadastro!$B3</f>
        <v>CURITIBA</v>
      </c>
      <c r="C3" s="107" t="str">
        <f>Cadastro!$C3</f>
        <v>https://monitoramento.pm.pr.gov.br/proxy_image_1/</v>
      </c>
      <c r="D3" s="105">
        <f>Cadastro!$D3</f>
        <v>18601</v>
      </c>
      <c r="E3" s="104" t="str">
        <f>Cadastro!$E3</f>
        <v>Camera02</v>
      </c>
      <c r="F3" s="104" t="str">
        <f>Cadastro!$F3</f>
        <v>Ubaldino Amaral x Visc. Guarapuava   </v>
      </c>
      <c r="G3" s="104" t="str">
        <f>Cadastro!$G3</f>
        <v>-25.432082</v>
      </c>
      <c r="H3" s="104" t="str">
        <f>Cadastro!$H3</f>
        <v>-49.256586</v>
      </c>
      <c r="I3" s="104" t="str">
        <f>Cadastro!$I3</f>
        <v>copom_DDTQ</v>
      </c>
      <c r="J3" s="104" t="str">
        <f>Cadastro!$J3</f>
        <v>DDTQcopom</v>
      </c>
      <c r="K3" s="104" t="s">
        <v>4536</v>
      </c>
      <c r="L3" s="104" t="s">
        <v>26</v>
      </c>
      <c r="M3" s="104" t="s">
        <v>27</v>
      </c>
      <c r="N3" s="108" t="str">
        <f t="shared" si="1"/>
        <v>URBS 1</v>
      </c>
      <c r="O3" s="109" t="str">
        <f>Cadastro!$O3</f>
        <v>https://monitoramento.pm.pr.gov.br/proxy_image_1/Interface/Cameras/GetJPEGStream?Camera=Camera02&amp;AuthUser=copom_DDTQ&amp;AuthPass=DDTQcopom&amp;Width=1024&amp;Height=768&amp;Quality=70&amp;FPS=10&amp;ResponseFormat=Text</v>
      </c>
      <c r="P3" s="106">
        <f>Cadastro!$P3</f>
        <v>1</v>
      </c>
    </row>
    <row r="4">
      <c r="A4" s="104" t="str">
        <f>Cadastro!$A4</f>
        <v>URBS 1</v>
      </c>
      <c r="B4" s="104" t="str">
        <f>Cadastro!$B4</f>
        <v>CURITIBA</v>
      </c>
      <c r="C4" s="107" t="str">
        <f>Cadastro!$C4</f>
        <v>https://monitoramento.pm.pr.gov.br/proxy_image_1/</v>
      </c>
      <c r="D4" s="105">
        <f>Cadastro!$D4</f>
        <v>18601</v>
      </c>
      <c r="E4" s="104" t="str">
        <f>Cadastro!$E4</f>
        <v>Camera03</v>
      </c>
      <c r="F4" s="104" t="str">
        <f>Cadastro!$F4</f>
        <v>XV de Novembro x Jose de Alencar           </v>
      </c>
      <c r="G4" s="104" t="str">
        <f>Cadastro!$G4</f>
        <v>-25.426727</v>
      </c>
      <c r="H4" s="104" t="str">
        <f>Cadastro!$H4</f>
        <v>-49.253624</v>
      </c>
      <c r="I4" s="104" t="str">
        <f>Cadastro!$I4</f>
        <v>copom_DDTQ</v>
      </c>
      <c r="J4" s="104" t="str">
        <f>Cadastro!$J4</f>
        <v>DDTQcopom</v>
      </c>
      <c r="K4" s="104" t="s">
        <v>4536</v>
      </c>
      <c r="L4" s="104" t="s">
        <v>26</v>
      </c>
      <c r="M4" s="104" t="s">
        <v>27</v>
      </c>
      <c r="N4" s="108" t="str">
        <f t="shared" si="1"/>
        <v>URBS 1</v>
      </c>
      <c r="O4" s="109" t="str">
        <f>Cadastro!$O4</f>
        <v>https://monitoramento.pm.pr.gov.br/proxy_image_1/Interface/Cameras/GetJPEGStream?Camera=Camera03&amp;AuthUser=copom_DDTQ&amp;AuthPass=DDTQcopom&amp;Width=1024&amp;Height=768&amp;Quality=70&amp;FPS=10&amp;ResponseFormat=Text</v>
      </c>
      <c r="P4" s="106">
        <f>Cadastro!$P4</f>
        <v>1</v>
      </c>
    </row>
    <row r="5">
      <c r="A5" s="104" t="str">
        <f>Cadastro!$A5</f>
        <v>URBS 1</v>
      </c>
      <c r="B5" s="104" t="str">
        <f>Cadastro!$B5</f>
        <v>CURITIBA</v>
      </c>
      <c r="C5" s="107" t="str">
        <f>Cadastro!$C5</f>
        <v>https://monitoramento.pm.pr.gov.br/proxy_image_1/</v>
      </c>
      <c r="D5" s="105">
        <f>Cadastro!$D5</f>
        <v>18601</v>
      </c>
      <c r="E5" s="104" t="str">
        <f>Cadastro!$E5</f>
        <v>Camera04</v>
      </c>
      <c r="F5" s="104" t="str">
        <f>Cadastro!$F5</f>
        <v>Sete de Abril x Amintas de Barros           </v>
      </c>
      <c r="G5" s="104" t="str">
        <f>Cadastro!$G5</f>
        <v>-25.423742</v>
      </c>
      <c r="H5" s="104" t="str">
        <f>Cadastro!$H5</f>
        <v>-49.255794</v>
      </c>
      <c r="I5" s="104" t="str">
        <f>Cadastro!$I5</f>
        <v>copom_DDTQ</v>
      </c>
      <c r="J5" s="104" t="str">
        <f>Cadastro!$J5</f>
        <v>DDTQcopom</v>
      </c>
      <c r="K5" s="104" t="s">
        <v>4536</v>
      </c>
      <c r="L5" s="104" t="s">
        <v>26</v>
      </c>
      <c r="M5" s="104" t="s">
        <v>27</v>
      </c>
      <c r="N5" s="108" t="str">
        <f t="shared" si="1"/>
        <v>URBS 1</v>
      </c>
      <c r="O5" s="109" t="str">
        <f>Cadastro!$O5</f>
        <v>https://monitoramento.pm.pr.gov.br/proxy_image_1/Interface/Cameras/GetJPEGStream?Camera=Camera04&amp;AuthUser=copom_DDTQ&amp;AuthPass=DDTQcopom&amp;Width=1024&amp;Height=768&amp;Quality=70&amp;FPS=10&amp;ResponseFormat=Text</v>
      </c>
      <c r="P5" s="106">
        <f>Cadastro!$P5</f>
        <v>1</v>
      </c>
    </row>
    <row r="6">
      <c r="A6" s="104" t="str">
        <f>Cadastro!$A6</f>
        <v>URBS 1</v>
      </c>
      <c r="B6" s="104" t="str">
        <f>Cadastro!$B6</f>
        <v>CURITIBA</v>
      </c>
      <c r="C6" s="107" t="str">
        <f>Cadastro!$C6</f>
        <v>https://monitoramento.pm.pr.gov.br/proxy_image_1/</v>
      </c>
      <c r="D6" s="105">
        <f>Cadastro!$D6</f>
        <v>18601</v>
      </c>
      <c r="E6" s="104" t="str">
        <f>Cadastro!$E6</f>
        <v>Camera05</v>
      </c>
      <c r="F6" s="104" t="str">
        <f>Cadastro!$F6</f>
        <v>Ubaldino Amaral x Itupava                        </v>
      </c>
      <c r="G6" s="104" t="str">
        <f>Cadastro!$G6</f>
        <v>-25.424725</v>
      </c>
      <c r="H6" s="104" t="str">
        <f>Cadastro!$H6</f>
        <v>-49.259819</v>
      </c>
      <c r="I6" s="104" t="str">
        <f>Cadastro!$I6</f>
        <v>copom_DDTQ</v>
      </c>
      <c r="J6" s="104" t="str">
        <f>Cadastro!$J6</f>
        <v>DDTQcopom</v>
      </c>
      <c r="K6" s="104" t="s">
        <v>4536</v>
      </c>
      <c r="L6" s="104" t="s">
        <v>26</v>
      </c>
      <c r="M6" s="104" t="s">
        <v>27</v>
      </c>
      <c r="N6" s="108" t="str">
        <f t="shared" si="1"/>
        <v>URBS 1</v>
      </c>
      <c r="O6" s="109" t="str">
        <f>Cadastro!$O6</f>
        <v>https://monitoramento.pm.pr.gov.br/proxy_image_1/Interface/Cameras/GetJPEGStream?Camera=Camera05&amp;AuthUser=copom_DDTQ&amp;AuthPass=DDTQcopom&amp;Width=1024&amp;Height=768&amp;Quality=70&amp;FPS=10&amp;ResponseFormat=Text</v>
      </c>
      <c r="P6" s="106">
        <f>Cadastro!$P6</f>
        <v>1</v>
      </c>
    </row>
    <row r="7">
      <c r="A7" s="104" t="str">
        <f>Cadastro!$A7</f>
        <v>URBS 1</v>
      </c>
      <c r="B7" s="104" t="str">
        <f>Cadastro!$B7</f>
        <v>CURITIBA</v>
      </c>
      <c r="C7" s="107" t="str">
        <f>Cadastro!$C7</f>
        <v>https://monitoramento.pm.pr.gov.br/proxy_image_1/</v>
      </c>
      <c r="D7" s="105">
        <f>Cadastro!$D7</f>
        <v>18601</v>
      </c>
      <c r="E7" s="104" t="str">
        <f>Cadastro!$E7</f>
        <v>Camera06</v>
      </c>
      <c r="F7" s="104" t="str">
        <f>Cadastro!$F7</f>
        <v>Maua x Amancio Moro                                     </v>
      </c>
      <c r="G7" s="104" t="str">
        <f>Cadastro!$G7</f>
        <v>-25.419905</v>
      </c>
      <c r="H7" s="104" t="str">
        <f>Cadastro!$H7</f>
        <v>-49.259927</v>
      </c>
      <c r="I7" s="104" t="str">
        <f>Cadastro!$I7</f>
        <v>copom_DDTQ</v>
      </c>
      <c r="J7" s="104" t="str">
        <f>Cadastro!$J7</f>
        <v>DDTQcopom</v>
      </c>
      <c r="K7" s="104" t="s">
        <v>4536</v>
      </c>
      <c r="L7" s="104" t="s">
        <v>26</v>
      </c>
      <c r="M7" s="104" t="s">
        <v>27</v>
      </c>
      <c r="N7" s="108" t="str">
        <f t="shared" si="1"/>
        <v>URBS 1</v>
      </c>
      <c r="O7" s="109" t="str">
        <f>Cadastro!$O7</f>
        <v>https://monitoramento.pm.pr.gov.br/proxy_image_1/Interface/Cameras/GetJPEGStream?Camera=Camera06&amp;AuthUser=copom_DDTQ&amp;AuthPass=DDTQcopom&amp;Width=1024&amp;Height=768&amp;Quality=70&amp;FPS=10&amp;ResponseFormat=Text</v>
      </c>
      <c r="P7" s="106">
        <f>Cadastro!$P7</f>
        <v>1</v>
      </c>
    </row>
    <row r="8">
      <c r="A8" s="104" t="str">
        <f>Cadastro!$A8</f>
        <v>URBS 1</v>
      </c>
      <c r="B8" s="104" t="str">
        <f>Cadastro!$B8</f>
        <v>CURITIBA</v>
      </c>
      <c r="C8" s="107" t="str">
        <f>Cadastro!$C8</f>
        <v>https://monitoramento.pm.pr.gov.br/proxy_image_1/</v>
      </c>
      <c r="D8" s="105">
        <f>Cadastro!$D8</f>
        <v>18601</v>
      </c>
      <c r="E8" s="104" t="str">
        <f>Cadastro!$E8</f>
        <v>Camera07</v>
      </c>
      <c r="F8" s="104" t="str">
        <f>Cadastro!$F8</f>
        <v>Campos Sales Augusto Severino                         </v>
      </c>
      <c r="G8" s="104" t="str">
        <f>Cadastro!$G8</f>
        <v>-25.416214</v>
      </c>
      <c r="H8" s="104" t="str">
        <f>Cadastro!$H8</f>
        <v>-49.262683</v>
      </c>
      <c r="I8" s="104" t="str">
        <f>Cadastro!$I8</f>
        <v>copom_DDTQ</v>
      </c>
      <c r="J8" s="104" t="str">
        <f>Cadastro!$J8</f>
        <v>DDTQcopom</v>
      </c>
      <c r="K8" s="104" t="s">
        <v>4536</v>
      </c>
      <c r="L8" s="104" t="s">
        <v>26</v>
      </c>
      <c r="M8" s="104" t="s">
        <v>27</v>
      </c>
      <c r="N8" s="108" t="str">
        <f t="shared" si="1"/>
        <v>URBS 1</v>
      </c>
      <c r="O8" s="109" t="str">
        <f>Cadastro!$O8</f>
        <v>https://monitoramento.pm.pr.gov.br/proxy_image_1/Interface/Cameras/GetJPEGStream?Camera=Camera07&amp;AuthUser=copom_DDTQ&amp;AuthPass=DDTQcopom&amp;Width=1024&amp;Height=768&amp;Quality=70&amp;FPS=10&amp;ResponseFormat=Text</v>
      </c>
      <c r="P8" s="106">
        <f>Cadastro!$P8</f>
        <v>1</v>
      </c>
    </row>
    <row r="9">
      <c r="A9" s="104" t="str">
        <f>Cadastro!$A9</f>
        <v>URBS 1</v>
      </c>
      <c r="B9" s="104" t="str">
        <f>Cadastro!$B9</f>
        <v>CURITIBA</v>
      </c>
      <c r="C9" s="107" t="str">
        <f>Cadastro!$C9</f>
        <v>https://monitoramento.pm.pr.gov.br/proxy_image_1/</v>
      </c>
      <c r="D9" s="105">
        <f>Cadastro!$D9</f>
        <v>18601</v>
      </c>
      <c r="E9" s="104" t="str">
        <f>Cadastro!$E9</f>
        <v>Camera08</v>
      </c>
      <c r="F9" s="104" t="str">
        <f>Cadastro!$F9</f>
        <v>Des. Motta x Martim Afonso                              </v>
      </c>
      <c r="G9" s="104" t="str">
        <f>Cadastro!$G9</f>
        <v>-25.428931</v>
      </c>
      <c r="H9" s="104" t="str">
        <f>Cadastro!$H9</f>
        <v>-49.286066</v>
      </c>
      <c r="I9" s="104" t="str">
        <f>Cadastro!$I9</f>
        <v>copom_DDTQ</v>
      </c>
      <c r="J9" s="104" t="str">
        <f>Cadastro!$J9</f>
        <v>DDTQcopom</v>
      </c>
      <c r="K9" s="104" t="s">
        <v>4536</v>
      </c>
      <c r="L9" s="104" t="s">
        <v>26</v>
      </c>
      <c r="M9" s="104" t="s">
        <v>27</v>
      </c>
      <c r="N9" s="108" t="str">
        <f t="shared" si="1"/>
        <v>URBS 1</v>
      </c>
      <c r="O9" s="109" t="str">
        <f>Cadastro!$O9</f>
        <v>https://monitoramento.pm.pr.gov.br/proxy_image_1/Interface/Cameras/GetJPEGStream?Camera=Camera08&amp;AuthUser=copom_DDTQ&amp;AuthPass=DDTQcopom&amp;Width=1024&amp;Height=768&amp;Quality=70&amp;FPS=10&amp;ResponseFormat=Text</v>
      </c>
      <c r="P9" s="106">
        <f>Cadastro!$P9</f>
        <v>1</v>
      </c>
    </row>
    <row r="10">
      <c r="A10" s="104" t="str">
        <f>Cadastro!$A10</f>
        <v>URBS 1</v>
      </c>
      <c r="B10" s="104" t="str">
        <f>Cadastro!$B10</f>
        <v>CURITIBA</v>
      </c>
      <c r="C10" s="107" t="str">
        <f>Cadastro!$C10</f>
        <v>https://monitoramento.pm.pr.gov.br/proxy_image_1/</v>
      </c>
      <c r="D10" s="105">
        <f>Cadastro!$D10</f>
        <v>18601</v>
      </c>
      <c r="E10" s="104" t="str">
        <f>Cadastro!$E10</f>
        <v>Camera09</v>
      </c>
      <c r="F10" s="104" t="str">
        <f>Cadastro!$F10</f>
        <v>Lysimaco F. Costa x Candido de Abreu             </v>
      </c>
      <c r="G10" s="104" t="str">
        <f>Cadastro!$G10</f>
        <v>-25.417569</v>
      </c>
      <c r="H10" s="104" t="str">
        <f>Cadastro!$H10</f>
        <v>-49.268569</v>
      </c>
      <c r="I10" s="104" t="str">
        <f>Cadastro!$I10</f>
        <v>copom_DDTQ</v>
      </c>
      <c r="J10" s="104" t="str">
        <f>Cadastro!$J10</f>
        <v>DDTQcopom</v>
      </c>
      <c r="K10" s="104" t="s">
        <v>4536</v>
      </c>
      <c r="L10" s="104" t="s">
        <v>26</v>
      </c>
      <c r="M10" s="104" t="s">
        <v>27</v>
      </c>
      <c r="N10" s="108" t="str">
        <f t="shared" si="1"/>
        <v>URBS 1</v>
      </c>
      <c r="O10" s="109" t="str">
        <f>Cadastro!$O10</f>
        <v>https://monitoramento.pm.pr.gov.br/proxy_image_1/Interface/Cameras/GetJPEGStream?Camera=Camera09&amp;AuthUser=copom_DDTQ&amp;AuthPass=DDTQcopom&amp;Width=1024&amp;Height=768&amp;Quality=70&amp;FPS=10&amp;ResponseFormat=Text</v>
      </c>
      <c r="P10" s="106">
        <f>Cadastro!$P10</f>
        <v>1</v>
      </c>
    </row>
    <row r="11">
      <c r="A11" s="104" t="str">
        <f>Cadastro!$A11</f>
        <v>URBS 1</v>
      </c>
      <c r="B11" s="104" t="str">
        <f>Cadastro!$B11</f>
        <v>CURITIBA</v>
      </c>
      <c r="C11" s="107" t="str">
        <f>Cadastro!$C11</f>
        <v>https://monitoramento.pm.pr.gov.br/proxy_image_1/</v>
      </c>
      <c r="D11" s="105">
        <f>Cadastro!$D11</f>
        <v>18601</v>
      </c>
      <c r="E11" s="104" t="str">
        <f>Cadastro!$E11</f>
        <v>Camera10</v>
      </c>
      <c r="F11" s="104" t="str">
        <f>Cadastro!$F11</f>
        <v>Roberto Barroso x Mateus Leme                             </v>
      </c>
      <c r="G11" s="104" t="str">
        <f>Cadastro!$G11</f>
        <v>-25.418142</v>
      </c>
      <c r="H11" s="104" t="str">
        <f>Cadastro!$H11</f>
        <v>-49.271116</v>
      </c>
      <c r="I11" s="104" t="str">
        <f>Cadastro!$I11</f>
        <v>copom_DDTQ</v>
      </c>
      <c r="J11" s="104" t="str">
        <f>Cadastro!$J11</f>
        <v>DDTQcopom</v>
      </c>
      <c r="K11" s="104" t="s">
        <v>4536</v>
      </c>
      <c r="L11" s="104" t="s">
        <v>26</v>
      </c>
      <c r="M11" s="104" t="s">
        <v>27</v>
      </c>
      <c r="N11" s="108" t="str">
        <f t="shared" si="1"/>
        <v>URBS 1</v>
      </c>
      <c r="O11" s="109" t="str">
        <f>Cadastro!$O11</f>
        <v>https://monitoramento.pm.pr.gov.br/proxy_image_1/Interface/Cameras/GetJPEGStream?Camera=Camera10&amp;AuthUser=copom_DDTQ&amp;AuthPass=DDTQcopom&amp;Width=1024&amp;Height=768&amp;Quality=70&amp;FPS=10&amp;ResponseFormat=Text</v>
      </c>
      <c r="P11" s="106">
        <f>Cadastro!$P11</f>
        <v>1</v>
      </c>
    </row>
    <row r="12">
      <c r="A12" s="104" t="str">
        <f>Cadastro!$A12</f>
        <v>URBS 1</v>
      </c>
      <c r="B12" s="104" t="str">
        <f>Cadastro!$B12</f>
        <v>CURITIBA</v>
      </c>
      <c r="C12" s="107" t="str">
        <f>Cadastro!$C12</f>
        <v>https://monitoramento.pm.pr.gov.br/proxy_image_1/</v>
      </c>
      <c r="D12" s="105">
        <f>Cadastro!$D12</f>
        <v>18601</v>
      </c>
      <c r="E12" s="104" t="str">
        <f>Cadastro!$E12</f>
        <v>Camera11</v>
      </c>
      <c r="F12" s="104" t="str">
        <f>Cadastro!$F12</f>
        <v>Des Motta x Manoel Ribas                               </v>
      </c>
      <c r="G12" s="104" t="str">
        <f>Cadastro!$G12</f>
        <v>-25.422483</v>
      </c>
      <c r="H12" s="104" t="str">
        <f>Cadastro!$H12</f>
        <v>-49.289099</v>
      </c>
      <c r="I12" s="104" t="str">
        <f>Cadastro!$I12</f>
        <v>copom_DDTQ</v>
      </c>
      <c r="J12" s="104" t="str">
        <f>Cadastro!$J12</f>
        <v>DDTQcopom</v>
      </c>
      <c r="K12" s="104" t="s">
        <v>4536</v>
      </c>
      <c r="L12" s="104" t="s">
        <v>26</v>
      </c>
      <c r="M12" s="104" t="s">
        <v>27</v>
      </c>
      <c r="N12" s="108" t="str">
        <f t="shared" si="1"/>
        <v>URBS 1</v>
      </c>
      <c r="O12" s="109" t="str">
        <f>Cadastro!$O12</f>
        <v>https://monitoramento.pm.pr.gov.br/proxy_image_1/Interface/Cameras/GetJPEGStream?Camera=Camera11&amp;AuthUser=copom_DDTQ&amp;AuthPass=DDTQcopom&amp;Width=1024&amp;Height=768&amp;Quality=70&amp;FPS=10&amp;ResponseFormat=Text</v>
      </c>
      <c r="P12" s="106">
        <f>Cadastro!$P12</f>
        <v>1</v>
      </c>
    </row>
    <row r="13">
      <c r="A13" s="104" t="str">
        <f>Cadastro!$A13</f>
        <v>URBS 1</v>
      </c>
      <c r="B13" s="104" t="str">
        <f>Cadastro!$B13</f>
        <v>CURITIBA</v>
      </c>
      <c r="C13" s="107" t="str">
        <f>Cadastro!$C13</f>
        <v>https://monitoramento.pm.pr.gov.br/proxy_image_1/</v>
      </c>
      <c r="D13" s="105">
        <f>Cadastro!$D13</f>
        <v>18601</v>
      </c>
      <c r="E13" s="104" t="str">
        <f>Cadastro!$E13</f>
        <v>Camera12</v>
      </c>
      <c r="F13" s="104" t="str">
        <f>Cadastro!$F13</f>
        <v>Brig. Franco x Padre Agostinho                       </v>
      </c>
      <c r="G13" s="104" t="str">
        <f>Cadastro!$G13</f>
        <v>-25.426126</v>
      </c>
      <c r="H13" s="104" t="str">
        <f>Cadastro!$H13</f>
        <v>-49.285706</v>
      </c>
      <c r="I13" s="104" t="str">
        <f>Cadastro!$I13</f>
        <v>copom_DDTQ</v>
      </c>
      <c r="J13" s="104" t="str">
        <f>Cadastro!$J13</f>
        <v>DDTQcopom</v>
      </c>
      <c r="K13" s="104" t="s">
        <v>4536</v>
      </c>
      <c r="L13" s="104" t="s">
        <v>26</v>
      </c>
      <c r="M13" s="104" t="s">
        <v>27</v>
      </c>
      <c r="N13" s="108" t="str">
        <f t="shared" si="1"/>
        <v>URBS 1</v>
      </c>
      <c r="O13" s="109" t="str">
        <f>Cadastro!$O13</f>
        <v>https://monitoramento.pm.pr.gov.br/proxy_image_1/Interface/Cameras/GetJPEGStream?Camera=Camera12&amp;AuthUser=copom_DDTQ&amp;AuthPass=DDTQcopom&amp;Width=1024&amp;Height=768&amp;Quality=70&amp;FPS=10&amp;ResponseFormat=Text</v>
      </c>
      <c r="P13" s="106">
        <f>Cadastro!$P13</f>
        <v>1</v>
      </c>
    </row>
    <row r="14">
      <c r="A14" s="104" t="str">
        <f>Cadastro!$A14</f>
        <v>URBS 1</v>
      </c>
      <c r="B14" s="104" t="str">
        <f>Cadastro!$B14</f>
        <v>CURITIBA</v>
      </c>
      <c r="C14" s="107" t="str">
        <f>Cadastro!$C14</f>
        <v>https://monitoramento.pm.pr.gov.br/proxy_image_1/</v>
      </c>
      <c r="D14" s="105">
        <f>Cadastro!$D14</f>
        <v>18601</v>
      </c>
      <c r="E14" s="104" t="str">
        <f>Cadastro!$E14</f>
        <v>Camera13</v>
      </c>
      <c r="F14" s="104" t="str">
        <f>Cadastro!$F14</f>
        <v>Vicente Machado x Brig. Franco                       </v>
      </c>
      <c r="G14" s="104" t="str">
        <f>Cadastro!$G14</f>
        <v>-25.435144</v>
      </c>
      <c r="H14" s="104" t="str">
        <f>Cadastro!$H14</f>
        <v>-49.281461</v>
      </c>
      <c r="I14" s="104" t="str">
        <f>Cadastro!$I14</f>
        <v>copom_DDTQ</v>
      </c>
      <c r="J14" s="104" t="str">
        <f>Cadastro!$J14</f>
        <v>DDTQcopom</v>
      </c>
      <c r="K14" s="104" t="s">
        <v>4536</v>
      </c>
      <c r="L14" s="104" t="s">
        <v>26</v>
      </c>
      <c r="M14" s="104" t="s">
        <v>27</v>
      </c>
      <c r="N14" s="108" t="str">
        <f t="shared" si="1"/>
        <v>URBS 1</v>
      </c>
      <c r="O14" s="109" t="str">
        <f>Cadastro!$O14</f>
        <v>https://monitoramento.pm.pr.gov.br/proxy_image_1/Interface/Cameras/GetJPEGStream?Camera=Camera13&amp;AuthUser=copom_DDTQ&amp;AuthPass=DDTQcopom&amp;Width=1024&amp;Height=768&amp;Quality=70&amp;FPS=10&amp;ResponseFormat=Text</v>
      </c>
      <c r="P14" s="106">
        <f>Cadastro!$P14</f>
        <v>1</v>
      </c>
    </row>
    <row r="15">
      <c r="A15" s="104" t="str">
        <f>Cadastro!$A15</f>
        <v>URBS 1</v>
      </c>
      <c r="B15" s="104" t="str">
        <f>Cadastro!$B15</f>
        <v>CURITIBA</v>
      </c>
      <c r="C15" s="107" t="str">
        <f>Cadastro!$C15</f>
        <v>https://monitoramento.pm.pr.gov.br/proxy_image_1/</v>
      </c>
      <c r="D15" s="105">
        <f>Cadastro!$D15</f>
        <v>18601</v>
      </c>
      <c r="E15" s="104" t="str">
        <f>Cadastro!$E15</f>
        <v>Camera14</v>
      </c>
      <c r="F15" s="104" t="str">
        <f>Cadastro!$F15</f>
        <v>Visc. Guarapuava x Brig Franco                    </v>
      </c>
      <c r="G15" s="104" t="str">
        <f>Cadastro!$G15</f>
        <v>-25.440097</v>
      </c>
      <c r="H15" s="104" t="str">
        <f>Cadastro!$H15</f>
        <v>-49.277085</v>
      </c>
      <c r="I15" s="104" t="str">
        <f>Cadastro!$I15</f>
        <v>copom_DDTQ</v>
      </c>
      <c r="J15" s="104" t="str">
        <f>Cadastro!$J15</f>
        <v>DDTQcopom</v>
      </c>
      <c r="K15" s="104" t="s">
        <v>4536</v>
      </c>
      <c r="L15" s="104" t="s">
        <v>26</v>
      </c>
      <c r="M15" s="104" t="s">
        <v>27</v>
      </c>
      <c r="N15" s="108" t="str">
        <f t="shared" si="1"/>
        <v>URBS 1</v>
      </c>
      <c r="O15" s="109" t="str">
        <f>Cadastro!$O15</f>
        <v>https://monitoramento.pm.pr.gov.br/proxy_image_1/Interface/Cameras/GetJPEGStream?Camera=Camera14&amp;AuthUser=copom_DDTQ&amp;AuthPass=DDTQcopom&amp;Width=1024&amp;Height=768&amp;Quality=70&amp;FPS=10&amp;ResponseFormat=Text</v>
      </c>
      <c r="P15" s="106">
        <f>Cadastro!$P15</f>
        <v>1</v>
      </c>
    </row>
    <row r="16">
      <c r="A16" s="104" t="str">
        <f>Cadastro!$A16</f>
        <v>URBS 1</v>
      </c>
      <c r="B16" s="104" t="str">
        <f>Cadastro!$B16</f>
        <v>CURITIBA</v>
      </c>
      <c r="C16" s="107" t="str">
        <f>Cadastro!$C16</f>
        <v>https://monitoramento.pm.pr.gov.br/proxy_image_1/</v>
      </c>
      <c r="D16" s="105">
        <f>Cadastro!$D16</f>
        <v>18601</v>
      </c>
      <c r="E16" s="104" t="str">
        <f>Cadastro!$E16</f>
        <v>Camera15a</v>
      </c>
      <c r="F16" s="104" t="str">
        <f>Cadastro!$F16</f>
        <v>Silva Jardim x Des. Motta                                   </v>
      </c>
      <c r="G16" s="104" t="str">
        <f>Cadastro!$G16</f>
        <v>-25.44332</v>
      </c>
      <c r="H16" s="104" t="str">
        <f>Cadastro!$H16</f>
        <v>-49.276869</v>
      </c>
      <c r="I16" s="104" t="str">
        <f>Cadastro!$I16</f>
        <v>copom_DDTQ</v>
      </c>
      <c r="J16" s="104" t="str">
        <f>Cadastro!$J16</f>
        <v>DDTQcopom</v>
      </c>
      <c r="K16" s="104" t="s">
        <v>4536</v>
      </c>
      <c r="L16" s="104" t="s">
        <v>26</v>
      </c>
      <c r="M16" s="104" t="s">
        <v>27</v>
      </c>
      <c r="N16" s="108" t="str">
        <f t="shared" si="1"/>
        <v>URBS 1</v>
      </c>
      <c r="O16" s="109" t="str">
        <f>Cadastro!$O16</f>
        <v>https://monitoramento.pm.pr.gov.br/proxy_image_1/Interface/Cameras/GetJPEGStream?Camera=Camera15a&amp;AuthUser=copom_DDTQ&amp;AuthPass=DDTQcopom&amp;Width=1024&amp;Height=768&amp;Quality=70&amp;FPS=10&amp;ResponseFormat=Text</v>
      </c>
      <c r="P16" s="106">
        <f>Cadastro!$P16</f>
        <v>1</v>
      </c>
    </row>
    <row r="17">
      <c r="A17" s="104" t="str">
        <f>Cadastro!$A17</f>
        <v>URBS 1</v>
      </c>
      <c r="B17" s="104" t="str">
        <f>Cadastro!$B17</f>
        <v>CURITIBA</v>
      </c>
      <c r="C17" s="107" t="str">
        <f>Cadastro!$C17</f>
        <v>https://monitoramento.pm.pr.gov.br/proxy_image_1/</v>
      </c>
      <c r="D17" s="105">
        <f>Cadastro!$D17</f>
        <v>18601</v>
      </c>
      <c r="E17" s="104" t="str">
        <f>Cadastro!$E17</f>
        <v>Camera16</v>
      </c>
      <c r="F17" s="104" t="str">
        <f>Cadastro!$F17</f>
        <v>Eng. Rebouças x João Negrão                            </v>
      </c>
      <c r="G17" s="104" t="str">
        <f>Cadastro!$G17</f>
        <v>-25.44239</v>
      </c>
      <c r="H17" s="104" t="str">
        <f>Cadastro!$H17</f>
        <v>-49.260632</v>
      </c>
      <c r="I17" s="104" t="str">
        <f>Cadastro!$I17</f>
        <v>copom_DDTQ</v>
      </c>
      <c r="J17" s="104" t="str">
        <f>Cadastro!$J17</f>
        <v>DDTQcopom</v>
      </c>
      <c r="K17" s="104" t="s">
        <v>4536</v>
      </c>
      <c r="L17" s="104" t="s">
        <v>26</v>
      </c>
      <c r="M17" s="104" t="s">
        <v>27</v>
      </c>
      <c r="N17" s="108" t="str">
        <f t="shared" si="1"/>
        <v>URBS 1</v>
      </c>
      <c r="O17" s="109" t="str">
        <f>Cadastro!$O17</f>
        <v>https://monitoramento.pm.pr.gov.br/proxy_image_1/Interface/Cameras/GetJPEGStream?Camera=Camera16&amp;AuthUser=copom_DDTQ&amp;AuthPass=DDTQcopom&amp;Width=1024&amp;Height=768&amp;Quality=70&amp;FPS=10&amp;ResponseFormat=Text</v>
      </c>
      <c r="P17" s="106">
        <f>Cadastro!$P17</f>
        <v>1</v>
      </c>
    </row>
    <row r="18">
      <c r="A18" s="104" t="str">
        <f>Cadastro!$A18</f>
        <v>URBS 1</v>
      </c>
      <c r="B18" s="104" t="str">
        <f>Cadastro!$B18</f>
        <v>CURITIBA</v>
      </c>
      <c r="C18" s="107" t="str">
        <f>Cadastro!$C18</f>
        <v>https://monitoramento.pm.pr.gov.br/proxy_image_1/</v>
      </c>
      <c r="D18" s="105">
        <f>Cadastro!$D18</f>
        <v>18601</v>
      </c>
      <c r="E18" s="104" t="str">
        <f>Cadastro!$E18</f>
        <v>Camera17</v>
      </c>
      <c r="F18" s="104" t="str">
        <f>Cadastro!$F18</f>
        <v>Brasilio Itibere c Cons. Laurindo                          </v>
      </c>
      <c r="G18" s="104" t="str">
        <f>Cadastro!$G18</f>
        <v>-25.443397</v>
      </c>
      <c r="H18" s="104" t="str">
        <f>Cadastro!$H18</f>
        <v>-49.259425</v>
      </c>
      <c r="I18" s="104" t="str">
        <f>Cadastro!$I18</f>
        <v>copom_DDTQ</v>
      </c>
      <c r="J18" s="104" t="str">
        <f>Cadastro!$J18</f>
        <v>DDTQcopom</v>
      </c>
      <c r="K18" s="104" t="s">
        <v>4536</v>
      </c>
      <c r="L18" s="104" t="s">
        <v>26</v>
      </c>
      <c r="M18" s="104" t="s">
        <v>27</v>
      </c>
      <c r="N18" s="108" t="str">
        <f t="shared" si="1"/>
        <v>URBS 1</v>
      </c>
      <c r="O18" s="109" t="str">
        <f>Cadastro!$O18</f>
        <v>https://monitoramento.pm.pr.gov.br/proxy_image_1/Interface/Cameras/GetJPEGStream?Camera=Camera17&amp;AuthUser=copom_DDTQ&amp;AuthPass=DDTQcopom&amp;Width=1024&amp;Height=768&amp;Quality=70&amp;FPS=10&amp;ResponseFormat=Text</v>
      </c>
      <c r="P18" s="106">
        <f>Cadastro!$P18</f>
        <v>1</v>
      </c>
    </row>
    <row r="19">
      <c r="A19" s="104" t="str">
        <f>Cadastro!$A19</f>
        <v>URBS 1</v>
      </c>
      <c r="B19" s="104" t="str">
        <f>Cadastro!$B19</f>
        <v>CURITIBA</v>
      </c>
      <c r="C19" s="107" t="str">
        <f>Cadastro!$C19</f>
        <v>https://monitoramento.pm.pr.gov.br/proxy_image_1/</v>
      </c>
      <c r="D19" s="105">
        <f>Cadastro!$D19</f>
        <v>18601</v>
      </c>
      <c r="E19" s="104" t="str">
        <f>Cadastro!$E19</f>
        <v>Camera18</v>
      </c>
      <c r="F19" s="104" t="str">
        <f>Cadastro!$F19</f>
        <v>Iguaçu x Mal. Floriano Peixoto                       </v>
      </c>
      <c r="G19" s="104" t="str">
        <f>Cadastro!$G19</f>
        <v>-25.44136</v>
      </c>
      <c r="H19" s="104" t="str">
        <f>Cadastro!$H19</f>
        <v>-49.266848</v>
      </c>
      <c r="I19" s="104" t="str">
        <f>Cadastro!$I19</f>
        <v>copom_DDTQ</v>
      </c>
      <c r="J19" s="104" t="str">
        <f>Cadastro!$J19</f>
        <v>DDTQcopom</v>
      </c>
      <c r="K19" s="104" t="s">
        <v>4536</v>
      </c>
      <c r="L19" s="104" t="s">
        <v>26</v>
      </c>
      <c r="M19" s="104" t="s">
        <v>27</v>
      </c>
      <c r="N19" s="108" t="str">
        <f t="shared" si="1"/>
        <v>URBS 1</v>
      </c>
      <c r="O19" s="109" t="str">
        <f>Cadastro!$O19</f>
        <v>https://monitoramento.pm.pr.gov.br/proxy_image_1/Interface/Cameras/GetJPEGStream?Camera=Camera18&amp;AuthUser=copom_DDTQ&amp;AuthPass=DDTQcopom&amp;Width=1024&amp;Height=768&amp;Quality=70&amp;FPS=10&amp;ResponseFormat=Text</v>
      </c>
      <c r="P19" s="106">
        <f>Cadastro!$P19</f>
        <v>1</v>
      </c>
    </row>
    <row r="20">
      <c r="A20" s="104" t="str">
        <f>Cadastro!$A20</f>
        <v>URBS 1</v>
      </c>
      <c r="B20" s="104" t="str">
        <f>Cadastro!$B20</f>
        <v>CURITIBA</v>
      </c>
      <c r="C20" s="107" t="str">
        <f>Cadastro!$C20</f>
        <v>https://monitoramento.pm.pr.gov.br/proxy_image_1/</v>
      </c>
      <c r="D20" s="105">
        <f>Cadastro!$D20</f>
        <v>18601</v>
      </c>
      <c r="E20" s="104" t="str">
        <f>Cadastro!$E20</f>
        <v>Camera19</v>
      </c>
      <c r="F20" s="104" t="str">
        <f>Cadastro!$F20</f>
        <v>XV de Novembro x Ubaldino do Amaral              </v>
      </c>
      <c r="G20" s="104" t="str">
        <f>Cadastro!$G20</f>
        <v>-25.426315</v>
      </c>
      <c r="H20" s="104" t="str">
        <f>Cadastro!$H20</f>
        <v>-49.259163</v>
      </c>
      <c r="I20" s="104" t="str">
        <f>Cadastro!$I20</f>
        <v>copom_DDTQ</v>
      </c>
      <c r="J20" s="104" t="str">
        <f>Cadastro!$J20</f>
        <v>DDTQcopom</v>
      </c>
      <c r="K20" s="104" t="s">
        <v>4536</v>
      </c>
      <c r="L20" s="104" t="s">
        <v>26</v>
      </c>
      <c r="M20" s="104" t="s">
        <v>27</v>
      </c>
      <c r="N20" s="108" t="str">
        <f t="shared" si="1"/>
        <v>URBS 1</v>
      </c>
      <c r="O20" s="109" t="str">
        <f>Cadastro!$O20</f>
        <v>https://monitoramento.pm.pr.gov.br/proxy_image_1/Interface/Cameras/GetJPEGStream?Camera=Camera19&amp;AuthUser=copom_DDTQ&amp;AuthPass=DDTQcopom&amp;Width=1024&amp;Height=768&amp;Quality=70&amp;FPS=10&amp;ResponseFormat=Text</v>
      </c>
      <c r="P20" s="106">
        <f>Cadastro!$P20</f>
        <v>1</v>
      </c>
    </row>
    <row r="21">
      <c r="A21" s="104" t="str">
        <f>Cadastro!$A21</f>
        <v>URBS 1</v>
      </c>
      <c r="B21" s="104" t="str">
        <f>Cadastro!$B21</f>
        <v>CURITIBA</v>
      </c>
      <c r="C21" s="107" t="str">
        <f>Cadastro!$C21</f>
        <v>https://monitoramento.pm.pr.gov.br/proxy_image_1/</v>
      </c>
      <c r="D21" s="105">
        <f>Cadastro!$D21</f>
        <v>18601</v>
      </c>
      <c r="E21" s="104" t="str">
        <f>Cadastro!$E21</f>
        <v>Camera20</v>
      </c>
      <c r="F21" s="104" t="str">
        <f>Cadastro!$F21</f>
        <v>Roberto Barroso x Des. Hugo Simas                   </v>
      </c>
      <c r="G21" s="104" t="str">
        <f>Cadastro!$G21</f>
        <v>-25.416579</v>
      </c>
      <c r="H21" s="104" t="str">
        <f>Cadastro!$H21</f>
        <v>-49.27878</v>
      </c>
      <c r="I21" s="104" t="str">
        <f>Cadastro!$I21</f>
        <v>copom_DDTQ</v>
      </c>
      <c r="J21" s="104" t="str">
        <f>Cadastro!$J21</f>
        <v>DDTQcopom</v>
      </c>
      <c r="K21" s="104" t="s">
        <v>4536</v>
      </c>
      <c r="L21" s="104" t="s">
        <v>26</v>
      </c>
      <c r="M21" s="104" t="s">
        <v>27</v>
      </c>
      <c r="N21" s="108" t="str">
        <f t="shared" si="1"/>
        <v>URBS 1</v>
      </c>
      <c r="O21" s="109" t="str">
        <f>Cadastro!$O21</f>
        <v>https://monitoramento.pm.pr.gov.br/proxy_image_1/Interface/Cameras/GetJPEGStream?Camera=Camera20&amp;AuthUser=copom_DDTQ&amp;AuthPass=DDTQcopom&amp;Width=1024&amp;Height=768&amp;Quality=70&amp;FPS=10&amp;ResponseFormat=Text</v>
      </c>
      <c r="P21" s="106">
        <f>Cadastro!$P21</f>
        <v>1</v>
      </c>
    </row>
    <row r="22">
      <c r="A22" s="104" t="str">
        <f>Cadastro!$A22</f>
        <v>URBS 1</v>
      </c>
      <c r="B22" s="104" t="str">
        <f>Cadastro!$B22</f>
        <v>CURITIBA</v>
      </c>
      <c r="C22" s="107" t="str">
        <f>Cadastro!$C22</f>
        <v>https://monitoramento.pm.pr.gov.br/proxy_image_1/</v>
      </c>
      <c r="D22" s="105">
        <f>Cadastro!$D22</f>
        <v>18601</v>
      </c>
      <c r="E22" s="104" t="str">
        <f>Cadastro!$E22</f>
        <v>Camera21</v>
      </c>
      <c r="F22" s="104" t="str">
        <f>Cadastro!$F22</f>
        <v>Brig. Franco x Brasilio Itibere                              </v>
      </c>
      <c r="G22" s="104" t="str">
        <f>Cadastro!$G22</f>
        <v>-25.440666</v>
      </c>
      <c r="H22" s="104" t="str">
        <f>Cadastro!$H22</f>
        <v>-49.252148</v>
      </c>
      <c r="I22" s="104" t="str">
        <f>Cadastro!$I22</f>
        <v>copom_DDTQ</v>
      </c>
      <c r="J22" s="104" t="str">
        <f>Cadastro!$J22</f>
        <v>DDTQcopom</v>
      </c>
      <c r="K22" s="104" t="s">
        <v>4536</v>
      </c>
      <c r="L22" s="104" t="s">
        <v>26</v>
      </c>
      <c r="M22" s="104" t="s">
        <v>27</v>
      </c>
      <c r="N22" s="108" t="str">
        <f t="shared" si="1"/>
        <v>URBS 1</v>
      </c>
      <c r="O22" s="109" t="str">
        <f>Cadastro!$O22</f>
        <v>https://monitoramento.pm.pr.gov.br/proxy_image_1/Interface/Cameras/GetJPEGStream?Camera=Camera21&amp;AuthUser=copom_DDTQ&amp;AuthPass=DDTQcopom&amp;Width=1024&amp;Height=768&amp;Quality=70&amp;FPS=10&amp;ResponseFormat=Text</v>
      </c>
      <c r="P22" s="106">
        <f>Cadastro!$P22</f>
        <v>1</v>
      </c>
    </row>
    <row r="23">
      <c r="A23" s="104" t="str">
        <f>Cadastro!$A23</f>
        <v>URBS 1</v>
      </c>
      <c r="B23" s="104" t="str">
        <f>Cadastro!$B23</f>
        <v>CURITIBA</v>
      </c>
      <c r="C23" s="107" t="str">
        <f>Cadastro!$C23</f>
        <v>https://monitoramento.pm.pr.gov.br/proxy_image_1/</v>
      </c>
      <c r="D23" s="105">
        <f>Cadastro!$D23</f>
        <v>18601</v>
      </c>
      <c r="E23" s="104" t="str">
        <f>Cadastro!$E23</f>
        <v>Camera22</v>
      </c>
      <c r="F23" s="104" t="str">
        <f>Cadastro!$F23</f>
        <v>Mal. Floriano x Kennedy                            </v>
      </c>
      <c r="G23" s="104" t="str">
        <f>Cadastro!$G23</f>
        <v>-25.450777</v>
      </c>
      <c r="H23" s="104" t="str">
        <f>Cadastro!$H23</f>
        <v>-49.26228</v>
      </c>
      <c r="I23" s="104" t="str">
        <f>Cadastro!$I23</f>
        <v>copom_DDTQ</v>
      </c>
      <c r="J23" s="104" t="str">
        <f>Cadastro!$J23</f>
        <v>DDTQcopom</v>
      </c>
      <c r="K23" s="104" t="s">
        <v>4536</v>
      </c>
      <c r="L23" s="104" t="s">
        <v>26</v>
      </c>
      <c r="M23" s="104" t="s">
        <v>27</v>
      </c>
      <c r="N23" s="108" t="str">
        <f t="shared" si="1"/>
        <v>URBS 1</v>
      </c>
      <c r="O23" s="109" t="str">
        <f>Cadastro!$O23</f>
        <v>https://monitoramento.pm.pr.gov.br/proxy_image_1/Interface/Cameras/GetJPEGStream?Camera=Camera22&amp;AuthUser=copom_DDTQ&amp;AuthPass=DDTQcopom&amp;Width=1024&amp;Height=768&amp;Quality=70&amp;FPS=10&amp;ResponseFormat=Text</v>
      </c>
      <c r="P23" s="106">
        <f>Cadastro!$P23</f>
        <v>1</v>
      </c>
    </row>
    <row r="24">
      <c r="A24" s="104" t="str">
        <f>Cadastro!$A24</f>
        <v>URBS 1</v>
      </c>
      <c r="B24" s="104" t="str">
        <f>Cadastro!$B24</f>
        <v>CURITIBA</v>
      </c>
      <c r="C24" s="107" t="str">
        <f>Cadastro!$C24</f>
        <v>https://monitoramento.pm.pr.gov.br/proxy_image_1/</v>
      </c>
      <c r="D24" s="105">
        <f>Cadastro!$D24</f>
        <v>18601</v>
      </c>
      <c r="E24" s="104" t="str">
        <f>Cadastro!$E24</f>
        <v>Camera23</v>
      </c>
      <c r="F24" s="104" t="str">
        <f>Cadastro!$F24</f>
        <v>Mal . Florianox 7 de Setembro                  </v>
      </c>
      <c r="G24" s="104" t="str">
        <f>Cadastro!$G24</f>
        <v>-25.438445</v>
      </c>
      <c r="H24" s="104" t="str">
        <f>Cadastro!$H24</f>
        <v>-49.268263</v>
      </c>
      <c r="I24" s="104" t="str">
        <f>Cadastro!$I24</f>
        <v>copom_DDTQ</v>
      </c>
      <c r="J24" s="104" t="str">
        <f>Cadastro!$J24</f>
        <v>DDTQcopom</v>
      </c>
      <c r="K24" s="104" t="s">
        <v>4536</v>
      </c>
      <c r="L24" s="104" t="s">
        <v>26</v>
      </c>
      <c r="M24" s="104" t="s">
        <v>27</v>
      </c>
      <c r="N24" s="108" t="str">
        <f t="shared" si="1"/>
        <v>URBS 1</v>
      </c>
      <c r="O24" s="109" t="str">
        <f>Cadastro!$O24</f>
        <v>https://monitoramento.pm.pr.gov.br/proxy_image_1/Interface/Cameras/GetJPEGStream?Camera=Camera23&amp;AuthUser=copom_DDTQ&amp;AuthPass=DDTQcopom&amp;Width=1024&amp;Height=768&amp;Quality=70&amp;FPS=10&amp;ResponseFormat=Text</v>
      </c>
      <c r="P24" s="106">
        <f>Cadastro!$P24</f>
        <v>1</v>
      </c>
    </row>
    <row r="25">
      <c r="A25" s="104" t="str">
        <f>Cadastro!$A25</f>
        <v>URBS 1</v>
      </c>
      <c r="B25" s="104" t="str">
        <f>Cadastro!$B25</f>
        <v>CURITIBA</v>
      </c>
      <c r="C25" s="107" t="str">
        <f>Cadastro!$C25</f>
        <v>https://monitoramento.pm.pr.gov.br/proxy_image_1/</v>
      </c>
      <c r="D25" s="105">
        <f>Cadastro!$D25</f>
        <v>18601</v>
      </c>
      <c r="E25" s="104" t="str">
        <f>Cadastro!$E25</f>
        <v>Camera24</v>
      </c>
      <c r="F25" s="104" t="str">
        <f>Cadastro!$F25</f>
        <v>BR-476 x Mal. Floriano Peixoto (Savana veiculos)          </v>
      </c>
      <c r="G25" s="104" t="str">
        <f>Cadastro!$G25</f>
        <v>-25.469165</v>
      </c>
      <c r="H25" s="104" t="str">
        <f>Cadastro!$H25</f>
        <v>-49.253625</v>
      </c>
      <c r="I25" s="104" t="str">
        <f>Cadastro!$I25</f>
        <v>copom_DDTQ</v>
      </c>
      <c r="J25" s="104" t="str">
        <f>Cadastro!$J25</f>
        <v>DDTQcopom</v>
      </c>
      <c r="K25" s="104" t="s">
        <v>4536</v>
      </c>
      <c r="L25" s="104" t="s">
        <v>26</v>
      </c>
      <c r="M25" s="104" t="s">
        <v>27</v>
      </c>
      <c r="N25" s="108" t="str">
        <f t="shared" si="1"/>
        <v>URBS 1</v>
      </c>
      <c r="O25" s="109" t="str">
        <f>Cadastro!$O25</f>
        <v>https://monitoramento.pm.pr.gov.br/proxy_image_1/Interface/Cameras/GetJPEGStream?Camera=Camera24&amp;AuthUser=copom_DDTQ&amp;AuthPass=DDTQcopom&amp;Width=1024&amp;Height=768&amp;Quality=70&amp;FPS=10&amp;ResponseFormat=Text</v>
      </c>
      <c r="P25" s="106">
        <f>Cadastro!$P25</f>
        <v>1</v>
      </c>
    </row>
    <row r="26">
      <c r="A26" s="104" t="str">
        <f>Cadastro!$A26</f>
        <v>URBS 1</v>
      </c>
      <c r="B26" s="104" t="str">
        <f>Cadastro!$B26</f>
        <v>CURITIBA</v>
      </c>
      <c r="C26" s="107" t="str">
        <f>Cadastro!$C26</f>
        <v>https://monitoramento.pm.pr.gov.br/proxy_image_1/</v>
      </c>
      <c r="D26" s="105">
        <f>Cadastro!$D26</f>
        <v>18601</v>
      </c>
      <c r="E26" s="104" t="str">
        <f>Cadastro!$E26</f>
        <v>Camera25</v>
      </c>
      <c r="F26" s="104" t="str">
        <f>Cadastro!$F26</f>
        <v>Mal. Deodoro x Mal. Floriano                 </v>
      </c>
      <c r="G26" s="104" t="str">
        <f>Cadastro!$G26</f>
        <v>-25.432073</v>
      </c>
      <c r="H26" s="104" t="str">
        <f>Cadastro!$H26</f>
        <v>-49.271504</v>
      </c>
      <c r="I26" s="104" t="str">
        <f>Cadastro!$I26</f>
        <v>copom_DDTQ</v>
      </c>
      <c r="J26" s="104" t="str">
        <f>Cadastro!$J26</f>
        <v>DDTQcopom</v>
      </c>
      <c r="K26" s="104" t="s">
        <v>4536</v>
      </c>
      <c r="L26" s="104" t="s">
        <v>26</v>
      </c>
      <c r="M26" s="104" t="s">
        <v>27</v>
      </c>
      <c r="N26" s="108" t="str">
        <f t="shared" si="1"/>
        <v>URBS 1</v>
      </c>
      <c r="O26" s="109" t="str">
        <f>Cadastro!$O26</f>
        <v>https://monitoramento.pm.pr.gov.br/proxy_image_1/Interface/Cameras/GetJPEGStream?Camera=Camera25&amp;AuthUser=copom_DDTQ&amp;AuthPass=DDTQcopom&amp;Width=1024&amp;Height=768&amp;Quality=70&amp;FPS=10&amp;ResponseFormat=Text</v>
      </c>
      <c r="P26" s="106">
        <f>Cadastro!$P26</f>
        <v>1</v>
      </c>
    </row>
    <row r="27">
      <c r="A27" s="104" t="str">
        <f>Cadastro!$A27</f>
        <v>URBS 1</v>
      </c>
      <c r="B27" s="104" t="str">
        <f>Cadastro!$B27</f>
        <v>CURITIBA</v>
      </c>
      <c r="C27" s="107" t="str">
        <f>Cadastro!$C27</f>
        <v>https://monitoramento.pm.pr.gov.br/proxy_image_1/</v>
      </c>
      <c r="D27" s="105">
        <f>Cadastro!$D27</f>
        <v>18601</v>
      </c>
      <c r="E27" s="104" t="str">
        <f>Cadastro!$E27</f>
        <v>Camera26</v>
      </c>
      <c r="F27" s="104" t="str">
        <f>Cadastro!$F27</f>
        <v>Mal. Floriano x Rubens E. Braga             </v>
      </c>
      <c r="G27" s="104" t="str">
        <f>Cadastro!$G27</f>
        <v>-25.458423</v>
      </c>
      <c r="H27" s="104" t="str">
        <f>Cadastro!$H27</f>
        <v>-49.258497</v>
      </c>
      <c r="I27" s="104" t="str">
        <f>Cadastro!$I27</f>
        <v>copom_DDTQ</v>
      </c>
      <c r="J27" s="104" t="str">
        <f>Cadastro!$J27</f>
        <v>DDTQcopom</v>
      </c>
      <c r="K27" s="104" t="s">
        <v>4536</v>
      </c>
      <c r="L27" s="104" t="s">
        <v>26</v>
      </c>
      <c r="M27" s="104" t="s">
        <v>27</v>
      </c>
      <c r="N27" s="108" t="str">
        <f t="shared" si="1"/>
        <v>URBS 1</v>
      </c>
      <c r="O27" s="109" t="str">
        <f>Cadastro!$O27</f>
        <v>https://monitoramento.pm.pr.gov.br/proxy_image_1/Interface/Cameras/GetJPEGStream?Camera=Camera26&amp;AuthUser=copom_DDTQ&amp;AuthPass=DDTQcopom&amp;Width=1024&amp;Height=768&amp;Quality=70&amp;FPS=10&amp;ResponseFormat=Text</v>
      </c>
      <c r="P27" s="106">
        <f>Cadastro!$P27</f>
        <v>1</v>
      </c>
    </row>
    <row r="28">
      <c r="A28" s="104" t="str">
        <f>Cadastro!$A28</f>
        <v>URBS 1</v>
      </c>
      <c r="B28" s="104" t="str">
        <f>Cadastro!$B28</f>
        <v>CURITIBA</v>
      </c>
      <c r="C28" s="107" t="str">
        <f>Cadastro!$C28</f>
        <v>https://monitoramento.pm.pr.gov.br/proxy_image_1/</v>
      </c>
      <c r="D28" s="105">
        <f>Cadastro!$D28</f>
        <v>18601</v>
      </c>
      <c r="E28" s="104" t="str">
        <f>Cadastro!$E28</f>
        <v>Camera27</v>
      </c>
      <c r="F28" s="104" t="str">
        <f>Cadastro!$F28</f>
        <v>Rep. Argentina x Kennedy                             </v>
      </c>
      <c r="G28" s="104" t="str">
        <f>Cadastro!$G28</f>
        <v>-25.477437</v>
      </c>
      <c r="H28" s="104" t="str">
        <f>Cadastro!$H28</f>
        <v>-49.292212</v>
      </c>
      <c r="I28" s="104" t="str">
        <f>Cadastro!$I28</f>
        <v>copom_DDTQ</v>
      </c>
      <c r="J28" s="104" t="str">
        <f>Cadastro!$J28</f>
        <v>DDTQcopom</v>
      </c>
      <c r="K28" s="104" t="s">
        <v>4536</v>
      </c>
      <c r="L28" s="104" t="s">
        <v>26</v>
      </c>
      <c r="M28" s="104" t="s">
        <v>27</v>
      </c>
      <c r="N28" s="108" t="str">
        <f t="shared" si="1"/>
        <v>URBS 1</v>
      </c>
      <c r="O28" s="109" t="str">
        <f>Cadastro!$O28</f>
        <v>https://monitoramento.pm.pr.gov.br/proxy_image_1/Interface/Cameras/GetJPEGStream?Camera=Camera27&amp;AuthUser=copom_DDTQ&amp;AuthPass=DDTQcopom&amp;Width=1024&amp;Height=768&amp;Quality=70&amp;FPS=10&amp;ResponseFormat=Text</v>
      </c>
      <c r="P28" s="106">
        <f>Cadastro!$P28</f>
        <v>1</v>
      </c>
    </row>
    <row r="29">
      <c r="A29" s="104" t="str">
        <f>Cadastro!$A29</f>
        <v>URBS 1</v>
      </c>
      <c r="B29" s="104" t="str">
        <f>Cadastro!$B29</f>
        <v>CURITIBA</v>
      </c>
      <c r="C29" s="107" t="str">
        <f>Cadastro!$C29</f>
        <v>https://monitoramento.pm.pr.gov.br/proxy_image_1/</v>
      </c>
      <c r="D29" s="105">
        <f>Cadastro!$D29</f>
        <v>18601</v>
      </c>
      <c r="E29" s="104" t="str">
        <f>Cadastro!$E29</f>
        <v>Camera28</v>
      </c>
      <c r="F29" s="104" t="str">
        <f>Cadastro!$F29</f>
        <v>BR-476 x Hellen Keller                                 </v>
      </c>
      <c r="G29" s="104" t="str">
        <f>Cadastro!$G29</f>
        <v>-25.496909</v>
      </c>
      <c r="H29" s="104" t="str">
        <f>Cadastro!$H29</f>
        <v>-49.27646</v>
      </c>
      <c r="I29" s="104" t="str">
        <f>Cadastro!$I29</f>
        <v>copom_DDTQ</v>
      </c>
      <c r="J29" s="104" t="str">
        <f>Cadastro!$J29</f>
        <v>DDTQcopom</v>
      </c>
      <c r="K29" s="104" t="s">
        <v>4536</v>
      </c>
      <c r="L29" s="104" t="s">
        <v>26</v>
      </c>
      <c r="M29" s="104" t="s">
        <v>27</v>
      </c>
      <c r="N29" s="108" t="str">
        <f t="shared" si="1"/>
        <v>URBS 1</v>
      </c>
      <c r="O29" s="109" t="str">
        <f>Cadastro!$O29</f>
        <v>https://monitoramento.pm.pr.gov.br/proxy_image_1/Interface/Cameras/GetJPEGStream?Camera=Camera28&amp;AuthUser=copom_DDTQ&amp;AuthPass=DDTQcopom&amp;Width=1024&amp;Height=768&amp;Quality=70&amp;FPS=10&amp;ResponseFormat=Text</v>
      </c>
      <c r="P29" s="106">
        <f>Cadastro!$P29</f>
        <v>1</v>
      </c>
    </row>
    <row r="30">
      <c r="A30" s="104" t="str">
        <f>Cadastro!$A30</f>
        <v>URBS 1</v>
      </c>
      <c r="B30" s="104" t="str">
        <f>Cadastro!$B30</f>
        <v>CURITIBA</v>
      </c>
      <c r="C30" s="107" t="str">
        <f>Cadastro!$C30</f>
        <v>https://monitoramento.pm.pr.gov.br/proxy_image_1/</v>
      </c>
      <c r="D30" s="105">
        <f>Cadastro!$D30</f>
        <v>18601</v>
      </c>
      <c r="E30" s="104" t="str">
        <f>Cadastro!$E30</f>
        <v>EdLaucas</v>
      </c>
      <c r="F30" s="104" t="str">
        <f>Cadastro!$F30</f>
        <v>Ed. Laucas                                  </v>
      </c>
      <c r="G30" s="104" t="str">
        <f>Cadastro!$G30</f>
        <v>-25.434845</v>
      </c>
      <c r="H30" s="104" t="str">
        <f>Cadastro!$H30</f>
        <v>-49.260611</v>
      </c>
      <c r="I30" s="104" t="str">
        <f>Cadastro!$I30</f>
        <v>copom_DDTQ</v>
      </c>
      <c r="J30" s="104" t="str">
        <f>Cadastro!$J30</f>
        <v>DDTQcopom</v>
      </c>
      <c r="K30" s="104" t="s">
        <v>4536</v>
      </c>
      <c r="L30" s="104" t="s">
        <v>26</v>
      </c>
      <c r="M30" s="104" t="s">
        <v>27</v>
      </c>
      <c r="N30" s="108" t="str">
        <f t="shared" si="1"/>
        <v>URBS 1</v>
      </c>
      <c r="O30" s="109" t="str">
        <f>Cadastro!$O30</f>
        <v>https://monitoramento.pm.pr.gov.br/proxy_image_1/Interface/Cameras/GetJPEGStream?Camera=EdLaucas&amp;AuthUser=copom_DDTQ&amp;AuthPass=DDTQcopom&amp;Width=1024&amp;Height=768&amp;Quality=70&amp;FPS=10&amp;ResponseFormat=Text</v>
      </c>
      <c r="P30" s="106">
        <f>Cadastro!$P30</f>
        <v>1</v>
      </c>
    </row>
    <row r="31">
      <c r="A31" s="104" t="str">
        <f>Cadastro!$A31</f>
        <v>URBS 2</v>
      </c>
      <c r="B31" s="104" t="str">
        <f>Cadastro!$B31</f>
        <v>CURITIBA</v>
      </c>
      <c r="C31" s="107" t="str">
        <f>Cadastro!$C31</f>
        <v>https://monitoramento.pm.pr.gov.br/proxy_image_2/</v>
      </c>
      <c r="D31" s="105">
        <f>Cadastro!$D31</f>
        <v>28601</v>
      </c>
      <c r="E31" s="104" t="str">
        <f>Cadastro!$E31</f>
        <v>Camera034</v>
      </c>
      <c r="F31" s="104" t="str">
        <f>Cadastro!$F31</f>
        <v>Mateus Leme x João Gava      </v>
      </c>
      <c r="G31" s="104" t="str">
        <f>Cadastro!$G31</f>
        <v>-25.387877</v>
      </c>
      <c r="H31" s="104" t="str">
        <f>Cadastro!$H31</f>
        <v>-49.267574</v>
      </c>
      <c r="I31" s="104" t="str">
        <f>Cadastro!$I31</f>
        <v>copom_DDTQ</v>
      </c>
      <c r="J31" s="104" t="str">
        <f>Cadastro!$J31</f>
        <v>DDTQcopom</v>
      </c>
      <c r="K31" s="104" t="s">
        <v>4536</v>
      </c>
      <c r="L31" s="104" t="s">
        <v>26</v>
      </c>
      <c r="M31" s="104" t="s">
        <v>27</v>
      </c>
      <c r="N31" s="108" t="str">
        <f t="shared" si="1"/>
        <v>URBS 2</v>
      </c>
      <c r="O31" s="109" t="str">
        <f>Cadastro!$O31</f>
        <v>https://monitoramento.pm.pr.gov.br/proxy_image_2/Interface/Cameras/GetJPEGStream?Camera=Camera034&amp;AuthUser=copom_DDTQ&amp;AuthPass=DDTQcopom&amp;Width=1024&amp;Height=768&amp;Quality=70&amp;FPS=10&amp;ResponseFormat=Text</v>
      </c>
      <c r="P31" s="106">
        <f>Cadastro!$P31</f>
        <v>1</v>
      </c>
    </row>
    <row r="32">
      <c r="A32" s="104" t="str">
        <f>Cadastro!$A32</f>
        <v>URBS 2</v>
      </c>
      <c r="B32" s="104" t="str">
        <f>Cadastro!$B32</f>
        <v>CURITIBA</v>
      </c>
      <c r="C32" s="107" t="str">
        <f>Cadastro!$C32</f>
        <v>https://monitoramento.pm.pr.gov.br/proxy_image_2/</v>
      </c>
      <c r="D32" s="105">
        <f>Cadastro!$D32</f>
        <v>28601</v>
      </c>
      <c r="E32" s="104" t="str">
        <f>Cadastro!$E32</f>
        <v>Camera035</v>
      </c>
      <c r="F32" s="104" t="str">
        <f>Cadastro!$F32</f>
        <v>Rep. Argentina x Silva Jardim         </v>
      </c>
      <c r="G32" s="104" t="str">
        <f>Cadastro!$G32</f>
        <v>-25.447276</v>
      </c>
      <c r="H32" s="104" t="str">
        <f>Cadastro!$H32</f>
        <v>-49.287728</v>
      </c>
      <c r="I32" s="104" t="str">
        <f>Cadastro!$I32</f>
        <v>copom_DDTQ</v>
      </c>
      <c r="J32" s="104" t="str">
        <f>Cadastro!$J32</f>
        <v>DDTQcopom</v>
      </c>
      <c r="K32" s="104" t="s">
        <v>4536</v>
      </c>
      <c r="L32" s="104" t="s">
        <v>26</v>
      </c>
      <c r="M32" s="104" t="s">
        <v>27</v>
      </c>
      <c r="N32" s="108" t="str">
        <f t="shared" si="1"/>
        <v>URBS 2</v>
      </c>
      <c r="O32" s="109" t="str">
        <f>Cadastro!$O32</f>
        <v>https://monitoramento.pm.pr.gov.br/proxy_image_2/Interface/Cameras/GetJPEGStream?Camera=Camera035&amp;AuthUser=copom_DDTQ&amp;AuthPass=DDTQcopom&amp;Width=1024&amp;Height=768&amp;Quality=70&amp;FPS=10&amp;ResponseFormat=Text</v>
      </c>
      <c r="P32" s="106">
        <f>Cadastro!$P32</f>
        <v>1</v>
      </c>
    </row>
    <row r="33">
      <c r="A33" s="104" t="str">
        <f>Cadastro!$A33</f>
        <v>URBS 2</v>
      </c>
      <c r="B33" s="104" t="str">
        <f>Cadastro!$B33</f>
        <v>CURITIBA</v>
      </c>
      <c r="C33" s="107" t="str">
        <f>Cadastro!$C33</f>
        <v>https://monitoramento.pm.pr.gov.br/proxy_image_2/</v>
      </c>
      <c r="D33" s="105">
        <f>Cadastro!$D33</f>
        <v>28601</v>
      </c>
      <c r="E33" s="104" t="str">
        <f>Cadastro!$E33</f>
        <v>Camera036</v>
      </c>
      <c r="F33" s="104" t="str">
        <f>Cadastro!$F33</f>
        <v>Monsenhor Ivo Zanlorenzi x Major Heitor Guimaraes</v>
      </c>
      <c r="G33" s="104" t="str">
        <f>Cadastro!$G33</f>
        <v>-25.438708</v>
      </c>
      <c r="H33" s="104" t="str">
        <f>Cadastro!$H33</f>
        <v>-49.310675</v>
      </c>
      <c r="I33" s="104" t="str">
        <f>Cadastro!$I33</f>
        <v>copom_DDTQ</v>
      </c>
      <c r="J33" s="104" t="str">
        <f>Cadastro!$J33</f>
        <v>DDTQcopom</v>
      </c>
      <c r="K33" s="104" t="s">
        <v>4536</v>
      </c>
      <c r="L33" s="104" t="s">
        <v>26</v>
      </c>
      <c r="M33" s="104" t="s">
        <v>27</v>
      </c>
      <c r="N33" s="108" t="str">
        <f t="shared" si="1"/>
        <v>URBS 2</v>
      </c>
      <c r="O33" s="109" t="str">
        <f>Cadastro!$O33</f>
        <v>https://monitoramento.pm.pr.gov.br/proxy_image_2/Interface/Cameras/GetJPEGStream?Camera=Camera036&amp;AuthUser=copom_DDTQ&amp;AuthPass=DDTQcopom&amp;Width=1024&amp;Height=768&amp;Quality=70&amp;FPS=10&amp;ResponseFormat=Text</v>
      </c>
      <c r="P33" s="106">
        <f>Cadastro!$P33</f>
        <v>1</v>
      </c>
    </row>
    <row r="34">
      <c r="A34" s="104" t="str">
        <f>Cadastro!$A34</f>
        <v>URBS 2</v>
      </c>
      <c r="B34" s="104" t="str">
        <f>Cadastro!$B34</f>
        <v>CURITIBA</v>
      </c>
      <c r="C34" s="107" t="str">
        <f>Cadastro!$C34</f>
        <v>https://monitoramento.pm.pr.gov.br/proxy_image_2/</v>
      </c>
      <c r="D34" s="105">
        <f>Cadastro!$D34</f>
        <v>28601</v>
      </c>
      <c r="E34" s="104" t="str">
        <f>Cadastro!$E34</f>
        <v>Camera037</v>
      </c>
      <c r="F34" s="104" t="str">
        <f>Cadastro!$F34</f>
        <v>Pe. Agostinho x Gal. Mario Tourinho   </v>
      </c>
      <c r="G34" s="104" t="str">
        <f>Cadastro!$G34</f>
        <v>-25.435347</v>
      </c>
      <c r="H34" s="104" t="str">
        <f>Cadastro!$H34</f>
        <v>-49.308822</v>
      </c>
      <c r="I34" s="104" t="str">
        <f>Cadastro!$I34</f>
        <v>copom_DDTQ</v>
      </c>
      <c r="J34" s="104" t="str">
        <f>Cadastro!$J34</f>
        <v>DDTQcopom</v>
      </c>
      <c r="K34" s="104" t="s">
        <v>4536</v>
      </c>
      <c r="L34" s="104" t="s">
        <v>26</v>
      </c>
      <c r="M34" s="104" t="s">
        <v>27</v>
      </c>
      <c r="N34" s="108" t="str">
        <f t="shared" si="1"/>
        <v>URBS 2</v>
      </c>
      <c r="O34" s="109" t="str">
        <f>Cadastro!$O34</f>
        <v>https://monitoramento.pm.pr.gov.br/proxy_image_2/Interface/Cameras/GetJPEGStream?Camera=Camera037&amp;AuthUser=copom_DDTQ&amp;AuthPass=DDTQcopom&amp;Width=1024&amp;Height=768&amp;Quality=70&amp;FPS=10&amp;ResponseFormat=Text</v>
      </c>
      <c r="P34" s="106">
        <f>Cadastro!$P34</f>
        <v>1</v>
      </c>
    </row>
    <row r="35">
      <c r="A35" s="104" t="str">
        <f>Cadastro!$A35</f>
        <v>URBS 2</v>
      </c>
      <c r="B35" s="104" t="str">
        <f>Cadastro!$B35</f>
        <v>CURITIBA</v>
      </c>
      <c r="C35" s="107" t="str">
        <f>Cadastro!$C35</f>
        <v>https://monitoramento.pm.pr.gov.br/proxy_image_2/</v>
      </c>
      <c r="D35" s="105">
        <f>Cadastro!$D35</f>
        <v>28601</v>
      </c>
      <c r="E35" s="104" t="str">
        <f>Cadastro!$E35</f>
        <v>Camera038</v>
      </c>
      <c r="F35" s="104" t="str">
        <f>Cadastro!$F35</f>
        <v>Nossa Senhora Aparecida x Gal. Mario Tourinho  </v>
      </c>
      <c r="G35" s="104" t="str">
        <f>Cadastro!$G35</f>
        <v>-25.449403</v>
      </c>
      <c r="H35" s="104" t="str">
        <f>Cadastro!$H35</f>
        <v>-49.304609</v>
      </c>
      <c r="I35" s="104" t="str">
        <f>Cadastro!$I35</f>
        <v>copom_DDTQ</v>
      </c>
      <c r="J35" s="104" t="str">
        <f>Cadastro!$J35</f>
        <v>DDTQcopom</v>
      </c>
      <c r="K35" s="104" t="s">
        <v>4536</v>
      </c>
      <c r="L35" s="104" t="s">
        <v>26</v>
      </c>
      <c r="M35" s="104" t="s">
        <v>27</v>
      </c>
      <c r="N35" s="108" t="str">
        <f t="shared" si="1"/>
        <v>URBS 2</v>
      </c>
      <c r="O35" s="109" t="str">
        <f>Cadastro!$O35</f>
        <v>https://monitoramento.pm.pr.gov.br/proxy_image_2/Interface/Cameras/GetJPEGStream?Camera=Camera038&amp;AuthUser=copom_DDTQ&amp;AuthPass=DDTQcopom&amp;Width=1024&amp;Height=768&amp;Quality=70&amp;FPS=10&amp;ResponseFormat=Text</v>
      </c>
      <c r="P35" s="106">
        <f>Cadastro!$P35</f>
        <v>1</v>
      </c>
    </row>
    <row r="36">
      <c r="A36" s="104" t="str">
        <f>Cadastro!$A36</f>
        <v>URBS 2</v>
      </c>
      <c r="B36" s="104" t="str">
        <f>Cadastro!$B36</f>
        <v>CURITIBA</v>
      </c>
      <c r="C36" s="107" t="str">
        <f>Cadastro!$C36</f>
        <v>https://monitoramento.pm.pr.gov.br/proxy_image_2/</v>
      </c>
      <c r="D36" s="105">
        <f>Cadastro!$D36</f>
        <v>28601</v>
      </c>
      <c r="E36" s="104" t="str">
        <f>Cadastro!$E36</f>
        <v>Camera039</v>
      </c>
      <c r="F36" s="104" t="str">
        <f>Cadastro!$F36</f>
        <v>Irmãns Paulinas x Av. Brasília x Trav. Augusto Marach   </v>
      </c>
      <c r="G36" s="104" t="str">
        <f>Cadastro!$G36</f>
        <v>-25.488726</v>
      </c>
      <c r="H36" s="104" t="str">
        <f>Cadastro!$H36</f>
        <v>-49.291799</v>
      </c>
      <c r="I36" s="104" t="str">
        <f>Cadastro!$I36</f>
        <v>copom_DDTQ</v>
      </c>
      <c r="J36" s="104" t="str">
        <f>Cadastro!$J36</f>
        <v>DDTQcopom</v>
      </c>
      <c r="K36" s="104" t="s">
        <v>4536</v>
      </c>
      <c r="L36" s="104" t="s">
        <v>26</v>
      </c>
      <c r="M36" s="104" t="s">
        <v>27</v>
      </c>
      <c r="N36" s="108" t="str">
        <f t="shared" si="1"/>
        <v>URBS 2</v>
      </c>
      <c r="O36" s="109" t="str">
        <f>Cadastro!$O36</f>
        <v>https://monitoramento.pm.pr.gov.br/proxy_image_2/Interface/Cameras/GetJPEGStream?Camera=Camera039&amp;AuthUser=copom_DDTQ&amp;AuthPass=DDTQcopom&amp;Width=1024&amp;Height=768&amp;Quality=70&amp;FPS=10&amp;ResponseFormat=Text</v>
      </c>
      <c r="P36" s="106">
        <f>Cadastro!$P36</f>
        <v>1</v>
      </c>
    </row>
    <row r="37">
      <c r="A37" s="104" t="str">
        <f>Cadastro!$A37</f>
        <v>URBS 2</v>
      </c>
      <c r="B37" s="104" t="str">
        <f>Cadastro!$B37</f>
        <v>CURITIBA</v>
      </c>
      <c r="C37" s="107" t="str">
        <f>Cadastro!$C37</f>
        <v>https://monitoramento.pm.pr.gov.br/proxy_image_2/</v>
      </c>
      <c r="D37" s="105">
        <f>Cadastro!$D37</f>
        <v>28601</v>
      </c>
      <c r="E37" s="104" t="str">
        <f>Cadastro!$E37</f>
        <v>Camera040</v>
      </c>
      <c r="F37" s="104" t="str">
        <f>Cadastro!$F37</f>
        <v>Sta. Bernadethe x Wilson de França x Eduardo Carlos Pereira  </v>
      </c>
      <c r="G37" s="104" t="str">
        <f>Cadastro!$G37</f>
        <v>-25.477138</v>
      </c>
      <c r="H37" s="104" t="str">
        <f>Cadastro!$H37</f>
        <v>-49.289229</v>
      </c>
      <c r="I37" s="104" t="str">
        <f>Cadastro!$I37</f>
        <v>copom_DDTQ</v>
      </c>
      <c r="J37" s="104" t="str">
        <f>Cadastro!$J37</f>
        <v>DDTQcopom</v>
      </c>
      <c r="K37" s="104" t="s">
        <v>4536</v>
      </c>
      <c r="L37" s="104" t="s">
        <v>26</v>
      </c>
      <c r="M37" s="104" t="s">
        <v>27</v>
      </c>
      <c r="N37" s="108" t="str">
        <f t="shared" si="1"/>
        <v>URBS 2</v>
      </c>
      <c r="O37" s="109" t="str">
        <f>Cadastro!$O37</f>
        <v>https://monitoramento.pm.pr.gov.br/proxy_image_2/Interface/Cameras/GetJPEGStream?Camera=Camera040&amp;AuthUser=copom_DDTQ&amp;AuthPass=DDTQcopom&amp;Width=1024&amp;Height=768&amp;Quality=70&amp;FPS=10&amp;ResponseFormat=Text</v>
      </c>
      <c r="P37" s="106">
        <f>Cadastro!$P37</f>
        <v>1</v>
      </c>
    </row>
    <row r="38">
      <c r="A38" s="104" t="str">
        <f>Cadastro!$A38</f>
        <v>URBS 2</v>
      </c>
      <c r="B38" s="104" t="str">
        <f>Cadastro!$B38</f>
        <v>CURITIBA</v>
      </c>
      <c r="C38" s="107" t="str">
        <f>Cadastro!$C38</f>
        <v>https://monitoramento.pm.pr.gov.br/proxy_image_2/</v>
      </c>
      <c r="D38" s="105">
        <f>Cadastro!$D38</f>
        <v>28601</v>
      </c>
      <c r="E38" s="104" t="str">
        <f>Cadastro!$E38</f>
        <v>Camera041</v>
      </c>
      <c r="F38" s="104" t="str">
        <f>Cadastro!$F38</f>
        <v>Pres. Getulio Vargas x 24 de Maio    </v>
      </c>
      <c r="G38" s="104" t="str">
        <f>Cadastro!$G38</f>
        <v>-25.444582</v>
      </c>
      <c r="H38" s="104" t="str">
        <f>Cadastro!$H38</f>
        <v>-49.270919</v>
      </c>
      <c r="I38" s="104" t="str">
        <f>Cadastro!$I38</f>
        <v>copom_DDTQ</v>
      </c>
      <c r="J38" s="104" t="str">
        <f>Cadastro!$J38</f>
        <v>DDTQcopom</v>
      </c>
      <c r="K38" s="104" t="s">
        <v>4536</v>
      </c>
      <c r="L38" s="104" t="s">
        <v>26</v>
      </c>
      <c r="M38" s="104" t="s">
        <v>27</v>
      </c>
      <c r="N38" s="108" t="str">
        <f t="shared" si="1"/>
        <v>URBS 2</v>
      </c>
      <c r="O38" s="109" t="str">
        <f>Cadastro!$O38</f>
        <v>https://monitoramento.pm.pr.gov.br/proxy_image_2/Interface/Cameras/GetJPEGStream?Camera=Camera041&amp;AuthUser=copom_DDTQ&amp;AuthPass=DDTQcopom&amp;Width=1024&amp;Height=768&amp;Quality=70&amp;FPS=10&amp;ResponseFormat=Text</v>
      </c>
      <c r="P38" s="106">
        <f>Cadastro!$P38</f>
        <v>1</v>
      </c>
    </row>
    <row r="39">
      <c r="A39" s="104" t="str">
        <f>Cadastro!$A39</f>
        <v>URBS 2</v>
      </c>
      <c r="B39" s="104" t="str">
        <f>Cadastro!$B39</f>
        <v>CURITIBA</v>
      </c>
      <c r="C39" s="107" t="str">
        <f>Cadastro!$C39</f>
        <v>https://monitoramento.pm.pr.gov.br/proxy_image_2/</v>
      </c>
      <c r="D39" s="105">
        <f>Cadastro!$D39</f>
        <v>28601</v>
      </c>
      <c r="E39" s="104" t="str">
        <f>Cadastro!$E39</f>
        <v>Camera042</v>
      </c>
      <c r="F39" s="104" t="str">
        <f>Cadastro!$F39</f>
        <v>Dr. João Tobias Pinto Rebello x Itacolomi  </v>
      </c>
      <c r="G39" s="104" t="str">
        <f>Cadastro!$G39</f>
        <v>-25.479236</v>
      </c>
      <c r="H39" s="104" t="str">
        <f>Cadastro!$H39</f>
        <v>-49.295684</v>
      </c>
      <c r="I39" s="104" t="str">
        <f>Cadastro!$I39</f>
        <v>copom_DDTQ</v>
      </c>
      <c r="J39" s="104" t="str">
        <f>Cadastro!$J39</f>
        <v>DDTQcopom</v>
      </c>
      <c r="K39" s="104" t="s">
        <v>4536</v>
      </c>
      <c r="L39" s="104" t="s">
        <v>26</v>
      </c>
      <c r="M39" s="104" t="s">
        <v>27</v>
      </c>
      <c r="N39" s="108" t="str">
        <f t="shared" si="1"/>
        <v>URBS 2</v>
      </c>
      <c r="O39" s="109" t="str">
        <f>Cadastro!$O39</f>
        <v>https://monitoramento.pm.pr.gov.br/proxy_image_2/Interface/Cameras/GetJPEGStream?Camera=Camera042&amp;AuthUser=copom_DDTQ&amp;AuthPass=DDTQcopom&amp;Width=1024&amp;Height=768&amp;Quality=70&amp;FPS=10&amp;ResponseFormat=Text</v>
      </c>
      <c r="P39" s="106">
        <f>Cadastro!$P39</f>
        <v>1</v>
      </c>
    </row>
    <row r="40">
      <c r="A40" s="104" t="str">
        <f>Cadastro!$A40</f>
        <v>URBS 2</v>
      </c>
      <c r="B40" s="104" t="str">
        <f>Cadastro!$B40</f>
        <v>CURITIBA</v>
      </c>
      <c r="C40" s="107" t="str">
        <f>Cadastro!$C40</f>
        <v>https://monitoramento.pm.pr.gov.br/proxy_image_2/</v>
      </c>
      <c r="D40" s="105">
        <f>Cadastro!$D40</f>
        <v>28601</v>
      </c>
      <c r="E40" s="104" t="str">
        <f>Cadastro!$E40</f>
        <v>Camera043</v>
      </c>
      <c r="F40" s="104" t="str">
        <f>Cadastro!$F40</f>
        <v>Visconde de Guarapuava x Candido Xavier   </v>
      </c>
      <c r="G40" s="104" t="str">
        <f>Cadastro!$G40</f>
        <v>-25.44621</v>
      </c>
      <c r="H40" s="104" t="str">
        <f>Cadastro!$H40</f>
        <v>-49.29277</v>
      </c>
      <c r="I40" s="104" t="str">
        <f>Cadastro!$I40</f>
        <v>copom_DDTQ</v>
      </c>
      <c r="J40" s="104" t="str">
        <f>Cadastro!$J40</f>
        <v>DDTQcopom</v>
      </c>
      <c r="K40" s="104" t="s">
        <v>4536</v>
      </c>
      <c r="L40" s="104" t="s">
        <v>26</v>
      </c>
      <c r="M40" s="104" t="s">
        <v>27</v>
      </c>
      <c r="N40" s="108" t="str">
        <f t="shared" si="1"/>
        <v>URBS 2</v>
      </c>
      <c r="O40" s="109" t="str">
        <f>Cadastro!$O40</f>
        <v>https://monitoramento.pm.pr.gov.br/proxy_image_2/Interface/Cameras/GetJPEGStream?Camera=Camera043&amp;AuthUser=copom_DDTQ&amp;AuthPass=DDTQcopom&amp;Width=1024&amp;Height=768&amp;Quality=70&amp;FPS=10&amp;ResponseFormat=Text</v>
      </c>
      <c r="P40" s="106">
        <f>Cadastro!$P40</f>
        <v>1</v>
      </c>
    </row>
    <row r="41">
      <c r="A41" s="104" t="str">
        <f>Cadastro!$A41</f>
        <v>URBS 2</v>
      </c>
      <c r="B41" s="104" t="str">
        <f>Cadastro!$B41</f>
        <v>CURITIBA</v>
      </c>
      <c r="C41" s="107" t="str">
        <f>Cadastro!$C41</f>
        <v>https://monitoramento.pm.pr.gov.br/proxy_image_2/</v>
      </c>
      <c r="D41" s="105">
        <f>Cadastro!$D41</f>
        <v>28601</v>
      </c>
      <c r="E41" s="104" t="str">
        <f>Cadastro!$E41</f>
        <v>Camera044</v>
      </c>
      <c r="F41" s="104" t="str">
        <f>Cadastro!$F41</f>
        <v>Guilher Pugsley x Rio Grande do Sul </v>
      </c>
      <c r="G41" s="104" t="str">
        <f>Cadastro!$G41</f>
        <v>-25.462268</v>
      </c>
      <c r="H41" s="104" t="str">
        <f>Cadastro!$H41</f>
        <v>-49.288823</v>
      </c>
      <c r="I41" s="104" t="str">
        <f>Cadastro!$I41</f>
        <v>copom_DDTQ</v>
      </c>
      <c r="J41" s="104" t="str">
        <f>Cadastro!$J41</f>
        <v>DDTQcopom</v>
      </c>
      <c r="K41" s="104" t="s">
        <v>4536</v>
      </c>
      <c r="L41" s="104" t="s">
        <v>26</v>
      </c>
      <c r="M41" s="104" t="s">
        <v>27</v>
      </c>
      <c r="N41" s="108" t="str">
        <f t="shared" si="1"/>
        <v>URBS 2</v>
      </c>
      <c r="O41" s="109" t="str">
        <f>Cadastro!$O41</f>
        <v>https://monitoramento.pm.pr.gov.br/proxy_image_2/Interface/Cameras/GetJPEGStream?Camera=Camera044&amp;AuthUser=copom_DDTQ&amp;AuthPass=DDTQcopom&amp;Width=1024&amp;Height=768&amp;Quality=70&amp;FPS=10&amp;ResponseFormat=Text</v>
      </c>
      <c r="P41" s="106">
        <f>Cadastro!$P41</f>
        <v>1</v>
      </c>
    </row>
    <row r="42">
      <c r="A42" s="104" t="str">
        <f>Cadastro!$A42</f>
        <v>URBS 2</v>
      </c>
      <c r="B42" s="104" t="str">
        <f>Cadastro!$B42</f>
        <v>CURITIBA</v>
      </c>
      <c r="C42" s="107" t="str">
        <f>Cadastro!$C42</f>
        <v>https://monitoramento.pm.pr.gov.br/proxy_image_2/</v>
      </c>
      <c r="D42" s="105">
        <f>Cadastro!$D42</f>
        <v>28601</v>
      </c>
      <c r="E42" s="104" t="str">
        <f>Cadastro!$E42</f>
        <v>Camera045</v>
      </c>
      <c r="F42" s="104" t="str">
        <f>Cadastro!$F42</f>
        <v>João Gualberto x Bom Jesus    </v>
      </c>
      <c r="G42" s="104" t="str">
        <f>Cadastro!$G42</f>
        <v>-25.410247</v>
      </c>
      <c r="H42" s="104" t="str">
        <f>Cadastro!$H42</f>
        <v>-49.255958</v>
      </c>
      <c r="I42" s="104" t="str">
        <f>Cadastro!$I42</f>
        <v>copom_DDTQ</v>
      </c>
      <c r="J42" s="104" t="str">
        <f>Cadastro!$J42</f>
        <v>DDTQcopom</v>
      </c>
      <c r="K42" s="104" t="s">
        <v>4536</v>
      </c>
      <c r="L42" s="104" t="s">
        <v>26</v>
      </c>
      <c r="M42" s="104" t="s">
        <v>27</v>
      </c>
      <c r="N42" s="108" t="str">
        <f t="shared" si="1"/>
        <v>URBS 2</v>
      </c>
      <c r="O42" s="109" t="str">
        <f>Cadastro!$O42</f>
        <v>https://monitoramento.pm.pr.gov.br/proxy_image_2/Interface/Cameras/GetJPEGStream?Camera=Camera045&amp;AuthUser=copom_DDTQ&amp;AuthPass=DDTQcopom&amp;Width=1024&amp;Height=768&amp;Quality=70&amp;FPS=10&amp;ResponseFormat=Text</v>
      </c>
      <c r="P42" s="106">
        <f>Cadastro!$P42</f>
        <v>1</v>
      </c>
    </row>
    <row r="43">
      <c r="A43" s="104" t="str">
        <f>Cadastro!$A43</f>
        <v>URBS 2</v>
      </c>
      <c r="B43" s="104" t="str">
        <f>Cadastro!$B43</f>
        <v>CURITIBA</v>
      </c>
      <c r="C43" s="107" t="str">
        <f>Cadastro!$C43</f>
        <v>https://monitoramento.pm.pr.gov.br/proxy_image_2/</v>
      </c>
      <c r="D43" s="105">
        <f>Cadastro!$D43</f>
        <v>28601</v>
      </c>
      <c r="E43" s="104" t="str">
        <f>Cadastro!$E43</f>
        <v>Camera046</v>
      </c>
      <c r="F43" s="104" t="str">
        <f>Cadastro!$F43</f>
        <v>Winston Churchil x Jose R. Pinheiro </v>
      </c>
      <c r="G43" s="104" t="str">
        <f>Cadastro!$G43</f>
        <v>-25.513491</v>
      </c>
      <c r="H43" s="104" t="str">
        <f>Cadastro!$H43</f>
        <v>-49.295768</v>
      </c>
      <c r="I43" s="104" t="str">
        <f>Cadastro!$I43</f>
        <v>copom_DDTQ</v>
      </c>
      <c r="J43" s="104" t="str">
        <f>Cadastro!$J43</f>
        <v>DDTQcopom</v>
      </c>
      <c r="K43" s="104" t="s">
        <v>4536</v>
      </c>
      <c r="L43" s="104" t="s">
        <v>26</v>
      </c>
      <c r="M43" s="104" t="s">
        <v>27</v>
      </c>
      <c r="N43" s="108" t="str">
        <f t="shared" si="1"/>
        <v>URBS 2</v>
      </c>
      <c r="O43" s="109" t="str">
        <f>Cadastro!$O43</f>
        <v>https://monitoramento.pm.pr.gov.br/proxy_image_2/Interface/Cameras/GetJPEGStream?Camera=Camera046&amp;AuthUser=copom_DDTQ&amp;AuthPass=DDTQcopom&amp;Width=1024&amp;Height=768&amp;Quality=70&amp;FPS=10&amp;ResponseFormat=Text</v>
      </c>
      <c r="P43" s="106">
        <f>Cadastro!$P43</f>
        <v>1</v>
      </c>
    </row>
    <row r="44">
      <c r="A44" s="104" t="str">
        <f>Cadastro!$A44</f>
        <v>URBS 2</v>
      </c>
      <c r="B44" s="104" t="str">
        <f>Cadastro!$B44</f>
        <v>CURITIBA</v>
      </c>
      <c r="C44" s="107" t="str">
        <f>Cadastro!$C44</f>
        <v>https://monitoramento.pm.pr.gov.br/proxy_image_2/</v>
      </c>
      <c r="D44" s="105">
        <f>Cadastro!$D44</f>
        <v>28601</v>
      </c>
      <c r="E44" s="104" t="str">
        <f>Cadastro!$E44</f>
        <v>Camera047</v>
      </c>
      <c r="F44" s="104" t="str">
        <f>Cadastro!$F44</f>
        <v>BR 476 x Prof. João Soares Barcelos  </v>
      </c>
      <c r="G44" s="104" t="str">
        <f>Cadastro!$G44</f>
        <v>-25.474466</v>
      </c>
      <c r="H44" s="104" t="str">
        <f>Cadastro!$H44</f>
        <v>-49.257831</v>
      </c>
      <c r="I44" s="104" t="str">
        <f>Cadastro!$I44</f>
        <v>copom_DDTQ</v>
      </c>
      <c r="J44" s="104" t="str">
        <f>Cadastro!$J44</f>
        <v>DDTQcopom</v>
      </c>
      <c r="K44" s="104" t="s">
        <v>4536</v>
      </c>
      <c r="L44" s="104" t="s">
        <v>26</v>
      </c>
      <c r="M44" s="104" t="s">
        <v>27</v>
      </c>
      <c r="N44" s="108" t="str">
        <f t="shared" si="1"/>
        <v>URBS 2</v>
      </c>
      <c r="O44" s="109" t="str">
        <f>Cadastro!$O44</f>
        <v>https://monitoramento.pm.pr.gov.br/proxy_image_2/Interface/Cameras/GetJPEGStream?Camera=Camera047&amp;AuthUser=copom_DDTQ&amp;AuthPass=DDTQcopom&amp;Width=1024&amp;Height=768&amp;Quality=70&amp;FPS=10&amp;ResponseFormat=Text</v>
      </c>
      <c r="P44" s="106">
        <f>Cadastro!$P44</f>
        <v>1</v>
      </c>
    </row>
    <row r="45">
      <c r="A45" s="104" t="str">
        <f>Cadastro!$A45</f>
        <v>URBS 2</v>
      </c>
      <c r="B45" s="104" t="str">
        <f>Cadastro!$B45</f>
        <v>CURITIBA</v>
      </c>
      <c r="C45" s="107" t="str">
        <f>Cadastro!$C45</f>
        <v>https://monitoramento.pm.pr.gov.br/proxy_image_2/</v>
      </c>
      <c r="D45" s="105">
        <f>Cadastro!$D45</f>
        <v>28601</v>
      </c>
      <c r="E45" s="104" t="str">
        <f>Cadastro!$E45</f>
        <v>Camera048</v>
      </c>
      <c r="F45" s="104" t="str">
        <f>Cadastro!$F45</f>
        <v>Mal. Floriano Peixoto x Des. Antonio de Paula </v>
      </c>
      <c r="G45" s="104" t="str">
        <f>Cadastro!$G45</f>
        <v>-25.510449</v>
      </c>
      <c r="H45" s="104" t="str">
        <f>Cadastro!$H45</f>
        <v>-49.23303</v>
      </c>
      <c r="I45" s="104" t="str">
        <f>Cadastro!$I45</f>
        <v>copom_DDTQ</v>
      </c>
      <c r="J45" s="104" t="str">
        <f>Cadastro!$J45</f>
        <v>DDTQcopom</v>
      </c>
      <c r="K45" s="104" t="s">
        <v>4536</v>
      </c>
      <c r="L45" s="104" t="s">
        <v>26</v>
      </c>
      <c r="M45" s="104" t="s">
        <v>27</v>
      </c>
      <c r="N45" s="108" t="str">
        <f t="shared" si="1"/>
        <v>URBS 2</v>
      </c>
      <c r="O45" s="109" t="str">
        <f>Cadastro!$O45</f>
        <v>https://monitoramento.pm.pr.gov.br/proxy_image_2/Interface/Cameras/GetJPEGStream?Camera=Camera048&amp;AuthUser=copom_DDTQ&amp;AuthPass=DDTQcopom&amp;Width=1024&amp;Height=768&amp;Quality=70&amp;FPS=10&amp;ResponseFormat=Text</v>
      </c>
      <c r="P45" s="106">
        <f>Cadastro!$P45</f>
        <v>1</v>
      </c>
    </row>
    <row r="46">
      <c r="A46" s="104" t="str">
        <f>Cadastro!$A46</f>
        <v>URBS 2</v>
      </c>
      <c r="B46" s="104" t="str">
        <f>Cadastro!$B46</f>
        <v>CURITIBA</v>
      </c>
      <c r="C46" s="107" t="str">
        <f>Cadastro!$C46</f>
        <v>https://monitoramento.pm.pr.gov.br/proxy_image_2/</v>
      </c>
      <c r="D46" s="105">
        <f>Cadastro!$D46</f>
        <v>28601</v>
      </c>
      <c r="E46" s="104" t="str">
        <f>Cadastro!$E46</f>
        <v>Camera049</v>
      </c>
      <c r="F46" s="104" t="str">
        <f>Cadastro!$F46</f>
        <v>Mal. Floriano Peixoto x Hipólito da Costa  </v>
      </c>
      <c r="G46" s="104" t="str">
        <f>Cadastro!$G46</f>
        <v>-25.490298</v>
      </c>
      <c r="H46" s="104" t="str">
        <f>Cadastro!$H46</f>
        <v>-49.243191</v>
      </c>
      <c r="I46" s="104" t="str">
        <f>Cadastro!$I46</f>
        <v>copom_DDTQ</v>
      </c>
      <c r="J46" s="104" t="str">
        <f>Cadastro!$J46</f>
        <v>DDTQcopom</v>
      </c>
      <c r="K46" s="104" t="s">
        <v>4536</v>
      </c>
      <c r="L46" s="104" t="s">
        <v>26</v>
      </c>
      <c r="M46" s="104" t="s">
        <v>27</v>
      </c>
      <c r="N46" s="108" t="str">
        <f t="shared" si="1"/>
        <v>URBS 2</v>
      </c>
      <c r="O46" s="109" t="str">
        <f>Cadastro!$O46</f>
        <v>https://monitoramento.pm.pr.gov.br/proxy_image_2/Interface/Cameras/GetJPEGStream?Camera=Camera049&amp;AuthUser=copom_DDTQ&amp;AuthPass=DDTQcopom&amp;Width=1024&amp;Height=768&amp;Quality=70&amp;FPS=10&amp;ResponseFormat=Text</v>
      </c>
      <c r="P46" s="106">
        <f>Cadastro!$P46</f>
        <v>1</v>
      </c>
    </row>
    <row r="47">
      <c r="A47" s="104" t="str">
        <f>Cadastro!$A47</f>
        <v>URBS 2</v>
      </c>
      <c r="B47" s="104" t="str">
        <f>Cadastro!$B47</f>
        <v>CURITIBA</v>
      </c>
      <c r="C47" s="107" t="str">
        <f>Cadastro!$C47</f>
        <v>https://monitoramento.pm.pr.gov.br/proxy_image_2/</v>
      </c>
      <c r="D47" s="105">
        <f>Cadastro!$D47</f>
        <v>28601</v>
      </c>
      <c r="E47" s="104" t="str">
        <f>Cadastro!$E47</f>
        <v>Camera050</v>
      </c>
      <c r="F47" s="104" t="str">
        <f>Cadastro!$F47</f>
        <v>Francisco Derosso x Antonio Rebelatto  </v>
      </c>
      <c r="G47" s="104" t="str">
        <f>Cadastro!$G47</f>
        <v>-25.49648</v>
      </c>
      <c r="H47" s="104" t="str">
        <f>Cadastro!$H47</f>
        <v>-49.270576</v>
      </c>
      <c r="I47" s="104" t="str">
        <f>Cadastro!$I47</f>
        <v>copom_DDTQ</v>
      </c>
      <c r="J47" s="104" t="str">
        <f>Cadastro!$J47</f>
        <v>DDTQcopom</v>
      </c>
      <c r="K47" s="104" t="s">
        <v>4536</v>
      </c>
      <c r="L47" s="104" t="s">
        <v>26</v>
      </c>
      <c r="M47" s="104" t="s">
        <v>27</v>
      </c>
      <c r="N47" s="108" t="str">
        <f t="shared" si="1"/>
        <v>URBS 2</v>
      </c>
      <c r="O47" s="109" t="str">
        <f>Cadastro!$O47</f>
        <v>https://monitoramento.pm.pr.gov.br/proxy_image_2/Interface/Cameras/GetJPEGStream?Camera=Camera050&amp;AuthUser=copom_DDTQ&amp;AuthPass=DDTQcopom&amp;Width=1024&amp;Height=768&amp;Quality=70&amp;FPS=10&amp;ResponseFormat=Text</v>
      </c>
      <c r="P47" s="106">
        <f>Cadastro!$P47</f>
        <v>1</v>
      </c>
    </row>
    <row r="48">
      <c r="A48" s="104" t="str">
        <f>Cadastro!$A48</f>
        <v>URBS 2</v>
      </c>
      <c r="B48" s="104" t="str">
        <f>Cadastro!$B48</f>
        <v>CURITIBA</v>
      </c>
      <c r="C48" s="107" t="str">
        <f>Cadastro!$C48</f>
        <v>https://monitoramento.pm.pr.gov.br/proxy_image_2/</v>
      </c>
      <c r="D48" s="105">
        <f>Cadastro!$D48</f>
        <v>28601</v>
      </c>
      <c r="E48" s="104" t="str">
        <f>Cadastro!$E48</f>
        <v>Camera051</v>
      </c>
      <c r="F48" s="104" t="str">
        <f>Cadastro!$F48</f>
        <v>Imaculada Conceição x Sem. Salgado Filho  </v>
      </c>
      <c r="G48" s="104" t="str">
        <f>Cadastro!$G48</f>
        <v>-25.453221</v>
      </c>
      <c r="H48" s="104" t="str">
        <f>Cadastro!$H48</f>
        <v>-49.252627</v>
      </c>
      <c r="I48" s="104" t="str">
        <f>Cadastro!$I48</f>
        <v>copom_DDTQ</v>
      </c>
      <c r="J48" s="104" t="str">
        <f>Cadastro!$J48</f>
        <v>DDTQcopom</v>
      </c>
      <c r="K48" s="104" t="s">
        <v>4536</v>
      </c>
      <c r="L48" s="104" t="s">
        <v>26</v>
      </c>
      <c r="M48" s="104" t="s">
        <v>27</v>
      </c>
      <c r="N48" s="108" t="str">
        <f t="shared" si="1"/>
        <v>URBS 2</v>
      </c>
      <c r="O48" s="109" t="str">
        <f>Cadastro!$O48</f>
        <v>https://monitoramento.pm.pr.gov.br/proxy_image_2/Interface/Cameras/GetJPEGStream?Camera=Camera051&amp;AuthUser=copom_DDTQ&amp;AuthPass=DDTQcopom&amp;Width=1024&amp;Height=768&amp;Quality=70&amp;FPS=10&amp;ResponseFormat=Text</v>
      </c>
      <c r="P48" s="106">
        <f>Cadastro!$P48</f>
        <v>1</v>
      </c>
    </row>
    <row r="49">
      <c r="A49" s="104" t="str">
        <f>Cadastro!$A49</f>
        <v>URBS 2</v>
      </c>
      <c r="B49" s="104" t="str">
        <f>Cadastro!$B49</f>
        <v>CURITIBA</v>
      </c>
      <c r="C49" s="107" t="str">
        <f>Cadastro!$C49</f>
        <v>https://monitoramento.pm.pr.gov.br/proxy_image_2/</v>
      </c>
      <c r="D49" s="105">
        <f>Cadastro!$D49</f>
        <v>28601</v>
      </c>
      <c r="E49" s="104" t="str">
        <f>Cadastro!$E49</f>
        <v>Camera052</v>
      </c>
      <c r="F49" s="104" t="str">
        <f>Cadastro!$F49</f>
        <v>Anne Frank x Dr. Julio César R. Souza  </v>
      </c>
      <c r="G49" s="104" t="str">
        <f>Cadastro!$G49</f>
        <v>-25.479466</v>
      </c>
      <c r="H49" s="104" t="str">
        <f>Cadastro!$H49</f>
        <v>-49.246984</v>
      </c>
      <c r="I49" s="104" t="str">
        <f>Cadastro!$I49</f>
        <v>copom_DDTQ</v>
      </c>
      <c r="J49" s="104" t="str">
        <f>Cadastro!$J49</f>
        <v>DDTQcopom</v>
      </c>
      <c r="K49" s="104" t="s">
        <v>4536</v>
      </c>
      <c r="L49" s="104" t="s">
        <v>26</v>
      </c>
      <c r="M49" s="104" t="s">
        <v>27</v>
      </c>
      <c r="N49" s="108" t="str">
        <f t="shared" si="1"/>
        <v>URBS 2</v>
      </c>
      <c r="O49" s="109" t="str">
        <f>Cadastro!$O49</f>
        <v>https://monitoramento.pm.pr.gov.br/proxy_image_2/Interface/Cameras/GetJPEGStream?Camera=Camera052&amp;AuthUser=copom_DDTQ&amp;AuthPass=DDTQcopom&amp;Width=1024&amp;Height=768&amp;Quality=70&amp;FPS=10&amp;ResponseFormat=Text</v>
      </c>
      <c r="P49" s="106">
        <f>Cadastro!$P49</f>
        <v>1</v>
      </c>
    </row>
    <row r="50">
      <c r="A50" s="104" t="str">
        <f>Cadastro!$A50</f>
        <v>URBS 2</v>
      </c>
      <c r="B50" s="104" t="str">
        <f>Cadastro!$B50</f>
        <v>CURITIBA</v>
      </c>
      <c r="C50" s="107" t="str">
        <f>Cadastro!$C50</f>
        <v>https://monitoramento.pm.pr.gov.br/proxy_image_2/</v>
      </c>
      <c r="D50" s="105">
        <f>Cadastro!$D50</f>
        <v>28601</v>
      </c>
      <c r="E50" s="104" t="str">
        <f>Cadastro!$E50</f>
        <v>Camera053</v>
      </c>
      <c r="F50" s="104" t="str">
        <f>Cadastro!$F50</f>
        <v>Av. Com. Franco x Rosa Mehl  </v>
      </c>
      <c r="G50" s="104" t="str">
        <f>Cadastro!$G50</f>
        <v>-25.484687</v>
      </c>
      <c r="H50" s="104" t="str">
        <f>Cadastro!$H50</f>
        <v>-49.219978</v>
      </c>
      <c r="I50" s="104" t="str">
        <f>Cadastro!$I50</f>
        <v>copom_DDTQ</v>
      </c>
      <c r="J50" s="104" t="str">
        <f>Cadastro!$J50</f>
        <v>DDTQcopom</v>
      </c>
      <c r="K50" s="104" t="s">
        <v>4536</v>
      </c>
      <c r="L50" s="104" t="s">
        <v>26</v>
      </c>
      <c r="M50" s="104" t="s">
        <v>27</v>
      </c>
      <c r="N50" s="108" t="str">
        <f t="shared" si="1"/>
        <v>URBS 2</v>
      </c>
      <c r="O50" s="109" t="str">
        <f>Cadastro!$O50</f>
        <v>https://monitoramento.pm.pr.gov.br/proxy_image_2/Interface/Cameras/GetJPEGStream?Camera=Camera053&amp;AuthUser=copom_DDTQ&amp;AuthPass=DDTQcopom&amp;Width=1024&amp;Height=768&amp;Quality=70&amp;FPS=10&amp;ResponseFormat=Text</v>
      </c>
      <c r="P50" s="106">
        <f>Cadastro!$P50</f>
        <v>1</v>
      </c>
    </row>
    <row r="51">
      <c r="A51" s="104" t="str">
        <f>Cadastro!$A51</f>
        <v>URBS 2</v>
      </c>
      <c r="B51" s="104" t="str">
        <f>Cadastro!$B51</f>
        <v>CURITIBA</v>
      </c>
      <c r="C51" s="107" t="str">
        <f>Cadastro!$C51</f>
        <v>https://monitoramento.pm.pr.gov.br/proxy_image_2/</v>
      </c>
      <c r="D51" s="105">
        <f>Cadastro!$D51</f>
        <v>28601</v>
      </c>
      <c r="E51" s="104" t="str">
        <f>Cadastro!$E51</f>
        <v>Camera054</v>
      </c>
      <c r="F51" s="104" t="str">
        <f>Cadastro!$F51</f>
        <v>Lamenha Lins x Av. Pres. Kennedy  </v>
      </c>
      <c r="G51" s="104" t="str">
        <f>Cadastro!$G51</f>
        <v>-25.455809</v>
      </c>
      <c r="H51" s="104" t="str">
        <f>Cadastro!$H51</f>
        <v>-49.267849</v>
      </c>
      <c r="I51" s="104" t="str">
        <f>Cadastro!$I51</f>
        <v>copom_DDTQ</v>
      </c>
      <c r="J51" s="104" t="str">
        <f>Cadastro!$J51</f>
        <v>DDTQcopom</v>
      </c>
      <c r="K51" s="104" t="s">
        <v>4536</v>
      </c>
      <c r="L51" s="104" t="s">
        <v>26</v>
      </c>
      <c r="M51" s="104" t="s">
        <v>27</v>
      </c>
      <c r="N51" s="108" t="str">
        <f t="shared" si="1"/>
        <v>URBS 2</v>
      </c>
      <c r="O51" s="109" t="str">
        <f>Cadastro!$O51</f>
        <v>https://monitoramento.pm.pr.gov.br/proxy_image_2/Interface/Cameras/GetJPEGStream?Camera=Camera054&amp;AuthUser=copom_DDTQ&amp;AuthPass=DDTQcopom&amp;Width=1024&amp;Height=768&amp;Quality=70&amp;FPS=10&amp;ResponseFormat=Text</v>
      </c>
      <c r="P51" s="106">
        <f>Cadastro!$P51</f>
        <v>1</v>
      </c>
    </row>
    <row r="52">
      <c r="A52" s="104" t="str">
        <f>Cadastro!$A52</f>
        <v>URBS 2</v>
      </c>
      <c r="B52" s="104" t="str">
        <f>Cadastro!$B52</f>
        <v>CURITIBA</v>
      </c>
      <c r="C52" s="107" t="str">
        <f>Cadastro!$C52</f>
        <v>https://monitoramento.pm.pr.gov.br/proxy_image_2/</v>
      </c>
      <c r="D52" s="105">
        <f>Cadastro!$D52</f>
        <v>28601</v>
      </c>
      <c r="E52" s="104" t="str">
        <f>Cadastro!$E52</f>
        <v>Camera055</v>
      </c>
      <c r="F52" s="104" t="str">
        <f>Cadastro!$F52</f>
        <v>Av. Victor Ferreira do Amaral x BR 476  </v>
      </c>
      <c r="G52" s="104" t="str">
        <f>Cadastro!$G52</f>
        <v>-25.428525</v>
      </c>
      <c r="H52" s="104" t="str">
        <f>Cadastro!$H52</f>
        <v>-49.228229</v>
      </c>
      <c r="I52" s="104" t="str">
        <f>Cadastro!$I52</f>
        <v>copom_DDTQ</v>
      </c>
      <c r="J52" s="104" t="str">
        <f>Cadastro!$J52</f>
        <v>DDTQcopom</v>
      </c>
      <c r="K52" s="104" t="s">
        <v>4536</v>
      </c>
      <c r="L52" s="104" t="s">
        <v>26</v>
      </c>
      <c r="M52" s="104" t="s">
        <v>27</v>
      </c>
      <c r="N52" s="108" t="str">
        <f t="shared" si="1"/>
        <v>URBS 2</v>
      </c>
      <c r="O52" s="109" t="str">
        <f>Cadastro!$O52</f>
        <v>https://monitoramento.pm.pr.gov.br/proxy_image_2/Interface/Cameras/GetJPEGStream?Camera=Camera055&amp;AuthUser=copom_DDTQ&amp;AuthPass=DDTQcopom&amp;Width=1024&amp;Height=768&amp;Quality=70&amp;FPS=10&amp;ResponseFormat=Text</v>
      </c>
      <c r="P52" s="106">
        <f>Cadastro!$P52</f>
        <v>1</v>
      </c>
    </row>
    <row r="53">
      <c r="A53" s="104" t="str">
        <f>Cadastro!$A53</f>
        <v>URBS 2</v>
      </c>
      <c r="B53" s="104" t="str">
        <f>Cadastro!$B53</f>
        <v>CURITIBA</v>
      </c>
      <c r="C53" s="107" t="str">
        <f>Cadastro!$C53</f>
        <v>https://monitoramento.pm.pr.gov.br/proxy_image_2/</v>
      </c>
      <c r="D53" s="105">
        <f>Cadastro!$D53</f>
        <v>28601</v>
      </c>
      <c r="E53" s="104" t="str">
        <f>Cadastro!$E53</f>
        <v>Camera056</v>
      </c>
      <c r="F53" s="104" t="str">
        <f>Cadastro!$F53</f>
        <v>Almirante Tamandaré x Reinaldino Schaffemberg de Quadros  </v>
      </c>
      <c r="G53" s="104" t="str">
        <f>Cadastro!$G53</f>
        <v>-25.429567</v>
      </c>
      <c r="H53" s="104" t="str">
        <f>Cadastro!$H53</f>
        <v>-49.255442</v>
      </c>
      <c r="I53" s="104" t="str">
        <f>Cadastro!$I53</f>
        <v>copom_DDTQ</v>
      </c>
      <c r="J53" s="104" t="str">
        <f>Cadastro!$J53</f>
        <v>DDTQcopom</v>
      </c>
      <c r="K53" s="104" t="s">
        <v>4536</v>
      </c>
      <c r="L53" s="104" t="s">
        <v>26</v>
      </c>
      <c r="M53" s="104" t="s">
        <v>27</v>
      </c>
      <c r="N53" s="108" t="str">
        <f t="shared" si="1"/>
        <v>URBS 2</v>
      </c>
      <c r="O53" s="109" t="str">
        <f>Cadastro!$O53</f>
        <v>https://monitoramento.pm.pr.gov.br/proxy_image_2/Interface/Cameras/GetJPEGStream?Camera=Camera056&amp;AuthUser=copom_DDTQ&amp;AuthPass=DDTQcopom&amp;Width=1024&amp;Height=768&amp;Quality=70&amp;FPS=10&amp;ResponseFormat=Text</v>
      </c>
      <c r="P53" s="106">
        <f>Cadastro!$P53</f>
        <v>1</v>
      </c>
    </row>
    <row r="54">
      <c r="A54" s="104" t="str">
        <f>Cadastro!$A54</f>
        <v>URBS 2</v>
      </c>
      <c r="B54" s="104" t="str">
        <f>Cadastro!$B54</f>
        <v>CURITIBA</v>
      </c>
      <c r="C54" s="107" t="str">
        <f>Cadastro!$C54</f>
        <v>https://monitoramento.pm.pr.gov.br/proxy_image_2/</v>
      </c>
      <c r="D54" s="105">
        <f>Cadastro!$D54</f>
        <v>28601</v>
      </c>
      <c r="E54" s="104" t="str">
        <f>Cadastro!$E54</f>
        <v>Camera057</v>
      </c>
      <c r="F54" s="104" t="str">
        <f>Cadastro!$F54</f>
        <v>7 de Setembro x Angelo Sampaio  </v>
      </c>
      <c r="G54" s="104" t="str">
        <f>Cadastro!$G54</f>
        <v>-25.443658</v>
      </c>
      <c r="H54" s="104" t="str">
        <f>Cadastro!$H54</f>
        <v>-49.282446</v>
      </c>
      <c r="I54" s="104" t="str">
        <f>Cadastro!$I54</f>
        <v>copom_DDTQ</v>
      </c>
      <c r="J54" s="104" t="str">
        <f>Cadastro!$J54</f>
        <v>DDTQcopom</v>
      </c>
      <c r="K54" s="104" t="s">
        <v>4536</v>
      </c>
      <c r="L54" s="104" t="s">
        <v>26</v>
      </c>
      <c r="M54" s="104" t="s">
        <v>27</v>
      </c>
      <c r="N54" s="108" t="str">
        <f t="shared" si="1"/>
        <v>URBS 2</v>
      </c>
      <c r="O54" s="109" t="str">
        <f>Cadastro!$O54</f>
        <v>https://monitoramento.pm.pr.gov.br/proxy_image_2/Interface/Cameras/GetJPEGStream?Camera=Camera057&amp;AuthUser=copom_DDTQ&amp;AuthPass=DDTQcopom&amp;Width=1024&amp;Height=768&amp;Quality=70&amp;FPS=10&amp;ResponseFormat=Text</v>
      </c>
      <c r="P54" s="106">
        <f>Cadastro!$P54</f>
        <v>1</v>
      </c>
    </row>
    <row r="55">
      <c r="A55" s="104" t="str">
        <f>Cadastro!$A55</f>
        <v>URBS 2</v>
      </c>
      <c r="B55" s="104" t="str">
        <f>Cadastro!$B55</f>
        <v>CURITIBA</v>
      </c>
      <c r="C55" s="107" t="str">
        <f>Cadastro!$C55</f>
        <v>https://monitoramento.pm.pr.gov.br/proxy_image_2/</v>
      </c>
      <c r="D55" s="105">
        <f>Cadastro!$D55</f>
        <v>28601</v>
      </c>
      <c r="E55" s="104" t="str">
        <f>Cadastro!$E55</f>
        <v>Camera058</v>
      </c>
      <c r="F55" s="104" t="str">
        <f>Cadastro!$F55</f>
        <v>BR 476 x Fagundes Varela</v>
      </c>
      <c r="G55" s="104" t="str">
        <f>Cadastro!$G55</f>
        <v>-25.408339</v>
      </c>
      <c r="H55" s="104" t="str">
        <f>Cadastro!$H55</f>
        <v>-49.219451</v>
      </c>
      <c r="I55" s="104" t="str">
        <f>Cadastro!$I55</f>
        <v>copom_DDTQ</v>
      </c>
      <c r="J55" s="104" t="str">
        <f>Cadastro!$J55</f>
        <v>DDTQcopom</v>
      </c>
      <c r="K55" s="104" t="s">
        <v>4536</v>
      </c>
      <c r="L55" s="104" t="s">
        <v>26</v>
      </c>
      <c r="M55" s="104" t="s">
        <v>27</v>
      </c>
      <c r="N55" s="108" t="str">
        <f t="shared" si="1"/>
        <v>URBS 2</v>
      </c>
      <c r="O55" s="109" t="str">
        <f>Cadastro!$O55</f>
        <v>https://monitoramento.pm.pr.gov.br/proxy_image_2/Interface/Cameras/GetJPEGStream?Camera=Camera058&amp;AuthUser=copom_DDTQ&amp;AuthPass=DDTQcopom&amp;Width=1024&amp;Height=768&amp;Quality=70&amp;FPS=10&amp;ResponseFormat=Text</v>
      </c>
      <c r="P55" s="106">
        <f>Cadastro!$P55</f>
        <v>1</v>
      </c>
    </row>
    <row r="56">
      <c r="A56" s="104" t="str">
        <f>Cadastro!$A56</f>
        <v>URBS 2</v>
      </c>
      <c r="B56" s="104" t="str">
        <f>Cadastro!$B56</f>
        <v>CURITIBA</v>
      </c>
      <c r="C56" s="107" t="str">
        <f>Cadastro!$C56</f>
        <v>https://monitoramento.pm.pr.gov.br/proxy_image_2/</v>
      </c>
      <c r="D56" s="105">
        <f>Cadastro!$D56</f>
        <v>28601</v>
      </c>
      <c r="E56" s="104" t="str">
        <f>Cadastro!$E56</f>
        <v>Camera059</v>
      </c>
      <c r="F56" s="104" t="str">
        <f>Cadastro!$F56</f>
        <v>Eng. Costa Barros x Roraima   </v>
      </c>
      <c r="G56" s="104" t="str">
        <f>Cadastro!$G56</f>
        <v>-25.454333</v>
      </c>
      <c r="H56" s="104" t="str">
        <f>Cadastro!$H56</f>
        <v>-49.214044</v>
      </c>
      <c r="I56" s="104" t="str">
        <f>Cadastro!$I56</f>
        <v>copom_DDTQ</v>
      </c>
      <c r="J56" s="104" t="str">
        <f>Cadastro!$J56</f>
        <v>DDTQcopom</v>
      </c>
      <c r="K56" s="104" t="s">
        <v>4536</v>
      </c>
      <c r="L56" s="104" t="s">
        <v>26</v>
      </c>
      <c r="M56" s="104" t="s">
        <v>27</v>
      </c>
      <c r="N56" s="108" t="str">
        <f t="shared" si="1"/>
        <v>URBS 2</v>
      </c>
      <c r="O56" s="109" t="str">
        <f>Cadastro!$O56</f>
        <v>https://monitoramento.pm.pr.gov.br/proxy_image_2/Interface/Cameras/GetJPEGStream?Camera=Camera059&amp;AuthUser=copom_DDTQ&amp;AuthPass=DDTQcopom&amp;Width=1024&amp;Height=768&amp;Quality=70&amp;FPS=10&amp;ResponseFormat=Text</v>
      </c>
      <c r="P56" s="106">
        <f>Cadastro!$P56</f>
        <v>1</v>
      </c>
    </row>
    <row r="57">
      <c r="A57" s="104" t="str">
        <f>Cadastro!$A57</f>
        <v>URBS 2</v>
      </c>
      <c r="B57" s="104" t="str">
        <f>Cadastro!$B57</f>
        <v>CURITIBA</v>
      </c>
      <c r="C57" s="107" t="str">
        <f>Cadastro!$C57</f>
        <v>https://monitoramento.pm.pr.gov.br/proxy_image_2/</v>
      </c>
      <c r="D57" s="105">
        <f>Cadastro!$D57</f>
        <v>28601</v>
      </c>
      <c r="E57" s="104" t="str">
        <f>Cadastro!$E57</f>
        <v>Camera060</v>
      </c>
      <c r="F57" s="104" t="str">
        <f>Cadastro!$F57</f>
        <v>Av. Agua Verde x Dr. Pedro M. B. Monclaro   </v>
      </c>
      <c r="G57" s="104" t="str">
        <f>Cadastro!$G57</f>
        <v>-25.453408</v>
      </c>
      <c r="H57" s="104" t="str">
        <f>Cadastro!$H57</f>
        <v>-49.272353</v>
      </c>
      <c r="I57" s="104" t="str">
        <f>Cadastro!$I57</f>
        <v>copom_DDTQ</v>
      </c>
      <c r="J57" s="104" t="str">
        <f>Cadastro!$J57</f>
        <v>DDTQcopom</v>
      </c>
      <c r="K57" s="104" t="s">
        <v>4536</v>
      </c>
      <c r="L57" s="104" t="s">
        <v>26</v>
      </c>
      <c r="M57" s="104" t="s">
        <v>27</v>
      </c>
      <c r="N57" s="108" t="str">
        <f t="shared" si="1"/>
        <v>URBS 2</v>
      </c>
      <c r="O57" s="109" t="str">
        <f>Cadastro!$O57</f>
        <v>https://monitoramento.pm.pr.gov.br/proxy_image_2/Interface/Cameras/GetJPEGStream?Camera=Camera060&amp;AuthUser=copom_DDTQ&amp;AuthPass=DDTQcopom&amp;Width=1024&amp;Height=768&amp;Quality=70&amp;FPS=10&amp;ResponseFormat=Text</v>
      </c>
      <c r="P57" s="106">
        <f>Cadastro!$P57</f>
        <v>1</v>
      </c>
    </row>
    <row r="58">
      <c r="A58" s="104" t="str">
        <f>Cadastro!$A58</f>
        <v>URBS 2</v>
      </c>
      <c r="B58" s="104" t="str">
        <f>Cadastro!$B58</f>
        <v>CURITIBA</v>
      </c>
      <c r="C58" s="107" t="str">
        <f>Cadastro!$C58</f>
        <v>https://monitoramento.pm.pr.gov.br/proxy_image_2/</v>
      </c>
      <c r="D58" s="105">
        <f>Cadastro!$D58</f>
        <v>28601</v>
      </c>
      <c r="E58" s="104" t="str">
        <f>Cadastro!$E58</f>
        <v>Camera061</v>
      </c>
      <c r="F58" s="104" t="str">
        <f>Cadastro!$F58</f>
        <v>Pasteur x Av. Iguaçu   </v>
      </c>
      <c r="G58" s="104" t="str">
        <f>Cadastro!$G58</f>
        <v>-25.44568</v>
      </c>
      <c r="H58" s="104" t="str">
        <f>Cadastro!$H58</f>
        <v>-49.278333</v>
      </c>
      <c r="I58" s="104" t="str">
        <f>Cadastro!$I58</f>
        <v>copom_DDTQ</v>
      </c>
      <c r="J58" s="104" t="str">
        <f>Cadastro!$J58</f>
        <v>DDTQcopom</v>
      </c>
      <c r="K58" s="104" t="s">
        <v>4536</v>
      </c>
      <c r="L58" s="104" t="s">
        <v>26</v>
      </c>
      <c r="M58" s="104" t="s">
        <v>27</v>
      </c>
      <c r="N58" s="108" t="str">
        <f t="shared" si="1"/>
        <v>URBS 2</v>
      </c>
      <c r="O58" s="109" t="str">
        <f>Cadastro!$O58</f>
        <v>https://monitoramento.pm.pr.gov.br/proxy_image_2/Interface/Cameras/GetJPEGStream?Camera=Camera061&amp;AuthUser=copom_DDTQ&amp;AuthPass=DDTQcopom&amp;Width=1024&amp;Height=768&amp;Quality=70&amp;FPS=10&amp;ResponseFormat=Text</v>
      </c>
      <c r="P58" s="106">
        <f>Cadastro!$P58</f>
        <v>1</v>
      </c>
    </row>
    <row r="59">
      <c r="A59" s="104" t="str">
        <f>Cadastro!$A59</f>
        <v>URBS 2</v>
      </c>
      <c r="B59" s="104" t="str">
        <f>Cadastro!$B59</f>
        <v>CURITIBA</v>
      </c>
      <c r="C59" s="107" t="str">
        <f>Cadastro!$C59</f>
        <v>https://monitoramento.pm.pr.gov.br/proxy_image_2/</v>
      </c>
      <c r="D59" s="105">
        <f>Cadastro!$D59</f>
        <v>28601</v>
      </c>
      <c r="E59" s="104" t="str">
        <f>Cadastro!$E59</f>
        <v>Camera062</v>
      </c>
      <c r="F59" s="104" t="str">
        <f>Cadastro!$F59</f>
        <v>Av. Silva Jardim x Alferes Poli   </v>
      </c>
      <c r="G59" s="104" t="str">
        <f>Cadastro!$G59</f>
        <v>-25.441039</v>
      </c>
      <c r="H59" s="104" t="str">
        <f>Cadastro!$H59</f>
        <v>-49.271249</v>
      </c>
      <c r="I59" s="104" t="str">
        <f>Cadastro!$I59</f>
        <v>copom_DDTQ</v>
      </c>
      <c r="J59" s="104" t="str">
        <f>Cadastro!$J59</f>
        <v>DDTQcopom</v>
      </c>
      <c r="K59" s="104" t="s">
        <v>4536</v>
      </c>
      <c r="L59" s="104" t="s">
        <v>26</v>
      </c>
      <c r="M59" s="104" t="s">
        <v>27</v>
      </c>
      <c r="N59" s="108" t="str">
        <f t="shared" si="1"/>
        <v>URBS 2</v>
      </c>
      <c r="O59" s="109" t="str">
        <f>Cadastro!$O59</f>
        <v>https://monitoramento.pm.pr.gov.br/proxy_image_2/Interface/Cameras/GetJPEGStream?Camera=Camera062&amp;AuthUser=copom_DDTQ&amp;AuthPass=DDTQcopom&amp;Width=1024&amp;Height=768&amp;Quality=70&amp;FPS=10&amp;ResponseFormat=Text</v>
      </c>
      <c r="P59" s="106">
        <f>Cadastro!$P59</f>
        <v>1</v>
      </c>
    </row>
    <row r="60">
      <c r="A60" s="104" t="str">
        <f>Cadastro!$A60</f>
        <v>URBS 2</v>
      </c>
      <c r="B60" s="104" t="str">
        <f>Cadastro!$B60</f>
        <v>CURITIBA</v>
      </c>
      <c r="C60" s="107" t="str">
        <f>Cadastro!$C60</f>
        <v>https://monitoramento.pm.pr.gov.br/proxy_image_2/</v>
      </c>
      <c r="D60" s="105">
        <f>Cadastro!$D60</f>
        <v>28601</v>
      </c>
      <c r="E60" s="104" t="str">
        <f>Cadastro!$E60</f>
        <v>Camera063</v>
      </c>
      <c r="F60" s="104" t="str">
        <f>Cadastro!$F60</f>
        <v>Av. Pres. Getulio Vargas x Saint Hilaire  </v>
      </c>
      <c r="G60" s="104" t="str">
        <f>Cadastro!$G60</f>
        <v>-25.450108</v>
      </c>
      <c r="H60" s="104" t="str">
        <f>Cadastro!$H60</f>
        <v>-49.28545</v>
      </c>
      <c r="I60" s="104" t="str">
        <f>Cadastro!$I60</f>
        <v>copom_DDTQ</v>
      </c>
      <c r="J60" s="104" t="str">
        <f>Cadastro!$J60</f>
        <v>DDTQcopom</v>
      </c>
      <c r="K60" s="104" t="s">
        <v>4536</v>
      </c>
      <c r="L60" s="104" t="s">
        <v>26</v>
      </c>
      <c r="M60" s="104" t="s">
        <v>27</v>
      </c>
      <c r="N60" s="108" t="str">
        <f t="shared" si="1"/>
        <v>URBS 2</v>
      </c>
      <c r="O60" s="109" t="str">
        <f>Cadastro!$O60</f>
        <v>https://monitoramento.pm.pr.gov.br/proxy_image_2/Interface/Cameras/GetJPEGStream?Camera=Camera063&amp;AuthUser=copom_DDTQ&amp;AuthPass=DDTQcopom&amp;Width=1024&amp;Height=768&amp;Quality=70&amp;FPS=10&amp;ResponseFormat=Text</v>
      </c>
      <c r="P60" s="106">
        <f>Cadastro!$P60</f>
        <v>1</v>
      </c>
    </row>
    <row r="61">
      <c r="A61" s="104" t="str">
        <f>Cadastro!$A61</f>
        <v>URBS 2</v>
      </c>
      <c r="B61" s="104" t="str">
        <f>Cadastro!$B61</f>
        <v>CURITIBA</v>
      </c>
      <c r="C61" s="107" t="str">
        <f>Cadastro!$C61</f>
        <v>https://monitoramento.pm.pr.gov.br/proxy_image_2/</v>
      </c>
      <c r="D61" s="105">
        <f>Cadastro!$D61</f>
        <v>28601</v>
      </c>
      <c r="E61" s="104" t="str">
        <f>Cadastro!$E61</f>
        <v>Camera064</v>
      </c>
      <c r="F61" s="104" t="str">
        <f>Cadastro!$F61</f>
        <v>24 de Maio x Dr. Pedrosa   </v>
      </c>
      <c r="G61" s="104" t="str">
        <f>Cadastro!$G61</f>
        <v>-25.43706</v>
      </c>
      <c r="H61" s="104" t="str">
        <f>Cadastro!$H61</f>
        <v>-49.274453</v>
      </c>
      <c r="I61" s="104" t="str">
        <f>Cadastro!$I61</f>
        <v>copom_DDTQ</v>
      </c>
      <c r="J61" s="104" t="str">
        <f>Cadastro!$J61</f>
        <v>DDTQcopom</v>
      </c>
      <c r="K61" s="104" t="s">
        <v>4536</v>
      </c>
      <c r="L61" s="104" t="s">
        <v>26</v>
      </c>
      <c r="M61" s="104" t="s">
        <v>27</v>
      </c>
      <c r="N61" s="108" t="str">
        <f t="shared" si="1"/>
        <v>URBS 2</v>
      </c>
      <c r="O61" s="109" t="str">
        <f>Cadastro!$O61</f>
        <v>https://monitoramento.pm.pr.gov.br/proxy_image_2/Interface/Cameras/GetJPEGStream?Camera=Camera064&amp;AuthUser=copom_DDTQ&amp;AuthPass=DDTQcopom&amp;Width=1024&amp;Height=768&amp;Quality=70&amp;FPS=10&amp;ResponseFormat=Text</v>
      </c>
      <c r="P61" s="106">
        <f>Cadastro!$P61</f>
        <v>1</v>
      </c>
    </row>
    <row r="62">
      <c r="A62" s="104" t="str">
        <f>Cadastro!$A62</f>
        <v>URBS 2</v>
      </c>
      <c r="B62" s="104" t="str">
        <f>Cadastro!$B62</f>
        <v>CURITIBA</v>
      </c>
      <c r="C62" s="107" t="str">
        <f>Cadastro!$C62</f>
        <v>https://monitoramento.pm.pr.gov.br/proxy_image_2/</v>
      </c>
      <c r="D62" s="105">
        <f>Cadastro!$D62</f>
        <v>28601</v>
      </c>
      <c r="E62" s="104" t="str">
        <f>Cadastro!$E62</f>
        <v>Camera065</v>
      </c>
      <c r="F62" s="104" t="str">
        <f>Cadastro!$F62</f>
        <v>Av. do Batel x Bento Viana   </v>
      </c>
      <c r="G62" s="104" t="str">
        <f>Cadastro!$G62</f>
        <v>-25.441629</v>
      </c>
      <c r="H62" s="104" t="str">
        <f>Cadastro!$H62</f>
        <v>-49.285576</v>
      </c>
      <c r="I62" s="104" t="str">
        <f>Cadastro!$I62</f>
        <v>copom_DDTQ</v>
      </c>
      <c r="J62" s="104" t="str">
        <f>Cadastro!$J62</f>
        <v>DDTQcopom</v>
      </c>
      <c r="K62" s="104" t="s">
        <v>4536</v>
      </c>
      <c r="L62" s="104" t="s">
        <v>26</v>
      </c>
      <c r="M62" s="104" t="s">
        <v>27</v>
      </c>
      <c r="N62" s="108" t="str">
        <f t="shared" si="1"/>
        <v>URBS 2</v>
      </c>
      <c r="O62" s="109" t="str">
        <f>Cadastro!$O62</f>
        <v>https://monitoramento.pm.pr.gov.br/proxy_image_2/Interface/Cameras/GetJPEGStream?Camera=Camera065&amp;AuthUser=copom_DDTQ&amp;AuthPass=DDTQcopom&amp;Width=1024&amp;Height=768&amp;Quality=70&amp;FPS=10&amp;ResponseFormat=Text</v>
      </c>
      <c r="P62" s="106">
        <f>Cadastro!$P62</f>
        <v>1</v>
      </c>
    </row>
    <row r="63">
      <c r="A63" s="104" t="str">
        <f>Cadastro!$A63</f>
        <v>URBS 2</v>
      </c>
      <c r="B63" s="104" t="str">
        <f>Cadastro!$B63</f>
        <v>CURITIBA</v>
      </c>
      <c r="C63" s="107" t="str">
        <f>Cadastro!$C63</f>
        <v>https://monitoramento.pm.pr.gov.br/proxy_image_2/</v>
      </c>
      <c r="D63" s="105">
        <f>Cadastro!$D63</f>
        <v>28601</v>
      </c>
      <c r="E63" s="104" t="str">
        <f>Cadastro!$E63</f>
        <v>Camera066</v>
      </c>
      <c r="F63" s="104" t="str">
        <f>Cadastro!$F63</f>
        <v>Carlos de Carvalho x Visc. De Nacar    </v>
      </c>
      <c r="G63" s="104" t="str">
        <f>Cadastro!$G63</f>
        <v>-25.432343</v>
      </c>
      <c r="H63" s="104" t="str">
        <f>Cadastro!$H63</f>
        <v>-49.278076</v>
      </c>
      <c r="I63" s="104" t="str">
        <f>Cadastro!$I63</f>
        <v>copom_DDTQ</v>
      </c>
      <c r="J63" s="104" t="str">
        <f>Cadastro!$J63</f>
        <v>DDTQcopom</v>
      </c>
      <c r="K63" s="104" t="s">
        <v>4536</v>
      </c>
      <c r="L63" s="104" t="s">
        <v>26</v>
      </c>
      <c r="M63" s="104" t="s">
        <v>27</v>
      </c>
      <c r="N63" s="108" t="str">
        <f t="shared" si="1"/>
        <v>URBS 2</v>
      </c>
      <c r="O63" s="109" t="str">
        <f>Cadastro!$O63</f>
        <v>https://monitoramento.pm.pr.gov.br/proxy_image_2/Interface/Cameras/GetJPEGStream?Camera=Camera066&amp;AuthUser=copom_DDTQ&amp;AuthPass=DDTQcopom&amp;Width=1024&amp;Height=768&amp;Quality=70&amp;FPS=10&amp;ResponseFormat=Text</v>
      </c>
      <c r="P63" s="106">
        <f>Cadastro!$P63</f>
        <v>1</v>
      </c>
    </row>
    <row r="64">
      <c r="A64" s="104" t="str">
        <f>Cadastro!$A64</f>
        <v>URBS 2</v>
      </c>
      <c r="B64" s="104" t="str">
        <f>Cadastro!$B64</f>
        <v>CURITIBA</v>
      </c>
      <c r="C64" s="107" t="str">
        <f>Cadastro!$C64</f>
        <v>https://monitoramento.pm.pr.gov.br/proxy_image_2/</v>
      </c>
      <c r="D64" s="105">
        <f>Cadastro!$D64</f>
        <v>28601</v>
      </c>
      <c r="E64" s="104" t="str">
        <f>Cadastro!$E64</f>
        <v>Camera067</v>
      </c>
      <c r="F64" s="104" t="str">
        <f>Cadastro!$F64</f>
        <v>Pedro Ivo x Des. Westphalen   </v>
      </c>
      <c r="G64" s="104" t="str">
        <f>Cadastro!$G64</f>
        <v>-25.434524</v>
      </c>
      <c r="H64" s="104" t="str">
        <f>Cadastro!$H64</f>
        <v>-49.272026</v>
      </c>
      <c r="I64" s="104" t="str">
        <f>Cadastro!$I64</f>
        <v>copom_DDTQ</v>
      </c>
      <c r="J64" s="104" t="str">
        <f>Cadastro!$J64</f>
        <v>DDTQcopom</v>
      </c>
      <c r="K64" s="104" t="s">
        <v>4536</v>
      </c>
      <c r="L64" s="104" t="s">
        <v>26</v>
      </c>
      <c r="M64" s="104" t="s">
        <v>27</v>
      </c>
      <c r="N64" s="108" t="str">
        <f t="shared" si="1"/>
        <v>URBS 2</v>
      </c>
      <c r="O64" s="109" t="str">
        <f>Cadastro!$O64</f>
        <v>https://monitoramento.pm.pr.gov.br/proxy_image_2/Interface/Cameras/GetJPEGStream?Camera=Camera067&amp;AuthUser=copom_DDTQ&amp;AuthPass=DDTQcopom&amp;Width=1024&amp;Height=768&amp;Quality=70&amp;FPS=10&amp;ResponseFormat=Text</v>
      </c>
      <c r="P64" s="106">
        <f>Cadastro!$P64</f>
        <v>1</v>
      </c>
    </row>
    <row r="65">
      <c r="A65" s="104" t="str">
        <f>Cadastro!$A65</f>
        <v>URBS 2</v>
      </c>
      <c r="B65" s="104" t="str">
        <f>Cadastro!$B65</f>
        <v>CURITIBA</v>
      </c>
      <c r="C65" s="107" t="str">
        <f>Cadastro!$C65</f>
        <v>https://monitoramento.pm.pr.gov.br/proxy_image_2/</v>
      </c>
      <c r="D65" s="105">
        <f>Cadastro!$D65</f>
        <v>28601</v>
      </c>
      <c r="E65" s="104" t="str">
        <f>Cadastro!$E65</f>
        <v>Camera068</v>
      </c>
      <c r="F65" s="104" t="str">
        <f>Cadastro!$F65</f>
        <v>João Bettega x Itacolomi  </v>
      </c>
      <c r="G65" s="104" t="str">
        <f>Cadastro!$G65</f>
        <v>-25.478957</v>
      </c>
      <c r="H65" s="104" t="str">
        <f>Cadastro!$H65</f>
        <v>-49.31403</v>
      </c>
      <c r="I65" s="104" t="str">
        <f>Cadastro!$I65</f>
        <v>copom_DDTQ</v>
      </c>
      <c r="J65" s="104" t="str">
        <f>Cadastro!$J65</f>
        <v>DDTQcopom</v>
      </c>
      <c r="K65" s="104" t="s">
        <v>4536</v>
      </c>
      <c r="L65" s="104" t="s">
        <v>26</v>
      </c>
      <c r="M65" s="104" t="s">
        <v>27</v>
      </c>
      <c r="N65" s="108" t="str">
        <f t="shared" si="1"/>
        <v>URBS 2</v>
      </c>
      <c r="O65" s="109" t="str">
        <f>Cadastro!$O65</f>
        <v>https://monitoramento.pm.pr.gov.br/proxy_image_2/Interface/Cameras/GetJPEGStream?Camera=Camera068&amp;AuthUser=copom_DDTQ&amp;AuthPass=DDTQcopom&amp;Width=1024&amp;Height=768&amp;Quality=70&amp;FPS=10&amp;ResponseFormat=Text</v>
      </c>
      <c r="P65" s="106">
        <f>Cadastro!$P65</f>
        <v>1</v>
      </c>
    </row>
    <row r="66">
      <c r="A66" s="104" t="str">
        <f>Cadastro!$A66</f>
        <v>URBS 2</v>
      </c>
      <c r="B66" s="104" t="str">
        <f>Cadastro!$B66</f>
        <v>CURITIBA</v>
      </c>
      <c r="C66" s="107" t="str">
        <f>Cadastro!$C66</f>
        <v>https://monitoramento.pm.pr.gov.br/proxy_image_2/</v>
      </c>
      <c r="D66" s="105">
        <f>Cadastro!$D66</f>
        <v>28601</v>
      </c>
      <c r="E66" s="104" t="str">
        <f>Cadastro!$E66</f>
        <v>Camera069</v>
      </c>
      <c r="F66" s="104" t="str">
        <f>Cadastro!$F66</f>
        <v>Mal. Deodoro x Tibagi     </v>
      </c>
      <c r="G66" s="104" t="str">
        <f>Cadastro!$G66</f>
        <v>-25.429176</v>
      </c>
      <c r="H66" s="104" t="str">
        <f>Cadastro!$H66</f>
        <v>-49.264131</v>
      </c>
      <c r="I66" s="104" t="str">
        <f>Cadastro!$I66</f>
        <v>copom_DDTQ</v>
      </c>
      <c r="J66" s="104" t="str">
        <f>Cadastro!$J66</f>
        <v>DDTQcopom</v>
      </c>
      <c r="K66" s="104" t="s">
        <v>4536</v>
      </c>
      <c r="L66" s="104" t="s">
        <v>26</v>
      </c>
      <c r="M66" s="104" t="s">
        <v>27</v>
      </c>
      <c r="N66" s="108" t="str">
        <f t="shared" si="1"/>
        <v>URBS 2</v>
      </c>
      <c r="O66" s="109" t="str">
        <f>Cadastro!$O66</f>
        <v>https://monitoramento.pm.pr.gov.br/proxy_image_2/Interface/Cameras/GetJPEGStream?Camera=Camera069&amp;AuthUser=copom_DDTQ&amp;AuthPass=DDTQcopom&amp;Width=1024&amp;Height=768&amp;Quality=70&amp;FPS=10&amp;ResponseFormat=Text</v>
      </c>
      <c r="P66" s="106">
        <f>Cadastro!$P66</f>
        <v>1</v>
      </c>
    </row>
    <row r="67">
      <c r="A67" s="104" t="str">
        <f>Cadastro!$A67</f>
        <v>URBS 2</v>
      </c>
      <c r="B67" s="104" t="str">
        <f>Cadastro!$B67</f>
        <v>CURITIBA</v>
      </c>
      <c r="C67" s="107" t="str">
        <f>Cadastro!$C67</f>
        <v>https://monitoramento.pm.pr.gov.br/proxy_image_2/</v>
      </c>
      <c r="D67" s="105">
        <f>Cadastro!$D67</f>
        <v>28601</v>
      </c>
      <c r="E67" s="104" t="str">
        <f>Cadastro!$E67</f>
        <v>Camera070</v>
      </c>
      <c r="F67" s="104" t="str">
        <f>Cadastro!$F67</f>
        <v>Av. Manoel Ribas x Jacarezinho    </v>
      </c>
      <c r="G67" s="104" t="str">
        <f>Cadastro!$G67</f>
        <v>-25.422159</v>
      </c>
      <c r="H67" s="104" t="str">
        <f>Cadastro!$H67</f>
        <v>-49.291883</v>
      </c>
      <c r="I67" s="104" t="str">
        <f>Cadastro!$I67</f>
        <v>copom_DDTQ</v>
      </c>
      <c r="J67" s="104" t="str">
        <f>Cadastro!$J67</f>
        <v>DDTQcopom</v>
      </c>
      <c r="K67" s="104" t="s">
        <v>4536</v>
      </c>
      <c r="L67" s="104" t="s">
        <v>26</v>
      </c>
      <c r="M67" s="104" t="s">
        <v>27</v>
      </c>
      <c r="N67" s="108" t="str">
        <f t="shared" si="1"/>
        <v>URBS 2</v>
      </c>
      <c r="O67" s="109" t="str">
        <f>Cadastro!$O67</f>
        <v>https://monitoramento.pm.pr.gov.br/proxy_image_2/Interface/Cameras/GetJPEGStream?Camera=Camera070&amp;AuthUser=copom_DDTQ&amp;AuthPass=DDTQcopom&amp;Width=1024&amp;Height=768&amp;Quality=70&amp;FPS=10&amp;ResponseFormat=Text</v>
      </c>
      <c r="P67" s="106">
        <f>Cadastro!$P67</f>
        <v>1</v>
      </c>
    </row>
    <row r="68">
      <c r="A68" s="104" t="str">
        <f>Cadastro!$A68</f>
        <v>URBS 2</v>
      </c>
      <c r="B68" s="104" t="str">
        <f>Cadastro!$B68</f>
        <v>CURITIBA</v>
      </c>
      <c r="C68" s="107" t="str">
        <f>Cadastro!$C68</f>
        <v>https://monitoramento.pm.pr.gov.br/proxy_image_2/</v>
      </c>
      <c r="D68" s="105">
        <f>Cadastro!$D68</f>
        <v>28601</v>
      </c>
      <c r="E68" s="104" t="str">
        <f>Cadastro!$E68</f>
        <v>Camera071</v>
      </c>
      <c r="F68" s="104" t="str">
        <f>Cadastro!$F68</f>
        <v>Av. Pres. Afonso Camargo x Prof. Nivaldo Braga  </v>
      </c>
      <c r="G68" s="104" t="str">
        <f>Cadastro!$G68</f>
        <v>-25.440461</v>
      </c>
      <c r="H68" s="104" t="str">
        <f>Cadastro!$H68</f>
        <v>-49.220924</v>
      </c>
      <c r="I68" s="104" t="str">
        <f>Cadastro!$I68</f>
        <v>copom_DDTQ</v>
      </c>
      <c r="J68" s="104" t="str">
        <f>Cadastro!$J68</f>
        <v>DDTQcopom</v>
      </c>
      <c r="K68" s="104" t="s">
        <v>4536</v>
      </c>
      <c r="L68" s="104" t="s">
        <v>26</v>
      </c>
      <c r="M68" s="104" t="s">
        <v>27</v>
      </c>
      <c r="N68" s="108" t="str">
        <f t="shared" si="1"/>
        <v>URBS 2</v>
      </c>
      <c r="O68" s="109" t="str">
        <f>Cadastro!$O68</f>
        <v>https://monitoramento.pm.pr.gov.br/proxy_image_2/Interface/Cameras/GetJPEGStream?Camera=Camera071&amp;AuthUser=copom_DDTQ&amp;AuthPass=DDTQcopom&amp;Width=1024&amp;Height=768&amp;Quality=70&amp;FPS=10&amp;ResponseFormat=Text</v>
      </c>
      <c r="P68" s="106">
        <f>Cadastro!$P68</f>
        <v>1</v>
      </c>
    </row>
    <row r="69">
      <c r="A69" s="104" t="str">
        <f>Cadastro!$A69</f>
        <v>URBS 2</v>
      </c>
      <c r="B69" s="104" t="str">
        <f>Cadastro!$B69</f>
        <v>CURITIBA</v>
      </c>
      <c r="C69" s="107" t="str">
        <f>Cadastro!$C69</f>
        <v>https://monitoramento.pm.pr.gov.br/proxy_image_2/</v>
      </c>
      <c r="D69" s="105">
        <f>Cadastro!$D69</f>
        <v>28601</v>
      </c>
      <c r="E69" s="104" t="str">
        <f>Cadastro!$E69</f>
        <v>Camera072</v>
      </c>
      <c r="F69" s="104" t="str">
        <f>Cadastro!$F69</f>
        <v>Barão do Cerro Azul x Treze de maio    </v>
      </c>
      <c r="G69" s="104" t="str">
        <f>Cadastro!$G69</f>
        <v>-25.426976</v>
      </c>
      <c r="H69" s="104" t="str">
        <f>Cadastro!$H69</f>
        <v>-49.270648</v>
      </c>
      <c r="I69" s="104" t="str">
        <f>Cadastro!$I69</f>
        <v>copom_DDTQ</v>
      </c>
      <c r="J69" s="104" t="str">
        <f>Cadastro!$J69</f>
        <v>DDTQcopom</v>
      </c>
      <c r="K69" s="104" t="s">
        <v>4536</v>
      </c>
      <c r="L69" s="104" t="s">
        <v>26</v>
      </c>
      <c r="M69" s="104" t="s">
        <v>27</v>
      </c>
      <c r="N69" s="108" t="str">
        <f t="shared" si="1"/>
        <v>URBS 2</v>
      </c>
      <c r="O69" s="109" t="str">
        <f>Cadastro!$O69</f>
        <v>https://monitoramento.pm.pr.gov.br/proxy_image_2/Interface/Cameras/GetJPEGStream?Camera=Camera072&amp;AuthUser=copom_DDTQ&amp;AuthPass=DDTQcopom&amp;Width=1024&amp;Height=768&amp;Quality=70&amp;FPS=10&amp;ResponseFormat=Text</v>
      </c>
      <c r="P69" s="106">
        <f>Cadastro!$P69</f>
        <v>1</v>
      </c>
    </row>
    <row r="70">
      <c r="A70" s="104" t="str">
        <f>Cadastro!$A70</f>
        <v>URBS 2</v>
      </c>
      <c r="B70" s="104" t="str">
        <f>Cadastro!$B70</f>
        <v>CURITIBA</v>
      </c>
      <c r="C70" s="107" t="str">
        <f>Cadastro!$C70</f>
        <v>https://monitoramento.pm.pr.gov.br/proxy_image_2/</v>
      </c>
      <c r="D70" s="105">
        <f>Cadastro!$D70</f>
        <v>28601</v>
      </c>
      <c r="E70" s="104" t="str">
        <f>Cadastro!$E70</f>
        <v>Camera073</v>
      </c>
      <c r="F70" s="104" t="str">
        <f>Cadastro!$F70</f>
        <v>Izaac Ferreira da Cruz x Nsra. Sagrado Coração    </v>
      </c>
      <c r="G70" s="104" t="str">
        <f>Cadastro!$G70</f>
        <v>-25.527939</v>
      </c>
      <c r="H70" s="104" t="str">
        <f>Cadastro!$H70</f>
        <v>-49.291853</v>
      </c>
      <c r="I70" s="104" t="str">
        <f>Cadastro!$I70</f>
        <v>copom_DDTQ</v>
      </c>
      <c r="J70" s="104" t="str">
        <f>Cadastro!$J70</f>
        <v>DDTQcopom</v>
      </c>
      <c r="K70" s="104" t="s">
        <v>4536</v>
      </c>
      <c r="L70" s="104" t="s">
        <v>26</v>
      </c>
      <c r="M70" s="104" t="s">
        <v>27</v>
      </c>
      <c r="N70" s="108" t="str">
        <f t="shared" si="1"/>
        <v>URBS 2</v>
      </c>
      <c r="O70" s="109" t="str">
        <f>Cadastro!$O70</f>
        <v>https://monitoramento.pm.pr.gov.br/proxy_image_2/Interface/Cameras/GetJPEGStream?Camera=Camera073&amp;AuthUser=copom_DDTQ&amp;AuthPass=DDTQcopom&amp;Width=1024&amp;Height=768&amp;Quality=70&amp;FPS=10&amp;ResponseFormat=Text</v>
      </c>
      <c r="P70" s="106">
        <f>Cadastro!$P70</f>
        <v>1</v>
      </c>
    </row>
    <row r="71">
      <c r="A71" s="104" t="str">
        <f>Cadastro!$A71</f>
        <v>URBS 2</v>
      </c>
      <c r="B71" s="104" t="str">
        <f>Cadastro!$B71</f>
        <v>CURITIBA</v>
      </c>
      <c r="C71" s="107" t="str">
        <f>Cadastro!$C71</f>
        <v>https://monitoramento.pm.pr.gov.br/proxy_image_2/</v>
      </c>
      <c r="D71" s="105">
        <f>Cadastro!$D71</f>
        <v>28601</v>
      </c>
      <c r="E71" s="104" t="str">
        <f>Cadastro!$E71</f>
        <v>Camera074</v>
      </c>
      <c r="F71" s="104" t="str">
        <f>Cadastro!$F71</f>
        <v>Estados Unidos x Av. Paraná    </v>
      </c>
      <c r="G71" s="104" t="str">
        <f>Cadastro!$G71</f>
        <v>-25.400416</v>
      </c>
      <c r="H71" s="104" t="str">
        <f>Cadastro!$H71</f>
        <v>-49.247082</v>
      </c>
      <c r="I71" s="104" t="str">
        <f>Cadastro!$I71</f>
        <v>copom_DDTQ</v>
      </c>
      <c r="J71" s="104" t="str">
        <f>Cadastro!$J71</f>
        <v>DDTQcopom</v>
      </c>
      <c r="K71" s="104" t="s">
        <v>4536</v>
      </c>
      <c r="L71" s="104" t="s">
        <v>26</v>
      </c>
      <c r="M71" s="104" t="s">
        <v>27</v>
      </c>
      <c r="N71" s="108" t="str">
        <f t="shared" si="1"/>
        <v>URBS 2</v>
      </c>
      <c r="O71" s="109" t="str">
        <f>Cadastro!$O71</f>
        <v>https://monitoramento.pm.pr.gov.br/proxy_image_2/Interface/Cameras/GetJPEGStream?Camera=Camera074&amp;AuthUser=copom_DDTQ&amp;AuthPass=DDTQcopom&amp;Width=1024&amp;Height=768&amp;Quality=70&amp;FPS=10&amp;ResponseFormat=Text</v>
      </c>
      <c r="P71" s="106">
        <f>Cadastro!$P71</f>
        <v>1</v>
      </c>
    </row>
    <row r="72">
      <c r="A72" s="104" t="str">
        <f>Cadastro!$A72</f>
        <v>URBS 2</v>
      </c>
      <c r="B72" s="104" t="str">
        <f>Cadastro!$B72</f>
        <v>CURITIBA</v>
      </c>
      <c r="C72" s="107" t="str">
        <f>Cadastro!$C72</f>
        <v>https://monitoramento.pm.pr.gov.br/proxy_image_2/</v>
      </c>
      <c r="D72" s="105">
        <f>Cadastro!$D72</f>
        <v>28601</v>
      </c>
      <c r="E72" s="104" t="str">
        <f>Cadastro!$E72</f>
        <v>Camera075</v>
      </c>
      <c r="F72" s="104" t="str">
        <f>Cadastro!$F72</f>
        <v>Av. Com. Franco x BR 476    </v>
      </c>
      <c r="G72" s="104" t="str">
        <f>Cadastro!$G72</f>
        <v>-25.452904</v>
      </c>
      <c r="H72" s="104" t="str">
        <f>Cadastro!$H72</f>
        <v>-49.24306</v>
      </c>
      <c r="I72" s="104" t="str">
        <f>Cadastro!$I72</f>
        <v>copom_DDTQ</v>
      </c>
      <c r="J72" s="104" t="str">
        <f>Cadastro!$J72</f>
        <v>DDTQcopom</v>
      </c>
      <c r="K72" s="104" t="s">
        <v>4536</v>
      </c>
      <c r="L72" s="104" t="s">
        <v>26</v>
      </c>
      <c r="M72" s="104" t="s">
        <v>27</v>
      </c>
      <c r="N72" s="108" t="str">
        <f t="shared" si="1"/>
        <v>URBS 2</v>
      </c>
      <c r="O72" s="109" t="str">
        <f>Cadastro!$O72</f>
        <v>https://monitoramento.pm.pr.gov.br/proxy_image_2/Interface/Cameras/GetJPEGStream?Camera=Camera075&amp;AuthUser=copom_DDTQ&amp;AuthPass=DDTQcopom&amp;Width=1024&amp;Height=768&amp;Quality=70&amp;FPS=10&amp;ResponseFormat=Text</v>
      </c>
      <c r="P72" s="106">
        <f>Cadastro!$P72</f>
        <v>1</v>
      </c>
    </row>
    <row r="73">
      <c r="A73" s="104" t="str">
        <f>Cadastro!$A73</f>
        <v>URBS 2</v>
      </c>
      <c r="B73" s="104" t="str">
        <f>Cadastro!$B73</f>
        <v>CURITIBA</v>
      </c>
      <c r="C73" s="107" t="str">
        <f>Cadastro!$C73</f>
        <v>https://monitoramento.pm.pr.gov.br/proxy_image_2/</v>
      </c>
      <c r="D73" s="105">
        <f>Cadastro!$D73</f>
        <v>28601</v>
      </c>
      <c r="E73" s="104" t="str">
        <f>Cadastro!$E73</f>
        <v>Camera076</v>
      </c>
      <c r="F73" s="104" t="str">
        <f>Cadastro!$F73</f>
        <v>Av. Iguaçu x Av. Pres. Arthur Bernardes   </v>
      </c>
      <c r="G73" s="104" t="str">
        <f>Cadastro!$G73</f>
        <v>-25.455046</v>
      </c>
      <c r="H73" s="104" t="str">
        <f>Cadastro!$H73</f>
        <v>-49.303573</v>
      </c>
      <c r="I73" s="104" t="str">
        <f>Cadastro!$I73</f>
        <v>copom_DDTQ</v>
      </c>
      <c r="J73" s="104" t="str">
        <f>Cadastro!$J73</f>
        <v>DDTQcopom</v>
      </c>
      <c r="K73" s="104" t="s">
        <v>4536</v>
      </c>
      <c r="L73" s="104" t="s">
        <v>26</v>
      </c>
      <c r="M73" s="104" t="s">
        <v>27</v>
      </c>
      <c r="N73" s="108" t="str">
        <f t="shared" si="1"/>
        <v>URBS 2</v>
      </c>
      <c r="O73" s="109" t="str">
        <f>Cadastro!$O73</f>
        <v>https://monitoramento.pm.pr.gov.br/proxy_image_2/Interface/Cameras/GetJPEGStream?Camera=Camera076&amp;AuthUser=copom_DDTQ&amp;AuthPass=DDTQcopom&amp;Width=1024&amp;Height=768&amp;Quality=70&amp;FPS=10&amp;ResponseFormat=Text</v>
      </c>
      <c r="P73" s="106">
        <f>Cadastro!$P73</f>
        <v>1</v>
      </c>
    </row>
    <row r="74">
      <c r="A74" s="104" t="str">
        <f>Cadastro!$A74</f>
        <v>URBS 2</v>
      </c>
      <c r="B74" s="104" t="str">
        <f>Cadastro!$B74</f>
        <v>CURITIBA</v>
      </c>
      <c r="C74" s="107" t="str">
        <f>Cadastro!$C74</f>
        <v>https://monitoramento.pm.pr.gov.br/proxy_image_2/</v>
      </c>
      <c r="D74" s="105">
        <f>Cadastro!$D74</f>
        <v>28601</v>
      </c>
      <c r="E74" s="104" t="str">
        <f>Cadastro!$E74</f>
        <v>Camera077</v>
      </c>
      <c r="F74" s="104" t="str">
        <f>Cadastro!$F74</f>
        <v>Av. Prof. Lothario Meissner x Alberto Twardwski x Eng. Ostoja Roguski   </v>
      </c>
      <c r="G74" s="104" t="str">
        <f>Cadastro!$G74</f>
        <v>-25.444061</v>
      </c>
      <c r="H74" s="104" t="str">
        <f>Cadastro!$H74</f>
        <v>-49.242961</v>
      </c>
      <c r="I74" s="104" t="str">
        <f>Cadastro!$I74</f>
        <v>copom_DDTQ</v>
      </c>
      <c r="J74" s="104" t="str">
        <f>Cadastro!$J74</f>
        <v>DDTQcopom</v>
      </c>
      <c r="K74" s="104" t="s">
        <v>4536</v>
      </c>
      <c r="L74" s="104" t="s">
        <v>26</v>
      </c>
      <c r="M74" s="104" t="s">
        <v>27</v>
      </c>
      <c r="N74" s="108" t="str">
        <f t="shared" si="1"/>
        <v>URBS 2</v>
      </c>
      <c r="O74" s="109" t="str">
        <f>Cadastro!$O74</f>
        <v>https://monitoramento.pm.pr.gov.br/proxy_image_2/Interface/Cameras/GetJPEGStream?Camera=Camera077&amp;AuthUser=copom_DDTQ&amp;AuthPass=DDTQcopom&amp;Width=1024&amp;Height=768&amp;Quality=70&amp;FPS=10&amp;ResponseFormat=Text</v>
      </c>
      <c r="P74" s="106">
        <f>Cadastro!$P74</f>
        <v>1</v>
      </c>
    </row>
    <row r="75">
      <c r="A75" s="104" t="str">
        <f>Cadastro!$A75</f>
        <v>URBS 2</v>
      </c>
      <c r="B75" s="104" t="str">
        <f>Cadastro!$B75</f>
        <v>CURITIBA</v>
      </c>
      <c r="C75" s="107" t="str">
        <f>Cadastro!$C75</f>
        <v>https://monitoramento.pm.pr.gov.br/proxy_image_2/</v>
      </c>
      <c r="D75" s="105">
        <f>Cadastro!$D75</f>
        <v>28601</v>
      </c>
      <c r="E75" s="104" t="str">
        <f>Cadastro!$E75</f>
        <v>Camera078</v>
      </c>
      <c r="F75" s="104" t="str">
        <f>Cadastro!$F75</f>
        <v>Vital Brasil x Guararapes   </v>
      </c>
      <c r="G75" s="104" t="str">
        <f>Cadastro!$G75</f>
        <v>-25.464201</v>
      </c>
      <c r="H75" s="104" t="str">
        <f>Cadastro!$H75</f>
        <v>-49.291737</v>
      </c>
      <c r="I75" s="104" t="str">
        <f>Cadastro!$I75</f>
        <v>copom_DDTQ</v>
      </c>
      <c r="J75" s="104" t="str">
        <f>Cadastro!$J75</f>
        <v>DDTQcopom</v>
      </c>
      <c r="K75" s="104" t="s">
        <v>4536</v>
      </c>
      <c r="L75" s="104" t="s">
        <v>26</v>
      </c>
      <c r="M75" s="104" t="s">
        <v>27</v>
      </c>
      <c r="N75" s="108" t="str">
        <f t="shared" si="1"/>
        <v>URBS 2</v>
      </c>
      <c r="O75" s="109" t="str">
        <f>Cadastro!$O75</f>
        <v>https://monitoramento.pm.pr.gov.br/proxy_image_2/Interface/Cameras/GetJPEGStream?Camera=Camera078&amp;AuthUser=copom_DDTQ&amp;AuthPass=DDTQcopom&amp;Width=1024&amp;Height=768&amp;Quality=70&amp;FPS=10&amp;ResponseFormat=Text</v>
      </c>
      <c r="P75" s="106">
        <f>Cadastro!$P75</f>
        <v>1</v>
      </c>
    </row>
    <row r="76">
      <c r="A76" s="104" t="str">
        <f>Cadastro!$A76</f>
        <v>URBS 2</v>
      </c>
      <c r="B76" s="104" t="str">
        <f>Cadastro!$B76</f>
        <v>CURITIBA</v>
      </c>
      <c r="C76" s="107" t="str">
        <f>Cadastro!$C76</f>
        <v>https://monitoramento.pm.pr.gov.br/proxy_image_2/</v>
      </c>
      <c r="D76" s="105">
        <f>Cadastro!$D76</f>
        <v>28601</v>
      </c>
      <c r="E76" s="104" t="str">
        <f>Cadastro!$E76</f>
        <v>Camera079</v>
      </c>
      <c r="F76" s="104" t="str">
        <f>Cadastro!$F76</f>
        <v>Nicolau Maeder x Alberto Bolliger   </v>
      </c>
      <c r="G76" s="104" t="str">
        <f>Cadastro!$G76</f>
        <v>-25.41544</v>
      </c>
      <c r="H76" s="104" t="str">
        <f>Cadastro!$H76</f>
        <v>-49.259722</v>
      </c>
      <c r="I76" s="104" t="str">
        <f>Cadastro!$I76</f>
        <v>copom_DDTQ</v>
      </c>
      <c r="J76" s="104" t="str">
        <f>Cadastro!$J76</f>
        <v>DDTQcopom</v>
      </c>
      <c r="K76" s="104" t="s">
        <v>4536</v>
      </c>
      <c r="L76" s="104" t="s">
        <v>26</v>
      </c>
      <c r="M76" s="104" t="s">
        <v>27</v>
      </c>
      <c r="N76" s="108" t="str">
        <f t="shared" si="1"/>
        <v>URBS 2</v>
      </c>
      <c r="O76" s="109" t="str">
        <f>Cadastro!$O76</f>
        <v>https://monitoramento.pm.pr.gov.br/proxy_image_2/Interface/Cameras/GetJPEGStream?Camera=Camera079&amp;AuthUser=copom_DDTQ&amp;AuthPass=DDTQcopom&amp;Width=1024&amp;Height=768&amp;Quality=70&amp;FPS=10&amp;ResponseFormat=Text</v>
      </c>
      <c r="P76" s="106">
        <f>Cadastro!$P76</f>
        <v>1</v>
      </c>
    </row>
    <row r="77">
      <c r="A77" s="104" t="str">
        <f>Cadastro!$A77</f>
        <v>URBS 2</v>
      </c>
      <c r="B77" s="104" t="str">
        <f>Cadastro!$B77</f>
        <v>CURITIBA</v>
      </c>
      <c r="C77" s="107" t="str">
        <f>Cadastro!$C77</f>
        <v>https://monitoramento.pm.pr.gov.br/proxy_image_2/</v>
      </c>
      <c r="D77" s="105">
        <f>Cadastro!$D77</f>
        <v>28601</v>
      </c>
      <c r="E77" s="104" t="str">
        <f>Cadastro!$E77</f>
        <v>Camera080</v>
      </c>
      <c r="F77" s="104" t="str">
        <f>Cadastro!$F77</f>
        <v>Av. Pres. Affonso Camargo x Agamenon Magalhães x Eng Ostoja Roguski   </v>
      </c>
      <c r="G77" s="104" t="str">
        <f>Cadastro!$G77</f>
        <v>-25.438916</v>
      </c>
      <c r="H77" s="104" t="str">
        <f>Cadastro!$H77</f>
        <v>-49.237941</v>
      </c>
      <c r="I77" s="104" t="str">
        <f>Cadastro!$I77</f>
        <v>copom_DDTQ</v>
      </c>
      <c r="J77" s="104" t="str">
        <f>Cadastro!$J77</f>
        <v>DDTQcopom</v>
      </c>
      <c r="K77" s="104" t="s">
        <v>4536</v>
      </c>
      <c r="L77" s="104" t="s">
        <v>26</v>
      </c>
      <c r="M77" s="104" t="s">
        <v>27</v>
      </c>
      <c r="N77" s="108" t="str">
        <f t="shared" si="1"/>
        <v>URBS 2</v>
      </c>
      <c r="O77" s="109" t="str">
        <f>Cadastro!$O77</f>
        <v>https://monitoramento.pm.pr.gov.br/proxy_image_2/Interface/Cameras/GetJPEGStream?Camera=Camera080&amp;AuthUser=copom_DDTQ&amp;AuthPass=DDTQcopom&amp;Width=1024&amp;Height=768&amp;Quality=70&amp;FPS=10&amp;ResponseFormat=Text</v>
      </c>
      <c r="P77" s="106">
        <f>Cadastro!$P77</f>
        <v>1</v>
      </c>
    </row>
    <row r="78">
      <c r="A78" s="104" t="str">
        <f>Cadastro!$A78</f>
        <v>URBS 2</v>
      </c>
      <c r="B78" s="104" t="str">
        <f>Cadastro!$B78</f>
        <v>CURITIBA</v>
      </c>
      <c r="C78" s="107" t="str">
        <f>Cadastro!$C78</f>
        <v>https://monitoramento.pm.pr.gov.br/proxy_image_2/</v>
      </c>
      <c r="D78" s="105">
        <f>Cadastro!$D78</f>
        <v>28601</v>
      </c>
      <c r="E78" s="104" t="str">
        <f>Cadastro!$E78</f>
        <v>Camera081</v>
      </c>
      <c r="F78" s="104" t="str">
        <f>Cadastro!$F78</f>
        <v>Av. Pres. Affonso Camargo x Schiller x Dr. Dario Lopes dos Santos  </v>
      </c>
      <c r="G78" s="104" t="str">
        <f>Cadastro!$G78</f>
        <v>-25.435701</v>
      </c>
      <c r="H78" s="104" t="str">
        <f>Cadastro!$H78</f>
        <v>-49.251108</v>
      </c>
      <c r="I78" s="104" t="str">
        <f>Cadastro!$I78</f>
        <v>copom_DDTQ</v>
      </c>
      <c r="J78" s="104" t="str">
        <f>Cadastro!$J78</f>
        <v>DDTQcopom</v>
      </c>
      <c r="K78" s="104" t="s">
        <v>4536</v>
      </c>
      <c r="L78" s="104" t="s">
        <v>26</v>
      </c>
      <c r="M78" s="104" t="s">
        <v>27</v>
      </c>
      <c r="N78" s="108" t="str">
        <f t="shared" si="1"/>
        <v>URBS 2</v>
      </c>
      <c r="O78" s="109" t="str">
        <f>Cadastro!$O78</f>
        <v>https://monitoramento.pm.pr.gov.br/proxy_image_2/Interface/Cameras/GetJPEGStream?Camera=Camera081&amp;AuthUser=copom_DDTQ&amp;AuthPass=DDTQcopom&amp;Width=1024&amp;Height=768&amp;Quality=70&amp;FPS=10&amp;ResponseFormat=Text</v>
      </c>
      <c r="P78" s="106">
        <f>Cadastro!$P78</f>
        <v>1</v>
      </c>
    </row>
    <row r="79">
      <c r="A79" s="104" t="str">
        <f>Cadastro!$A79</f>
        <v>URBS 2</v>
      </c>
      <c r="B79" s="104" t="str">
        <f>Cadastro!$B79</f>
        <v>CURITIBA</v>
      </c>
      <c r="C79" s="107" t="str">
        <f>Cadastro!$C79</f>
        <v>https://monitoramento.pm.pr.gov.br/proxy_image_2/</v>
      </c>
      <c r="D79" s="105">
        <f>Cadastro!$D79</f>
        <v>28601</v>
      </c>
      <c r="E79" s="104" t="str">
        <f>Cadastro!$E79</f>
        <v>Camera082</v>
      </c>
      <c r="F79" s="104" t="str">
        <f>Cadastro!$F79</f>
        <v>São Luiz x Anita Garibaldi   </v>
      </c>
      <c r="G79" s="104" t="str">
        <f>Cadastro!$G79</f>
        <v>-25.407835</v>
      </c>
      <c r="H79" s="104" t="str">
        <f>Cadastro!$H79</f>
        <v>-49.256494</v>
      </c>
      <c r="I79" s="104" t="str">
        <f>Cadastro!$I79</f>
        <v>copom_DDTQ</v>
      </c>
      <c r="J79" s="104" t="str">
        <f>Cadastro!$J79</f>
        <v>DDTQcopom</v>
      </c>
      <c r="K79" s="104" t="s">
        <v>4536</v>
      </c>
      <c r="L79" s="104" t="s">
        <v>26</v>
      </c>
      <c r="M79" s="104" t="s">
        <v>27</v>
      </c>
      <c r="N79" s="108" t="str">
        <f t="shared" si="1"/>
        <v>URBS 2</v>
      </c>
      <c r="O79" s="109" t="str">
        <f>Cadastro!$O79</f>
        <v>https://monitoramento.pm.pr.gov.br/proxy_image_2/Interface/Cameras/GetJPEGStream?Camera=Camera082&amp;AuthUser=copom_DDTQ&amp;AuthPass=DDTQcopom&amp;Width=1024&amp;Height=768&amp;Quality=70&amp;FPS=10&amp;ResponseFormat=Text</v>
      </c>
      <c r="P79" s="106">
        <f>Cadastro!$P79</f>
        <v>1</v>
      </c>
    </row>
    <row r="80">
      <c r="A80" s="104" t="str">
        <f>Cadastro!$A80</f>
        <v>URBS 2</v>
      </c>
      <c r="B80" s="104" t="str">
        <f>Cadastro!$B80</f>
        <v>CURITIBA</v>
      </c>
      <c r="C80" s="107" t="str">
        <f>Cadastro!$C80</f>
        <v>https://monitoramento.pm.pr.gov.br/proxy_image_2/</v>
      </c>
      <c r="D80" s="105">
        <f>Cadastro!$D80</f>
        <v>28601</v>
      </c>
      <c r="E80" s="104" t="str">
        <f>Cadastro!$E80</f>
        <v>Camera083</v>
      </c>
      <c r="F80" s="104" t="str">
        <f>Cadastro!$F80</f>
        <v>Cons. Laurindo x André de Barros  </v>
      </c>
      <c r="G80" s="104" t="str">
        <f>Cadastro!$G80</f>
        <v>-25.43289</v>
      </c>
      <c r="H80" s="104" t="str">
        <f>Cadastro!$H80</f>
        <v>-49.263743</v>
      </c>
      <c r="I80" s="104" t="str">
        <f>Cadastro!$I80</f>
        <v>copom_DDTQ</v>
      </c>
      <c r="J80" s="104" t="str">
        <f>Cadastro!$J80</f>
        <v>DDTQcopom</v>
      </c>
      <c r="K80" s="104" t="s">
        <v>4536</v>
      </c>
      <c r="L80" s="104" t="s">
        <v>26</v>
      </c>
      <c r="M80" s="104" t="s">
        <v>27</v>
      </c>
      <c r="N80" s="108" t="str">
        <f t="shared" si="1"/>
        <v>URBS 2</v>
      </c>
      <c r="O80" s="109" t="str">
        <f>Cadastro!$O80</f>
        <v>https://monitoramento.pm.pr.gov.br/proxy_image_2/Interface/Cameras/GetJPEGStream?Camera=Camera083&amp;AuthUser=copom_DDTQ&amp;AuthPass=DDTQcopom&amp;Width=1024&amp;Height=768&amp;Quality=70&amp;FPS=10&amp;ResponseFormat=Text</v>
      </c>
      <c r="P80" s="106">
        <f>Cadastro!$P80</f>
        <v>1</v>
      </c>
    </row>
    <row r="81">
      <c r="A81" s="104" t="str">
        <f>Cadastro!$A81</f>
        <v>URBS 2</v>
      </c>
      <c r="B81" s="104" t="str">
        <f>Cadastro!$B81</f>
        <v>CURITIBA</v>
      </c>
      <c r="C81" s="107" t="str">
        <f>Cadastro!$C81</f>
        <v>https://monitoramento.pm.pr.gov.br/proxy_image_2/</v>
      </c>
      <c r="D81" s="105">
        <f>Cadastro!$D81</f>
        <v>28601</v>
      </c>
      <c r="E81" s="104" t="str">
        <f>Cadastro!$E81</f>
        <v>Camera084</v>
      </c>
      <c r="F81" s="104" t="str">
        <f>Cadastro!$F81</f>
        <v>Al. Dr. Muricy x Cruz Machado    </v>
      </c>
      <c r="G81" s="104" t="str">
        <f>Cadastro!$G81</f>
        <v>-25.429799</v>
      </c>
      <c r="H81" s="104" t="str">
        <f>Cadastro!$H81</f>
        <v>-49.273678</v>
      </c>
      <c r="I81" s="104" t="str">
        <f>Cadastro!$I81</f>
        <v>copom_DDTQ</v>
      </c>
      <c r="J81" s="104" t="str">
        <f>Cadastro!$J81</f>
        <v>DDTQcopom</v>
      </c>
      <c r="K81" s="104" t="s">
        <v>4536</v>
      </c>
      <c r="L81" s="104" t="s">
        <v>26</v>
      </c>
      <c r="M81" s="104" t="s">
        <v>27</v>
      </c>
      <c r="N81" s="108" t="str">
        <f t="shared" si="1"/>
        <v>URBS 2</v>
      </c>
      <c r="O81" s="109" t="str">
        <f>Cadastro!$O81</f>
        <v>https://monitoramento.pm.pr.gov.br/proxy_image_2/Interface/Cameras/GetJPEGStream?Camera=Camera084&amp;AuthUser=copom_DDTQ&amp;AuthPass=DDTQcopom&amp;Width=1024&amp;Height=768&amp;Quality=70&amp;FPS=10&amp;ResponseFormat=Text</v>
      </c>
      <c r="P81" s="106">
        <f>Cadastro!$P81</f>
        <v>1</v>
      </c>
    </row>
    <row r="82">
      <c r="A82" s="104" t="str">
        <f>Cadastro!$A82</f>
        <v>URBS 2</v>
      </c>
      <c r="B82" s="104" t="str">
        <f>Cadastro!$B82</f>
        <v>CURITIBA</v>
      </c>
      <c r="C82" s="107" t="str">
        <f>Cadastro!$C82</f>
        <v>https://monitoramento.pm.pr.gov.br/proxy_image_2/</v>
      </c>
      <c r="D82" s="105">
        <f>Cadastro!$D82</f>
        <v>28601</v>
      </c>
      <c r="E82" s="104" t="str">
        <f>Cadastro!$E82</f>
        <v>Camera085</v>
      </c>
      <c r="F82" s="104" t="str">
        <f>Cadastro!$F82</f>
        <v>Mariano Torres x Amintas de Barros  </v>
      </c>
      <c r="G82" s="104" t="str">
        <f>Cadastro!$G82</f>
        <v>-25.427178</v>
      </c>
      <c r="H82" s="104" t="str">
        <f>Cadastro!$H82</f>
        <v>-49.264095</v>
      </c>
      <c r="I82" s="104" t="str">
        <f>Cadastro!$I82</f>
        <v>copom_DDTQ</v>
      </c>
      <c r="J82" s="104" t="str">
        <f>Cadastro!$J82</f>
        <v>DDTQcopom</v>
      </c>
      <c r="K82" s="104" t="s">
        <v>4536</v>
      </c>
      <c r="L82" s="104" t="s">
        <v>26</v>
      </c>
      <c r="M82" s="104" t="s">
        <v>27</v>
      </c>
      <c r="N82" s="108" t="str">
        <f t="shared" si="1"/>
        <v>URBS 2</v>
      </c>
      <c r="O82" s="109" t="str">
        <f>Cadastro!$O82</f>
        <v>https://monitoramento.pm.pr.gov.br/proxy_image_2/Interface/Cameras/GetJPEGStream?Camera=Camera085&amp;AuthUser=copom_DDTQ&amp;AuthPass=DDTQcopom&amp;Width=1024&amp;Height=768&amp;Quality=70&amp;FPS=10&amp;ResponseFormat=Text</v>
      </c>
      <c r="P82" s="106">
        <f>Cadastro!$P82</f>
        <v>1</v>
      </c>
    </row>
    <row r="83">
      <c r="A83" s="104" t="str">
        <f>Cadastro!$A83</f>
        <v>URBS 2</v>
      </c>
      <c r="B83" s="104" t="str">
        <f>Cadastro!$B83</f>
        <v>CURITIBA</v>
      </c>
      <c r="C83" s="107" t="str">
        <f>Cadastro!$C83</f>
        <v>https://monitoramento.pm.pr.gov.br/proxy_image_2/</v>
      </c>
      <c r="D83" s="105">
        <f>Cadastro!$D83</f>
        <v>28601</v>
      </c>
      <c r="E83" s="104" t="str">
        <f>Cadastro!$E83</f>
        <v>Camera086</v>
      </c>
      <c r="F83" s="104" t="str">
        <f>Cadastro!$F83</f>
        <v>Barão de Antonina x Heitor Stockler França  </v>
      </c>
      <c r="G83" s="104" t="str">
        <f>Cadastro!$G83</f>
        <v>-25.42286</v>
      </c>
      <c r="H83" s="104" t="str">
        <f>Cadastro!$H83</f>
        <v>-49.26859</v>
      </c>
      <c r="I83" s="104" t="str">
        <f>Cadastro!$I83</f>
        <v>copom_DDTQ</v>
      </c>
      <c r="J83" s="104" t="str">
        <f>Cadastro!$J83</f>
        <v>DDTQcopom</v>
      </c>
      <c r="K83" s="104" t="s">
        <v>4536</v>
      </c>
      <c r="L83" s="104" t="s">
        <v>26</v>
      </c>
      <c r="M83" s="104" t="s">
        <v>27</v>
      </c>
      <c r="N83" s="108" t="str">
        <f t="shared" si="1"/>
        <v>URBS 2</v>
      </c>
      <c r="O83" s="109" t="str">
        <f>Cadastro!$O83</f>
        <v>https://monitoramento.pm.pr.gov.br/proxy_image_2/Interface/Cameras/GetJPEGStream?Camera=Camera086&amp;AuthUser=copom_DDTQ&amp;AuthPass=DDTQcopom&amp;Width=1024&amp;Height=768&amp;Quality=70&amp;FPS=10&amp;ResponseFormat=Text</v>
      </c>
      <c r="P83" s="106">
        <f>Cadastro!$P83</f>
        <v>1</v>
      </c>
    </row>
    <row r="84">
      <c r="A84" s="104" t="str">
        <f>Cadastro!$A84</f>
        <v>URBS 2</v>
      </c>
      <c r="B84" s="104" t="str">
        <f>Cadastro!$B84</f>
        <v>CURITIBA</v>
      </c>
      <c r="C84" s="107" t="str">
        <f>Cadastro!$C84</f>
        <v>https://monitoramento.pm.pr.gov.br/proxy_image_2/</v>
      </c>
      <c r="D84" s="105">
        <f>Cadastro!$D84</f>
        <v>28601</v>
      </c>
      <c r="E84" s="104" t="str">
        <f>Cadastro!$E84</f>
        <v>Camera087</v>
      </c>
      <c r="F84" s="104" t="str">
        <f>Cadastro!$F84</f>
        <v>Av. Paraná x Fernando de Noronha   </v>
      </c>
      <c r="G84" s="104" t="str">
        <f>Cadastro!$G84</f>
        <v>-25.384774</v>
      </c>
      <c r="H84" s="104" t="str">
        <f>Cadastro!$H84</f>
        <v>-49.232568</v>
      </c>
      <c r="I84" s="104" t="str">
        <f>Cadastro!$I84</f>
        <v>copom_DDTQ</v>
      </c>
      <c r="J84" s="104" t="str">
        <f>Cadastro!$J84</f>
        <v>DDTQcopom</v>
      </c>
      <c r="K84" s="104" t="s">
        <v>4536</v>
      </c>
      <c r="L84" s="104" t="s">
        <v>26</v>
      </c>
      <c r="M84" s="104" t="s">
        <v>27</v>
      </c>
      <c r="N84" s="108" t="str">
        <f t="shared" si="1"/>
        <v>URBS 2</v>
      </c>
      <c r="O84" s="109" t="str">
        <f>Cadastro!$O84</f>
        <v>https://monitoramento.pm.pr.gov.br/proxy_image_2/Interface/Cameras/GetJPEGStream?Camera=Camera087&amp;AuthUser=copom_DDTQ&amp;AuthPass=DDTQcopom&amp;Width=1024&amp;Height=768&amp;Quality=70&amp;FPS=10&amp;ResponseFormat=Text</v>
      </c>
      <c r="P84" s="106">
        <f>Cadastro!$P84</f>
        <v>1</v>
      </c>
    </row>
    <row r="85">
      <c r="A85" s="104" t="str">
        <f>Cadastro!$A85</f>
        <v>URBS 2</v>
      </c>
      <c r="B85" s="104" t="str">
        <f>Cadastro!$B85</f>
        <v>CURITIBA</v>
      </c>
      <c r="C85" s="107" t="str">
        <f>Cadastro!$C85</f>
        <v>https://monitoramento.pm.pr.gov.br/proxy_image_2/</v>
      </c>
      <c r="D85" s="105">
        <f>Cadastro!$D85</f>
        <v>28601</v>
      </c>
      <c r="E85" s="104" t="str">
        <f>Cadastro!$E85</f>
        <v>Camera088</v>
      </c>
      <c r="F85" s="104" t="str">
        <f>Cadastro!$F85</f>
        <v>Holana x Canadá   </v>
      </c>
      <c r="G85" s="104" t="str">
        <f>Cadastro!$G85</f>
        <v>-25.399895</v>
      </c>
      <c r="H85" s="104" t="str">
        <f>Cadastro!$H85</f>
        <v>-49.245047</v>
      </c>
      <c r="I85" s="104" t="str">
        <f>Cadastro!$I85</f>
        <v>copom_DDTQ</v>
      </c>
      <c r="J85" s="104" t="str">
        <f>Cadastro!$J85</f>
        <v>DDTQcopom</v>
      </c>
      <c r="K85" s="104" t="s">
        <v>4536</v>
      </c>
      <c r="L85" s="104" t="s">
        <v>26</v>
      </c>
      <c r="M85" s="104" t="s">
        <v>27</v>
      </c>
      <c r="N85" s="108" t="str">
        <f t="shared" si="1"/>
        <v>URBS 2</v>
      </c>
      <c r="O85" s="109" t="str">
        <f>Cadastro!$O85</f>
        <v>https://monitoramento.pm.pr.gov.br/proxy_image_2/Interface/Cameras/GetJPEGStream?Camera=Camera088&amp;AuthUser=copom_DDTQ&amp;AuthPass=DDTQcopom&amp;Width=1024&amp;Height=768&amp;Quality=70&amp;FPS=10&amp;ResponseFormat=Text</v>
      </c>
      <c r="P85" s="106">
        <f>Cadastro!$P85</f>
        <v>1</v>
      </c>
    </row>
    <row r="86">
      <c r="A86" s="104" t="str">
        <f>Cadastro!$A86</f>
        <v>URBS 2</v>
      </c>
      <c r="B86" s="104" t="str">
        <f>Cadastro!$B86</f>
        <v>CURITIBA</v>
      </c>
      <c r="C86" s="107" t="str">
        <f>Cadastro!$C86</f>
        <v>https://monitoramento.pm.pr.gov.br/proxy_image_2/</v>
      </c>
      <c r="D86" s="105">
        <f>Cadastro!$D86</f>
        <v>28601</v>
      </c>
      <c r="E86" s="104" t="str">
        <f>Cadastro!$E86</f>
        <v>Camera089</v>
      </c>
      <c r="F86" s="104" t="str">
        <f>Cadastro!$F86</f>
        <v>Pioneiros x Dr. Levy Buquera    </v>
      </c>
      <c r="G86" s="104" t="str">
        <f>Cadastro!$G86</f>
        <v>-25.5341</v>
      </c>
      <c r="H86" s="104" t="str">
        <f>Cadastro!$H86</f>
        <v>-49.266587</v>
      </c>
      <c r="I86" s="104" t="str">
        <f>Cadastro!$I86</f>
        <v>copom_DDTQ</v>
      </c>
      <c r="J86" s="104" t="str">
        <f>Cadastro!$J86</f>
        <v>DDTQcopom</v>
      </c>
      <c r="K86" s="104" t="s">
        <v>4536</v>
      </c>
      <c r="L86" s="104" t="s">
        <v>26</v>
      </c>
      <c r="M86" s="104" t="s">
        <v>27</v>
      </c>
      <c r="N86" s="108" t="str">
        <f t="shared" si="1"/>
        <v>URBS 2</v>
      </c>
      <c r="O86" s="109" t="str">
        <f>Cadastro!$O86</f>
        <v>https://monitoramento.pm.pr.gov.br/proxy_image_2/Interface/Cameras/GetJPEGStream?Camera=Camera089&amp;AuthUser=copom_DDTQ&amp;AuthPass=DDTQcopom&amp;Width=1024&amp;Height=768&amp;Quality=70&amp;FPS=10&amp;ResponseFormat=Text</v>
      </c>
      <c r="P86" s="106">
        <f>Cadastro!$P86</f>
        <v>1</v>
      </c>
    </row>
    <row r="87">
      <c r="A87" s="104" t="str">
        <f>Cadastro!$A87</f>
        <v>URBS 2</v>
      </c>
      <c r="B87" s="104" t="str">
        <f>Cadastro!$B87</f>
        <v>CURITIBA</v>
      </c>
      <c r="C87" s="107" t="str">
        <f>Cadastro!$C87</f>
        <v>https://monitoramento.pm.pr.gov.br/proxy_image_2/</v>
      </c>
      <c r="D87" s="105">
        <f>Cadastro!$D87</f>
        <v>28601</v>
      </c>
      <c r="E87" s="104" t="str">
        <f>Cadastro!$E87</f>
        <v>Camera100</v>
      </c>
      <c r="F87" s="104" t="str">
        <f>Cadastro!$F87</f>
        <v>Estação tubo Centenario x C. Cumprido</v>
      </c>
      <c r="G87" s="104" t="str">
        <f>Cadastro!$G87</f>
        <v>-25.435867</v>
      </c>
      <c r="H87" s="104" t="str">
        <f>Cadastro!$H87</f>
        <v>-49.274926</v>
      </c>
      <c r="I87" s="104" t="str">
        <f>Cadastro!$I87</f>
        <v>copom_DDTQ</v>
      </c>
      <c r="J87" s="104" t="str">
        <f>Cadastro!$J87</f>
        <v>DDTQcopom</v>
      </c>
      <c r="K87" s="104" t="s">
        <v>4536</v>
      </c>
      <c r="L87" s="104" t="s">
        <v>26</v>
      </c>
      <c r="M87" s="104" t="s">
        <v>27</v>
      </c>
      <c r="N87" s="108" t="str">
        <f t="shared" si="1"/>
        <v>URBS 2</v>
      </c>
      <c r="O87" s="109" t="str">
        <f>Cadastro!$O87</f>
        <v>https://monitoramento.pm.pr.gov.br/proxy_image_2/Interface/Cameras/GetJPEGStream?Camera=Camera100&amp;AuthUser=copom_DDTQ&amp;AuthPass=DDTQcopom&amp;Width=1024&amp;Height=768&amp;Quality=70&amp;FPS=10&amp;ResponseFormat=Text</v>
      </c>
      <c r="P87" s="106">
        <f>Cadastro!$P87</f>
        <v>1</v>
      </c>
    </row>
    <row r="88">
      <c r="A88" s="104" t="str">
        <f>Cadastro!$A88</f>
        <v>URBS 2</v>
      </c>
      <c r="B88" s="104" t="str">
        <f>Cadastro!$B88</f>
        <v>CURITIBA</v>
      </c>
      <c r="C88" s="107" t="str">
        <f>Cadastro!$C88</f>
        <v>https://monitoramento.pm.pr.gov.br/proxy_image_2/</v>
      </c>
      <c r="D88" s="105">
        <f>Cadastro!$D88</f>
        <v>28601</v>
      </c>
      <c r="E88" s="104" t="str">
        <f>Cadastro!$E88</f>
        <v>Camera60</v>
      </c>
      <c r="F88" s="104" t="str">
        <f>Cadastro!$F88</f>
        <v>Term hauer interbairros 2 hor.</v>
      </c>
      <c r="G88" s="104" t="str">
        <f>Cadastro!$G88</f>
        <v>-25.482196</v>
      </c>
      <c r="H88" s="104" t="str">
        <f>Cadastro!$H88</f>
        <v>-49.246905</v>
      </c>
      <c r="I88" s="104" t="str">
        <f>Cadastro!$I88</f>
        <v>copom_DDTQ</v>
      </c>
      <c r="J88" s="104" t="str">
        <f>Cadastro!$J88</f>
        <v>DDTQcopom</v>
      </c>
      <c r="K88" s="104" t="s">
        <v>4536</v>
      </c>
      <c r="L88" s="104" t="s">
        <v>26</v>
      </c>
      <c r="M88" s="104" t="s">
        <v>27</v>
      </c>
      <c r="N88" s="108" t="str">
        <f t="shared" si="1"/>
        <v>URBS 2</v>
      </c>
      <c r="O88" s="109" t="str">
        <f>Cadastro!$O88</f>
        <v>https://monitoramento.pm.pr.gov.br/proxy_image_2/Interface/Cameras/GetJPEGStream?Camera=Camera60&amp;AuthUser=copom_DDTQ&amp;AuthPass=DDTQcopom&amp;Width=1024&amp;Height=768&amp;Quality=70&amp;FPS=10&amp;ResponseFormat=Text</v>
      </c>
      <c r="P88" s="106">
        <f>Cadastro!$P88</f>
        <v>1</v>
      </c>
    </row>
    <row r="89">
      <c r="A89" s="104" t="str">
        <f>Cadastro!$A89</f>
        <v>URBS 2</v>
      </c>
      <c r="B89" s="104" t="str">
        <f>Cadastro!$B89</f>
        <v>CURITIBA</v>
      </c>
      <c r="C89" s="107" t="str">
        <f>Cadastro!$C89</f>
        <v>https://monitoramento.pm.pr.gov.br/proxy_image_2/</v>
      </c>
      <c r="D89" s="105">
        <f>Cadastro!$D89</f>
        <v>28601</v>
      </c>
      <c r="E89" s="104" t="str">
        <f>Cadastro!$E89</f>
        <v>Camera61</v>
      </c>
      <c r="F89" s="104" t="str">
        <f>Cadastro!$F89</f>
        <v>Term hauer fanny</v>
      </c>
      <c r="G89" s="104" t="str">
        <f>Cadastro!$G89</f>
        <v>-25.482399</v>
      </c>
      <c r="H89" s="104" t="str">
        <f>Cadastro!$H89</f>
        <v>-49.246799</v>
      </c>
      <c r="I89" s="104" t="str">
        <f>Cadastro!$I89</f>
        <v>copom_DDTQ</v>
      </c>
      <c r="J89" s="104" t="str">
        <f>Cadastro!$J89</f>
        <v>DDTQcopom</v>
      </c>
      <c r="K89" s="104" t="s">
        <v>4536</v>
      </c>
      <c r="L89" s="104" t="s">
        <v>26</v>
      </c>
      <c r="M89" s="104" t="s">
        <v>27</v>
      </c>
      <c r="N89" s="108" t="str">
        <f t="shared" si="1"/>
        <v>URBS 2</v>
      </c>
      <c r="O89" s="109" t="str">
        <f>Cadastro!$O89</f>
        <v>https://monitoramento.pm.pr.gov.br/proxy_image_2/Interface/Cameras/GetJPEGStream?Camera=Camera61&amp;AuthUser=copom_DDTQ&amp;AuthPass=DDTQcopom&amp;Width=1024&amp;Height=768&amp;Quality=70&amp;FPS=10&amp;ResponseFormat=Text</v>
      </c>
      <c r="P89" s="106">
        <f>Cadastro!$P89</f>
        <v>1</v>
      </c>
    </row>
    <row r="90">
      <c r="A90" s="104" t="str">
        <f>Cadastro!$A90</f>
        <v>URBS 2</v>
      </c>
      <c r="B90" s="104" t="str">
        <f>Cadastro!$B90</f>
        <v>CURITIBA</v>
      </c>
      <c r="C90" s="107" t="str">
        <f>Cadastro!$C90</f>
        <v>https://monitoramento.pm.pr.gov.br/proxy_image_2/</v>
      </c>
      <c r="D90" s="105">
        <f>Cadastro!$D90</f>
        <v>28601</v>
      </c>
      <c r="E90" s="104" t="str">
        <f>Cadastro!$E90</f>
        <v>Camera64</v>
      </c>
      <c r="F90" s="104" t="str">
        <f>Cadastro!$F90</f>
        <v>PANE Rodoferroviaria&gt; C. Cumprido</v>
      </c>
      <c r="G90" s="104" t="str">
        <f>Cadastro!$G90</f>
        <v>-25.435561</v>
      </c>
      <c r="H90" s="104" t="str">
        <f>Cadastro!$H90</f>
        <v>-49.256602</v>
      </c>
      <c r="I90" s="104" t="str">
        <f>Cadastro!$I90</f>
        <v>copom_DDTQ</v>
      </c>
      <c r="J90" s="104" t="str">
        <f>Cadastro!$J90</f>
        <v>DDTQcopom</v>
      </c>
      <c r="K90" s="104" t="s">
        <v>4536</v>
      </c>
      <c r="L90" s="104" t="s">
        <v>26</v>
      </c>
      <c r="M90" s="104" t="s">
        <v>27</v>
      </c>
      <c r="N90" s="108" t="str">
        <f t="shared" si="1"/>
        <v>URBS 2</v>
      </c>
      <c r="O90" s="109" t="str">
        <f>Cadastro!$O90</f>
        <v>https://monitoramento.pm.pr.gov.br/proxy_image_2/Interface/Cameras/GetJPEGStream?Camera=Camera64&amp;AuthUser=copom_DDTQ&amp;AuthPass=DDTQcopom&amp;Width=1024&amp;Height=768&amp;Quality=70&amp;FPS=10&amp;ResponseFormat=Text</v>
      </c>
      <c r="P90" s="106">
        <f>Cadastro!$P90</f>
        <v>1</v>
      </c>
    </row>
    <row r="91">
      <c r="A91" s="104" t="str">
        <f>Cadastro!$A91</f>
        <v>URBS 2</v>
      </c>
      <c r="B91" s="104" t="str">
        <f>Cadastro!$B91</f>
        <v>CURITIBA</v>
      </c>
      <c r="C91" s="107" t="str">
        <f>Cadastro!$C91</f>
        <v>https://monitoramento.pm.pr.gov.br/proxy_image_2/</v>
      </c>
      <c r="D91" s="105">
        <f>Cadastro!$D91</f>
        <v>28601</v>
      </c>
      <c r="E91" s="104" t="str">
        <f>Cadastro!$E91</f>
        <v>Camera65</v>
      </c>
      <c r="F91" s="104" t="str">
        <f>Cadastro!$F91</f>
        <v>Rodoferroviaria&gt; Centenario</v>
      </c>
      <c r="G91" s="104" t="str">
        <f>Cadastro!$G91</f>
        <v>-25.435784</v>
      </c>
      <c r="H91" s="104" t="str">
        <f>Cadastro!$H91</f>
        <v>-49.257526</v>
      </c>
      <c r="I91" s="104" t="str">
        <f>Cadastro!$I91</f>
        <v>copom_DDTQ</v>
      </c>
      <c r="J91" s="104" t="str">
        <f>Cadastro!$J91</f>
        <v>DDTQcopom</v>
      </c>
      <c r="K91" s="104" t="s">
        <v>4536</v>
      </c>
      <c r="L91" s="104" t="s">
        <v>26</v>
      </c>
      <c r="M91" s="104" t="s">
        <v>27</v>
      </c>
      <c r="N91" s="108" t="str">
        <f t="shared" si="1"/>
        <v>URBS 2</v>
      </c>
      <c r="O91" s="109" t="str">
        <f>Cadastro!$O91</f>
        <v>https://monitoramento.pm.pr.gov.br/proxy_image_2/Interface/Cameras/GetJPEGStream?Camera=Camera65&amp;AuthUser=copom_DDTQ&amp;AuthPass=DDTQcopom&amp;Width=1024&amp;Height=768&amp;Quality=70&amp;FPS=10&amp;ResponseFormat=Text</v>
      </c>
      <c r="P91" s="106">
        <f>Cadastro!$P91</f>
        <v>1</v>
      </c>
    </row>
    <row r="92">
      <c r="A92" s="104" t="str">
        <f>Cadastro!$A92</f>
        <v>URBS 2</v>
      </c>
      <c r="B92" s="104" t="str">
        <f>Cadastro!$B92</f>
        <v>CURITIBA</v>
      </c>
      <c r="C92" s="107" t="str">
        <f>Cadastro!$C92</f>
        <v>https://monitoramento.pm.pr.gov.br/proxy_image_2/</v>
      </c>
      <c r="D92" s="105">
        <f>Cadastro!$D92</f>
        <v>28601</v>
      </c>
      <c r="E92" s="104" t="str">
        <f>Cadastro!$E92</f>
        <v>Camera66</v>
      </c>
      <c r="F92" s="104" t="str">
        <f>Cadastro!$F92</f>
        <v>Mariano Torres &gt; Centenario</v>
      </c>
      <c r="G92" s="104" t="str">
        <f>Cadastro!$G92</f>
        <v>-25.435808</v>
      </c>
      <c r="H92" s="104" t="str">
        <f>Cadastro!$H92</f>
        <v>-49.260813</v>
      </c>
      <c r="I92" s="104" t="str">
        <f>Cadastro!$I92</f>
        <v>copom_DDTQ</v>
      </c>
      <c r="J92" s="104" t="str">
        <f>Cadastro!$J92</f>
        <v>DDTQcopom</v>
      </c>
      <c r="K92" s="104" t="s">
        <v>4536</v>
      </c>
      <c r="L92" s="104" t="s">
        <v>26</v>
      </c>
      <c r="M92" s="104" t="s">
        <v>27</v>
      </c>
      <c r="N92" s="108" t="str">
        <f t="shared" si="1"/>
        <v>URBS 2</v>
      </c>
      <c r="O92" s="109" t="str">
        <f>Cadastro!$O92</f>
        <v>https://monitoramento.pm.pr.gov.br/proxy_image_2/Interface/Cameras/GetJPEGStream?Camera=Camera66&amp;AuthUser=copom_DDTQ&amp;AuthPass=DDTQcopom&amp;Width=1024&amp;Height=768&amp;Quality=70&amp;FPS=10&amp;ResponseFormat=Text</v>
      </c>
      <c r="P92" s="106">
        <f>Cadastro!$P92</f>
        <v>1</v>
      </c>
    </row>
    <row r="93">
      <c r="A93" s="104" t="str">
        <f>Cadastro!$A93</f>
        <v>URBS 2</v>
      </c>
      <c r="B93" s="104" t="str">
        <f>Cadastro!$B93</f>
        <v>CURITIBA</v>
      </c>
      <c r="C93" s="107" t="str">
        <f>Cadastro!$C93</f>
        <v>https://monitoramento.pm.pr.gov.br/proxy_image_2/</v>
      </c>
      <c r="D93" s="105">
        <f>Cadastro!$D93</f>
        <v>28601</v>
      </c>
      <c r="E93" s="104" t="str">
        <f>Cadastro!$E93</f>
        <v>Camera71</v>
      </c>
      <c r="F93" s="104" t="str">
        <f>Cadastro!$F93</f>
        <v>Term. Capão da ImbuiaExpresso bairro</v>
      </c>
      <c r="G93" s="104" t="str">
        <f>Cadastro!$G93</f>
        <v>-25.439890</v>
      </c>
      <c r="H93" s="104" t="str">
        <f>Cadastro!$H93</f>
        <v>-49.222097</v>
      </c>
      <c r="I93" s="104" t="str">
        <f>Cadastro!$I93</f>
        <v>copom_DDTQ</v>
      </c>
      <c r="J93" s="104" t="str">
        <f>Cadastro!$J93</f>
        <v>DDTQcopom</v>
      </c>
      <c r="K93" s="104" t="s">
        <v>4536</v>
      </c>
      <c r="L93" s="104" t="s">
        <v>26</v>
      </c>
      <c r="M93" s="104" t="s">
        <v>27</v>
      </c>
      <c r="N93" s="108" t="str">
        <f t="shared" si="1"/>
        <v>URBS 2</v>
      </c>
      <c r="O93" s="109" t="str">
        <f>Cadastro!$O93</f>
        <v>https://monitoramento.pm.pr.gov.br/proxy_image_2/Interface/Cameras/GetJPEGStream?Camera=Camera71&amp;AuthUser=copom_DDTQ&amp;AuthPass=DDTQcopom&amp;Width=1024&amp;Height=768&amp;Quality=70&amp;FPS=10&amp;ResponseFormat=Text</v>
      </c>
      <c r="P93" s="106">
        <f>Cadastro!$P93</f>
        <v>1</v>
      </c>
    </row>
    <row r="94">
      <c r="A94" s="104" t="str">
        <f>Cadastro!$A94</f>
        <v>URBS 2</v>
      </c>
      <c r="B94" s="104" t="str">
        <f>Cadastro!$B94</f>
        <v>CURITIBA</v>
      </c>
      <c r="C94" s="107" t="str">
        <f>Cadastro!$C94</f>
        <v>https://monitoramento.pm.pr.gov.br/proxy_image_2/</v>
      </c>
      <c r="D94" s="105">
        <f>Cadastro!$D94</f>
        <v>28601</v>
      </c>
      <c r="E94" s="104" t="str">
        <f>Cadastro!$E94</f>
        <v>Camera72</v>
      </c>
      <c r="F94" s="104" t="str">
        <f>Cadastro!$F94</f>
        <v>Term. Capão da Imbuia Interbairros</v>
      </c>
      <c r="G94" s="104" t="str">
        <f>Cadastro!$G94</f>
        <v>-25.440181</v>
      </c>
      <c r="H94" s="104" t="str">
        <f>Cadastro!$H94</f>
        <v>-49.221358</v>
      </c>
      <c r="I94" s="104" t="str">
        <f>Cadastro!$I94</f>
        <v>copom_DDTQ</v>
      </c>
      <c r="J94" s="104" t="str">
        <f>Cadastro!$J94</f>
        <v>DDTQcopom</v>
      </c>
      <c r="K94" s="104" t="s">
        <v>4536</v>
      </c>
      <c r="L94" s="104" t="s">
        <v>26</v>
      </c>
      <c r="M94" s="104" t="s">
        <v>27</v>
      </c>
      <c r="N94" s="108" t="str">
        <f t="shared" si="1"/>
        <v>URBS 2</v>
      </c>
      <c r="O94" s="109" t="str">
        <f>Cadastro!$O94</f>
        <v>https://monitoramento.pm.pr.gov.br/proxy_image_2/Interface/Cameras/GetJPEGStream?Camera=Camera72&amp;AuthUser=copom_DDTQ&amp;AuthPass=DDTQcopom&amp;Width=1024&amp;Height=768&amp;Quality=70&amp;FPS=10&amp;ResponseFormat=Text</v>
      </c>
      <c r="P94" s="106">
        <f>Cadastro!$P94</f>
        <v>1</v>
      </c>
    </row>
    <row r="95">
      <c r="A95" s="104" t="str">
        <f>Cadastro!$A95</f>
        <v>URBS 2</v>
      </c>
      <c r="B95" s="104" t="str">
        <f>Cadastro!$B95</f>
        <v>CURITIBA</v>
      </c>
      <c r="C95" s="107" t="str">
        <f>Cadastro!$C95</f>
        <v>https://monitoramento.pm.pr.gov.br/proxy_image_2/</v>
      </c>
      <c r="D95" s="105">
        <f>Cadastro!$D95</f>
        <v>28601</v>
      </c>
      <c r="E95" s="104" t="str">
        <f>Cadastro!$E95</f>
        <v>Camera73</v>
      </c>
      <c r="F95" s="104" t="str">
        <f>Cadastro!$F95</f>
        <v>Estação tubo TRE&gt; Centro</v>
      </c>
      <c r="G95" s="104" t="str">
        <f>Cadastro!$G95</f>
        <v>-25.457849</v>
      </c>
      <c r="H95" s="104" t="str">
        <f>Cadastro!$H95</f>
        <v>-49.258738</v>
      </c>
      <c r="I95" s="104" t="str">
        <f>Cadastro!$I95</f>
        <v>copom_DDTQ</v>
      </c>
      <c r="J95" s="104" t="str">
        <f>Cadastro!$J95</f>
        <v>DDTQcopom</v>
      </c>
      <c r="K95" s="104" t="s">
        <v>4536</v>
      </c>
      <c r="L95" s="104" t="s">
        <v>26</v>
      </c>
      <c r="M95" s="104" t="s">
        <v>27</v>
      </c>
      <c r="N95" s="108" t="str">
        <f t="shared" si="1"/>
        <v>URBS 2</v>
      </c>
      <c r="O95" s="109" t="str">
        <f>Cadastro!$O95</f>
        <v>https://monitoramento.pm.pr.gov.br/proxy_image_2/Interface/Cameras/GetJPEGStream?Camera=Camera73&amp;AuthUser=copom_DDTQ&amp;AuthPass=DDTQcopom&amp;Width=1024&amp;Height=768&amp;Quality=70&amp;FPS=10&amp;ResponseFormat=Text</v>
      </c>
      <c r="P95" s="106">
        <f>Cadastro!$P95</f>
        <v>1</v>
      </c>
    </row>
    <row r="96">
      <c r="A96" s="104" t="str">
        <f>Cadastro!$A96</f>
        <v>URBS 2</v>
      </c>
      <c r="B96" s="104" t="str">
        <f>Cadastro!$B96</f>
        <v>CURITIBA</v>
      </c>
      <c r="C96" s="107" t="str">
        <f>Cadastro!$C96</f>
        <v>https://monitoramento.pm.pr.gov.br/proxy_image_2/</v>
      </c>
      <c r="D96" s="105">
        <f>Cadastro!$D96</f>
        <v>28601</v>
      </c>
      <c r="E96" s="104" t="str">
        <f>Cadastro!$E96</f>
        <v>Camera74</v>
      </c>
      <c r="F96" s="104" t="str">
        <f>Cadastro!$F96</f>
        <v>Term. Capão da Imbuia ET Pinhais</v>
      </c>
      <c r="G96" s="104" t="str">
        <f>Cadastro!$G96</f>
        <v>-25.440251</v>
      </c>
      <c r="H96" s="104" t="str">
        <f>Cadastro!$H96</f>
        <v>-49.221176</v>
      </c>
      <c r="I96" s="104" t="str">
        <f>Cadastro!$I96</f>
        <v>copom_DDTQ</v>
      </c>
      <c r="J96" s="104" t="str">
        <f>Cadastro!$J96</f>
        <v>DDTQcopom</v>
      </c>
      <c r="K96" s="104" t="s">
        <v>4536</v>
      </c>
      <c r="L96" s="104" t="s">
        <v>26</v>
      </c>
      <c r="M96" s="104" t="s">
        <v>27</v>
      </c>
      <c r="N96" s="108" t="str">
        <f t="shared" si="1"/>
        <v>URBS 2</v>
      </c>
      <c r="O96" s="109" t="str">
        <f>Cadastro!$O96</f>
        <v>https://monitoramento.pm.pr.gov.br/proxy_image_2/Interface/Cameras/GetJPEGStream?Camera=Camera74&amp;AuthUser=copom_DDTQ&amp;AuthPass=DDTQcopom&amp;Width=1024&amp;Height=768&amp;Quality=70&amp;FPS=10&amp;ResponseFormat=Text</v>
      </c>
      <c r="P96" s="106">
        <f>Cadastro!$P96</f>
        <v>1</v>
      </c>
    </row>
    <row r="97">
      <c r="A97" s="104" t="str">
        <f>Cadastro!$A97</f>
        <v>URBS 2</v>
      </c>
      <c r="B97" s="104" t="str">
        <f>Cadastro!$B97</f>
        <v>CURITIBA</v>
      </c>
      <c r="C97" s="107" t="str">
        <f>Cadastro!$C97</f>
        <v>https://monitoramento.pm.pr.gov.br/proxy_image_2/</v>
      </c>
      <c r="D97" s="105">
        <f>Cadastro!$D97</f>
        <v>28601</v>
      </c>
      <c r="E97" s="104" t="str">
        <f>Cadastro!$E97</f>
        <v>Camera75</v>
      </c>
      <c r="F97" s="104" t="str">
        <f>Cadastro!$F97</f>
        <v>ET Conselheiro Dantas</v>
      </c>
      <c r="G97" s="104" t="str">
        <f>Cadastro!$G97</f>
        <v>-25.451765</v>
      </c>
      <c r="H97" s="104" t="str">
        <f>Cadastro!$H97</f>
        <v>-49.261675</v>
      </c>
      <c r="I97" s="104" t="str">
        <f>Cadastro!$I97</f>
        <v>copom_DDTQ</v>
      </c>
      <c r="J97" s="104" t="str">
        <f>Cadastro!$J97</f>
        <v>DDTQcopom</v>
      </c>
      <c r="K97" s="104" t="s">
        <v>4536</v>
      </c>
      <c r="L97" s="104" t="s">
        <v>26</v>
      </c>
      <c r="M97" s="104" t="s">
        <v>27</v>
      </c>
      <c r="N97" s="108" t="str">
        <f t="shared" si="1"/>
        <v>URBS 2</v>
      </c>
      <c r="O97" s="109" t="str">
        <f>Cadastro!$O97</f>
        <v>https://monitoramento.pm.pr.gov.br/proxy_image_2/Interface/Cameras/GetJPEGStream?Camera=Camera75&amp;AuthUser=copom_DDTQ&amp;AuthPass=DDTQcopom&amp;Width=1024&amp;Height=768&amp;Quality=70&amp;FPS=10&amp;ResponseFormat=Text</v>
      </c>
      <c r="P97" s="106">
        <f>Cadastro!$P97</f>
        <v>1</v>
      </c>
    </row>
    <row r="98">
      <c r="A98" s="104" t="str">
        <f>Cadastro!$A98</f>
        <v>URBS 2</v>
      </c>
      <c r="B98" s="104" t="str">
        <f>Cadastro!$B98</f>
        <v>CURITIBA</v>
      </c>
      <c r="C98" s="107" t="str">
        <f>Cadastro!$C98</f>
        <v>https://monitoramento.pm.pr.gov.br/proxy_image_2/</v>
      </c>
      <c r="D98" s="105">
        <f>Cadastro!$D98</f>
        <v>28601</v>
      </c>
      <c r="E98" s="104" t="str">
        <f>Cadastro!$E98</f>
        <v>Camera76</v>
      </c>
      <c r="F98" s="104" t="str">
        <f>Cadastro!$F98</f>
        <v>ET Joao Viana Seiler</v>
      </c>
      <c r="G98" s="104" t="str">
        <f>Cadastro!$G98</f>
        <v>-25.454429</v>
      </c>
      <c r="H98" s="104" t="str">
        <f>Cadastro!$H98</f>
        <v>-49.260433</v>
      </c>
      <c r="I98" s="104" t="str">
        <f>Cadastro!$I98</f>
        <v>copom_DDTQ</v>
      </c>
      <c r="J98" s="104" t="str">
        <f>Cadastro!$J98</f>
        <v>DDTQcopom</v>
      </c>
      <c r="K98" s="104" t="s">
        <v>4536</v>
      </c>
      <c r="L98" s="104" t="s">
        <v>26</v>
      </c>
      <c r="M98" s="104" t="s">
        <v>27</v>
      </c>
      <c r="N98" s="108" t="str">
        <f t="shared" si="1"/>
        <v>URBS 2</v>
      </c>
      <c r="O98" s="109" t="str">
        <f>Cadastro!$O98</f>
        <v>https://monitoramento.pm.pr.gov.br/proxy_image_2/Interface/Cameras/GetJPEGStream?Camera=Camera76&amp;AuthUser=copom_DDTQ&amp;AuthPass=DDTQcopom&amp;Width=1024&amp;Height=768&amp;Quality=70&amp;FPS=10&amp;ResponseFormat=Text</v>
      </c>
      <c r="P98" s="106">
        <f>Cadastro!$P98</f>
        <v>1</v>
      </c>
    </row>
    <row r="99">
      <c r="A99" s="104" t="str">
        <f>Cadastro!$A99</f>
        <v>URBS 2</v>
      </c>
      <c r="B99" s="104" t="str">
        <f>Cadastro!$B99</f>
        <v>CURITIBA</v>
      </c>
      <c r="C99" s="107" t="str">
        <f>Cadastro!$C99</f>
        <v>https://monitoramento.pm.pr.gov.br/proxy_image_2/</v>
      </c>
      <c r="D99" s="105">
        <f>Cadastro!$D99</f>
        <v>28601</v>
      </c>
      <c r="E99" s="104" t="str">
        <f>Cadastro!$E99</f>
        <v>Camera77</v>
      </c>
      <c r="F99" s="104" t="str">
        <f>Cadastro!$F99</f>
        <v>PANE</v>
      </c>
      <c r="G99" s="104">
        <f>Cadastro!$G99</f>
        <v>0</v>
      </c>
      <c r="H99" s="104">
        <f>Cadastro!$H99</f>
        <v>0</v>
      </c>
      <c r="I99" s="104" t="str">
        <f>Cadastro!$I99</f>
        <v>copom_DDTQ</v>
      </c>
      <c r="J99" s="104" t="str">
        <f>Cadastro!$J99</f>
        <v>DDTQcopom</v>
      </c>
      <c r="K99" s="104" t="s">
        <v>4536</v>
      </c>
      <c r="L99" s="104" t="s">
        <v>26</v>
      </c>
      <c r="M99" s="104" t="s">
        <v>27</v>
      </c>
      <c r="N99" s="108" t="str">
        <f t="shared" si="1"/>
        <v>URBS 2</v>
      </c>
      <c r="O99" s="109" t="str">
        <f>Cadastro!$O99</f>
        <v>https://monitoramento.pm.pr.gov.br/proxy_image_2/Interface/Cameras/GetJPEGStream?Camera=Camera77&amp;AuthUser=copom_DDTQ&amp;AuthPass=DDTQcopom&amp;Width=1024&amp;Height=768&amp;Quality=70&amp;FPS=10&amp;ResponseFormat=Text</v>
      </c>
      <c r="P99" s="106">
        <f>Cadastro!$P99</f>
        <v>1</v>
      </c>
    </row>
    <row r="100">
      <c r="A100" s="104" t="str">
        <f>Cadastro!$A100</f>
        <v>URBS 2</v>
      </c>
      <c r="B100" s="104" t="str">
        <f>Cadastro!$B100</f>
        <v>CURITIBA</v>
      </c>
      <c r="C100" s="107" t="str">
        <f>Cadastro!$C100</f>
        <v>https://monitoramento.pm.pr.gov.br/proxy_image_2/</v>
      </c>
      <c r="D100" s="105">
        <f>Cadastro!$D100</f>
        <v>28601</v>
      </c>
      <c r="E100" s="104" t="str">
        <f>Cadastro!$E100</f>
        <v>Camera78</v>
      </c>
      <c r="F100" s="104" t="str">
        <f>Cadastro!$F100</f>
        <v>PANE</v>
      </c>
      <c r="G100" s="104">
        <f>Cadastro!$G100</f>
        <v>0</v>
      </c>
      <c r="H100" s="104">
        <f>Cadastro!$H100</f>
        <v>0</v>
      </c>
      <c r="I100" s="104" t="str">
        <f>Cadastro!$I100</f>
        <v>copom_DDTQ</v>
      </c>
      <c r="J100" s="104" t="str">
        <f>Cadastro!$J100</f>
        <v>DDTQcopom</v>
      </c>
      <c r="K100" s="104" t="s">
        <v>4536</v>
      </c>
      <c r="L100" s="104" t="s">
        <v>26</v>
      </c>
      <c r="M100" s="104" t="s">
        <v>27</v>
      </c>
      <c r="N100" s="108" t="str">
        <f t="shared" si="1"/>
        <v>URBS 2</v>
      </c>
      <c r="O100" s="109" t="str">
        <f>Cadastro!$O100</f>
        <v>https://monitoramento.pm.pr.gov.br/proxy_image_2/Interface/Cameras/GetJPEGStream?Camera=Camera78&amp;AuthUser=copom_DDTQ&amp;AuthPass=DDTQcopom&amp;Width=1024&amp;Height=768&amp;Quality=70&amp;FPS=10&amp;ResponseFormat=Text</v>
      </c>
      <c r="P100" s="106">
        <f>Cadastro!$P100</f>
        <v>1</v>
      </c>
    </row>
    <row r="101">
      <c r="A101" s="104" t="str">
        <f>Cadastro!$A101</f>
        <v>URBS 2</v>
      </c>
      <c r="B101" s="104" t="str">
        <f>Cadastro!$B101</f>
        <v>CURITIBA</v>
      </c>
      <c r="C101" s="107" t="str">
        <f>Cadastro!$C101</f>
        <v>https://monitoramento.pm.pr.gov.br/proxy_image_2/</v>
      </c>
      <c r="D101" s="105">
        <f>Cadastro!$D101</f>
        <v>28601</v>
      </c>
      <c r="E101" s="104" t="str">
        <f>Cadastro!$E101</f>
        <v>Camera79</v>
      </c>
      <c r="F101" s="104" t="str">
        <f>Cadastro!$F101</f>
        <v>ET Ferrovila&gt; Boqueirao</v>
      </c>
      <c r="G101" s="104" t="str">
        <f>Cadastro!$G101</f>
        <v>-25.440251</v>
      </c>
      <c r="H101" s="104" t="str">
        <f>Cadastro!$H101</f>
        <v>-49.221176</v>
      </c>
      <c r="I101" s="104" t="str">
        <f>Cadastro!$I101</f>
        <v>copom_DDTQ</v>
      </c>
      <c r="J101" s="104" t="str">
        <f>Cadastro!$J101</f>
        <v>DDTQcopom</v>
      </c>
      <c r="K101" s="104" t="s">
        <v>4536</v>
      </c>
      <c r="L101" s="104" t="s">
        <v>26</v>
      </c>
      <c r="M101" s="104" t="s">
        <v>27</v>
      </c>
      <c r="N101" s="108" t="str">
        <f t="shared" si="1"/>
        <v>URBS 2</v>
      </c>
      <c r="O101" s="109" t="str">
        <f>Cadastro!$O101</f>
        <v>https://monitoramento.pm.pr.gov.br/proxy_image_2/Interface/Cameras/GetJPEGStream?Camera=Camera79&amp;AuthUser=copom_DDTQ&amp;AuthPass=DDTQcopom&amp;Width=1024&amp;Height=768&amp;Quality=70&amp;FPS=10&amp;ResponseFormat=Text</v>
      </c>
      <c r="P101" s="106">
        <f>Cadastro!$P101</f>
        <v>1</v>
      </c>
    </row>
    <row r="102">
      <c r="A102" s="104" t="str">
        <f>Cadastro!$A102</f>
        <v>URBS 2</v>
      </c>
      <c r="B102" s="104" t="str">
        <f>Cadastro!$B102</f>
        <v>CURITIBA</v>
      </c>
      <c r="C102" s="107" t="str">
        <f>Cadastro!$C102</f>
        <v>https://monitoramento.pm.pr.gov.br/proxy_image_2/</v>
      </c>
      <c r="D102" s="105">
        <f>Cadastro!$D102</f>
        <v>28601</v>
      </c>
      <c r="E102" s="104" t="str">
        <f>Cadastro!$E102</f>
        <v>Camera80</v>
      </c>
      <c r="F102" s="104" t="str">
        <f>Cadastro!$F102</f>
        <v>PANE</v>
      </c>
      <c r="G102" s="104">
        <f>Cadastro!$G102</f>
        <v>0</v>
      </c>
      <c r="H102" s="104">
        <f>Cadastro!$H102</f>
        <v>0</v>
      </c>
      <c r="I102" s="104" t="str">
        <f>Cadastro!$I102</f>
        <v>copom_DDTQ</v>
      </c>
      <c r="J102" s="104" t="str">
        <f>Cadastro!$J102</f>
        <v>DDTQcopom</v>
      </c>
      <c r="K102" s="104" t="s">
        <v>4536</v>
      </c>
      <c r="L102" s="104" t="s">
        <v>26</v>
      </c>
      <c r="M102" s="104" t="s">
        <v>27</v>
      </c>
      <c r="N102" s="108" t="str">
        <f t="shared" si="1"/>
        <v>URBS 2</v>
      </c>
      <c r="O102" s="109" t="str">
        <f>Cadastro!$O102</f>
        <v>https://monitoramento.pm.pr.gov.br/proxy_image_2/Interface/Cameras/GetJPEGStream?Camera=Camera80&amp;AuthUser=copom_DDTQ&amp;AuthPass=DDTQcopom&amp;Width=1024&amp;Height=768&amp;Quality=70&amp;FPS=10&amp;ResponseFormat=Text</v>
      </c>
      <c r="P102" s="106">
        <f>Cadastro!$P102</f>
        <v>1</v>
      </c>
    </row>
    <row r="103">
      <c r="A103" s="104" t="str">
        <f>Cadastro!$A103</f>
        <v>URBS 2</v>
      </c>
      <c r="B103" s="104" t="str">
        <f>Cadastro!$B103</f>
        <v>CURITIBA</v>
      </c>
      <c r="C103" s="107" t="str">
        <f>Cadastro!$C103</f>
        <v>https://monitoramento.pm.pr.gov.br/proxy_image_2/</v>
      </c>
      <c r="D103" s="105">
        <f>Cadastro!$D103</f>
        <v>28601</v>
      </c>
      <c r="E103" s="104" t="str">
        <f>Cadastro!$E103</f>
        <v>Camera81</v>
      </c>
      <c r="F103" s="104" t="str">
        <f>Cadastro!$F103</f>
        <v>ET Pç Carlos gomes catraca</v>
      </c>
      <c r="G103" s="104" t="str">
        <f>Cadastro!$G103</f>
        <v>-25.433733</v>
      </c>
      <c r="H103" s="104" t="str">
        <f>Cadastro!$H103</f>
        <v>-49.270370</v>
      </c>
      <c r="I103" s="104" t="str">
        <f>Cadastro!$I103</f>
        <v>copom_DDTQ</v>
      </c>
      <c r="J103" s="104" t="str">
        <f>Cadastro!$J103</f>
        <v>DDTQcopom</v>
      </c>
      <c r="K103" s="104" t="s">
        <v>4536</v>
      </c>
      <c r="L103" s="104" t="s">
        <v>26</v>
      </c>
      <c r="M103" s="104" t="s">
        <v>27</v>
      </c>
      <c r="N103" s="108" t="str">
        <f t="shared" si="1"/>
        <v>URBS 2</v>
      </c>
      <c r="O103" s="109" t="str">
        <f>Cadastro!$O103</f>
        <v>https://monitoramento.pm.pr.gov.br/proxy_image_2/Interface/Cameras/GetJPEGStream?Camera=Camera81&amp;AuthUser=copom_DDTQ&amp;AuthPass=DDTQcopom&amp;Width=1024&amp;Height=768&amp;Quality=70&amp;FPS=10&amp;ResponseFormat=Text</v>
      </c>
      <c r="P103" s="106">
        <f>Cadastro!$P103</f>
        <v>1</v>
      </c>
    </row>
    <row r="104">
      <c r="A104" s="104" t="str">
        <f>Cadastro!$A104</f>
        <v>URBS 2</v>
      </c>
      <c r="B104" s="104" t="str">
        <f>Cadastro!$B104</f>
        <v>CURITIBA</v>
      </c>
      <c r="C104" s="107" t="str">
        <f>Cadastro!$C104</f>
        <v>https://monitoramento.pm.pr.gov.br/proxy_image_2/</v>
      </c>
      <c r="D104" s="105">
        <f>Cadastro!$D104</f>
        <v>28601</v>
      </c>
      <c r="E104" s="104" t="str">
        <f>Cadastro!$E104</f>
        <v>Camera82</v>
      </c>
      <c r="F104" s="104" t="str">
        <f>Cadastro!$F104</f>
        <v>ET Pç Carlos gomes catraca</v>
      </c>
      <c r="G104" s="104" t="str">
        <f>Cadastro!$G104</f>
        <v>-25.433675</v>
      </c>
      <c r="H104" s="104" t="str">
        <f>Cadastro!$H104</f>
        <v>-49.270208</v>
      </c>
      <c r="I104" s="104" t="str">
        <f>Cadastro!$I104</f>
        <v>copom_DDTQ</v>
      </c>
      <c r="J104" s="104" t="str">
        <f>Cadastro!$J104</f>
        <v>DDTQcopom</v>
      </c>
      <c r="K104" s="104" t="s">
        <v>4536</v>
      </c>
      <c r="L104" s="104" t="s">
        <v>26</v>
      </c>
      <c r="M104" s="104" t="s">
        <v>27</v>
      </c>
      <c r="N104" s="108" t="str">
        <f t="shared" si="1"/>
        <v>URBS 2</v>
      </c>
      <c r="O104" s="109" t="str">
        <f>Cadastro!$O104</f>
        <v>https://monitoramento.pm.pr.gov.br/proxy_image_2/Interface/Cameras/GetJPEGStream?Camera=Camera82&amp;AuthUser=copom_DDTQ&amp;AuthPass=DDTQcopom&amp;Width=1024&amp;Height=768&amp;Quality=70&amp;FPS=10&amp;ResponseFormat=Text</v>
      </c>
      <c r="P104" s="106">
        <f>Cadastro!$P104</f>
        <v>1</v>
      </c>
    </row>
    <row r="105">
      <c r="A105" s="104" t="str">
        <f>Cadastro!$A105</f>
        <v>URBS 2</v>
      </c>
      <c r="B105" s="104" t="str">
        <f>Cadastro!$B105</f>
        <v>CURITIBA</v>
      </c>
      <c r="C105" s="107" t="str">
        <f>Cadastro!$C105</f>
        <v>https://monitoramento.pm.pr.gov.br/proxy_image_2/</v>
      </c>
      <c r="D105" s="105">
        <f>Cadastro!$D105</f>
        <v>28601</v>
      </c>
      <c r="E105" s="104" t="str">
        <f>Cadastro!$E105</f>
        <v>Camera83</v>
      </c>
      <c r="F105" s="104" t="str">
        <f>Cadastro!$F105</f>
        <v>ET Pç Carlos gomes catraca</v>
      </c>
      <c r="G105" s="104" t="str">
        <f>Cadastro!$G105</f>
        <v>-25.433686</v>
      </c>
      <c r="H105" s="104" t="str">
        <f>Cadastro!$H105</f>
        <v>-49.270257</v>
      </c>
      <c r="I105" s="104" t="str">
        <f>Cadastro!$I105</f>
        <v>copom_DDTQ</v>
      </c>
      <c r="J105" s="104" t="str">
        <f>Cadastro!$J105</f>
        <v>DDTQcopom</v>
      </c>
      <c r="K105" s="104" t="s">
        <v>4536</v>
      </c>
      <c r="L105" s="104" t="s">
        <v>26</v>
      </c>
      <c r="M105" s="104" t="s">
        <v>27</v>
      </c>
      <c r="N105" s="108" t="str">
        <f t="shared" si="1"/>
        <v>URBS 2</v>
      </c>
      <c r="O105" s="109" t="str">
        <f>Cadastro!$O105</f>
        <v>https://monitoramento.pm.pr.gov.br/proxy_image_2/Interface/Cameras/GetJPEGStream?Camera=Camera83&amp;AuthUser=copom_DDTQ&amp;AuthPass=DDTQcopom&amp;Width=1024&amp;Height=768&amp;Quality=70&amp;FPS=10&amp;ResponseFormat=Text</v>
      </c>
      <c r="P105" s="106">
        <f>Cadastro!$P105</f>
        <v>1</v>
      </c>
    </row>
    <row r="106">
      <c r="A106" s="104" t="str">
        <f>Cadastro!$A106</f>
        <v>URBS 2</v>
      </c>
      <c r="B106" s="104" t="str">
        <f>Cadastro!$B106</f>
        <v>CURITIBA</v>
      </c>
      <c r="C106" s="107" t="str">
        <f>Cadastro!$C106</f>
        <v>https://monitoramento.pm.pr.gov.br/proxy_image_2/</v>
      </c>
      <c r="D106" s="105">
        <f>Cadastro!$D106</f>
        <v>28601</v>
      </c>
      <c r="E106" s="104" t="str">
        <f>Cadastro!$E106</f>
        <v>Camera84</v>
      </c>
      <c r="F106" s="104" t="str">
        <f>Cadastro!$F106</f>
        <v>ET Pç Carlos gomes pinheirinho</v>
      </c>
      <c r="G106" s="104" t="str">
        <f>Cadastro!$G106</f>
        <v>-25.433945</v>
      </c>
      <c r="H106" s="104" t="str">
        <f>Cadastro!$H106</f>
        <v>-49.269181</v>
      </c>
      <c r="I106" s="104" t="str">
        <f>Cadastro!$I106</f>
        <v>copom_DDTQ</v>
      </c>
      <c r="J106" s="104" t="str">
        <f>Cadastro!$J106</f>
        <v>DDTQcopom</v>
      </c>
      <c r="K106" s="104" t="s">
        <v>4536</v>
      </c>
      <c r="L106" s="104" t="s">
        <v>26</v>
      </c>
      <c r="M106" s="104" t="s">
        <v>27</v>
      </c>
      <c r="N106" s="108" t="str">
        <f t="shared" si="1"/>
        <v>URBS 2</v>
      </c>
      <c r="O106" s="109" t="str">
        <f>Cadastro!$O106</f>
        <v>https://monitoramento.pm.pr.gov.br/proxy_image_2/Interface/Cameras/GetJPEGStream?Camera=Camera84&amp;AuthUser=copom_DDTQ&amp;AuthPass=DDTQcopom&amp;Width=1024&amp;Height=768&amp;Quality=70&amp;FPS=10&amp;ResponseFormat=Text</v>
      </c>
      <c r="P106" s="106">
        <f>Cadastro!$P106</f>
        <v>1</v>
      </c>
    </row>
    <row r="107">
      <c r="A107" s="104" t="str">
        <f>Cadastro!$A107</f>
        <v>URBS 2</v>
      </c>
      <c r="B107" s="104" t="str">
        <f>Cadastro!$B107</f>
        <v>CURITIBA</v>
      </c>
      <c r="C107" s="107" t="str">
        <f>Cadastro!$C107</f>
        <v>https://monitoramento.pm.pr.gov.br/proxy_image_2/</v>
      </c>
      <c r="D107" s="105">
        <f>Cadastro!$D107</f>
        <v>28601</v>
      </c>
      <c r="E107" s="104" t="str">
        <f>Cadastro!$E107</f>
        <v>Camera85</v>
      </c>
      <c r="F107" s="104" t="str">
        <f>Cadastro!$F107</f>
        <v>ET Pç Carlos gomes pinheirinho</v>
      </c>
      <c r="G107" s="104" t="str">
        <f>Cadastro!$G107</f>
        <v>-25.434041</v>
      </c>
      <c r="H107" s="104" t="str">
        <f>Cadastro!$H107</f>
        <v>-49.269159</v>
      </c>
      <c r="I107" s="104" t="str">
        <f>Cadastro!$I107</f>
        <v>copom_DDTQ</v>
      </c>
      <c r="J107" s="104" t="str">
        <f>Cadastro!$J107</f>
        <v>DDTQcopom</v>
      </c>
      <c r="K107" s="104" t="s">
        <v>4536</v>
      </c>
      <c r="L107" s="104" t="s">
        <v>26</v>
      </c>
      <c r="M107" s="104" t="s">
        <v>27</v>
      </c>
      <c r="N107" s="108" t="str">
        <f t="shared" si="1"/>
        <v>URBS 2</v>
      </c>
      <c r="O107" s="109" t="str">
        <f>Cadastro!$O107</f>
        <v>https://monitoramento.pm.pr.gov.br/proxy_image_2/Interface/Cameras/GetJPEGStream?Camera=Camera85&amp;AuthUser=copom_DDTQ&amp;AuthPass=DDTQcopom&amp;Width=1024&amp;Height=768&amp;Quality=70&amp;FPS=10&amp;ResponseFormat=Text</v>
      </c>
      <c r="P107" s="106">
        <f>Cadastro!$P107</f>
        <v>1</v>
      </c>
    </row>
    <row r="108">
      <c r="A108" s="104" t="str">
        <f>Cadastro!$A108</f>
        <v>URBS 2</v>
      </c>
      <c r="B108" s="104" t="str">
        <f>Cadastro!$B108</f>
        <v>CURITIBA</v>
      </c>
      <c r="C108" s="107" t="str">
        <f>Cadastro!$C108</f>
        <v>https://monitoramento.pm.pr.gov.br/proxy_image_2/</v>
      </c>
      <c r="D108" s="105">
        <f>Cadastro!$D108</f>
        <v>28601</v>
      </c>
      <c r="E108" s="104" t="str">
        <f>Cadastro!$E108</f>
        <v>Camera86</v>
      </c>
      <c r="F108" s="104" t="str">
        <f>Cadastro!$F108</f>
        <v>ET Pç Carlos gomes pinheirinho</v>
      </c>
      <c r="G108" s="104" t="str">
        <f>Cadastro!$G108</f>
        <v>-25.434096</v>
      </c>
      <c r="H108" s="104" t="str">
        <f>Cadastro!$H108</f>
        <v>-49.269135</v>
      </c>
      <c r="I108" s="104" t="str">
        <f>Cadastro!$I108</f>
        <v>copom_DDTQ</v>
      </c>
      <c r="J108" s="104" t="str">
        <f>Cadastro!$J108</f>
        <v>DDTQcopom</v>
      </c>
      <c r="K108" s="104" t="s">
        <v>4536</v>
      </c>
      <c r="L108" s="104" t="s">
        <v>26</v>
      </c>
      <c r="M108" s="104" t="s">
        <v>27</v>
      </c>
      <c r="N108" s="108" t="str">
        <f t="shared" si="1"/>
        <v>URBS 2</v>
      </c>
      <c r="O108" s="109" t="str">
        <f>Cadastro!$O108</f>
        <v>https://monitoramento.pm.pr.gov.br/proxy_image_2/Interface/Cameras/GetJPEGStream?Camera=Camera86&amp;AuthUser=copom_DDTQ&amp;AuthPass=DDTQcopom&amp;Width=1024&amp;Height=768&amp;Quality=70&amp;FPS=10&amp;ResponseFormat=Text</v>
      </c>
      <c r="P108" s="106">
        <f>Cadastro!$P108</f>
        <v>1</v>
      </c>
    </row>
    <row r="109">
      <c r="A109" s="104" t="str">
        <f>Cadastro!$A109</f>
        <v>URBS 2</v>
      </c>
      <c r="B109" s="104" t="str">
        <f>Cadastro!$B109</f>
        <v>CURITIBA</v>
      </c>
      <c r="C109" s="107" t="str">
        <f>Cadastro!$C109</f>
        <v>https://monitoramento.pm.pr.gov.br/proxy_image_2/</v>
      </c>
      <c r="D109" s="105">
        <f>Cadastro!$D109</f>
        <v>28601</v>
      </c>
      <c r="E109" s="104" t="str">
        <f>Cadastro!$E109</f>
        <v>Camera87</v>
      </c>
      <c r="F109" s="104" t="str">
        <f>Cadastro!$F109</f>
        <v>ET Pç Rui barbosa&gt; Pinhais</v>
      </c>
      <c r="G109" s="104" t="str">
        <f>Cadastro!$G109</f>
        <v>-25.436537</v>
      </c>
      <c r="H109" s="104" t="str">
        <f>Cadastro!$H109</f>
        <v>-49.273971</v>
      </c>
      <c r="I109" s="104" t="str">
        <f>Cadastro!$I109</f>
        <v>copom_DDTQ</v>
      </c>
      <c r="J109" s="104" t="str">
        <f>Cadastro!$J109</f>
        <v>DDTQcopom</v>
      </c>
      <c r="K109" s="104" t="s">
        <v>4536</v>
      </c>
      <c r="L109" s="104" t="s">
        <v>26</v>
      </c>
      <c r="M109" s="104" t="s">
        <v>27</v>
      </c>
      <c r="N109" s="108" t="str">
        <f t="shared" si="1"/>
        <v>URBS 2</v>
      </c>
      <c r="O109" s="109" t="str">
        <f>Cadastro!$O109</f>
        <v>https://monitoramento.pm.pr.gov.br/proxy_image_2/Interface/Cameras/GetJPEGStream?Camera=Camera87&amp;AuthUser=copom_DDTQ&amp;AuthPass=DDTQcopom&amp;Width=1024&amp;Height=768&amp;Quality=70&amp;FPS=10&amp;ResponseFormat=Text</v>
      </c>
      <c r="P109" s="106">
        <f>Cadastro!$P109</f>
        <v>1</v>
      </c>
    </row>
    <row r="110">
      <c r="A110" s="104" t="str">
        <f>Cadastro!$A110</f>
        <v>URBS 2</v>
      </c>
      <c r="B110" s="104" t="str">
        <f>Cadastro!$B110</f>
        <v>CURITIBA</v>
      </c>
      <c r="C110" s="107" t="str">
        <f>Cadastro!$C110</f>
        <v>https://monitoramento.pm.pr.gov.br/proxy_image_2/</v>
      </c>
      <c r="D110" s="105">
        <f>Cadastro!$D110</f>
        <v>28601</v>
      </c>
      <c r="E110" s="104" t="str">
        <f>Cadastro!$E110</f>
        <v>Camera88</v>
      </c>
      <c r="F110" s="104" t="str">
        <f>Cadastro!$F110</f>
        <v>ET Pç Carlos gomes&gt;boqueirao</v>
      </c>
      <c r="G110" s="104" t="str">
        <f>Cadastro!$G110</f>
        <v>-25.433762</v>
      </c>
      <c r="H110" s="104" t="str">
        <f>Cadastro!$H110</f>
        <v>-49.270323</v>
      </c>
      <c r="I110" s="104" t="str">
        <f>Cadastro!$I110</f>
        <v>copom_DDTQ</v>
      </c>
      <c r="J110" s="104" t="str">
        <f>Cadastro!$J110</f>
        <v>DDTQcopom</v>
      </c>
      <c r="K110" s="104" t="s">
        <v>4536</v>
      </c>
      <c r="L110" s="104" t="s">
        <v>26</v>
      </c>
      <c r="M110" s="104" t="s">
        <v>27</v>
      </c>
      <c r="N110" s="108" t="str">
        <f t="shared" si="1"/>
        <v>URBS 2</v>
      </c>
      <c r="O110" s="109" t="str">
        <f>Cadastro!$O110</f>
        <v>https://monitoramento.pm.pr.gov.br/proxy_image_2/Interface/Cameras/GetJPEGStream?Camera=Camera88&amp;AuthUser=copom_DDTQ&amp;AuthPass=DDTQcopom&amp;Width=1024&amp;Height=768&amp;Quality=70&amp;FPS=10&amp;ResponseFormat=Text</v>
      </c>
      <c r="P110" s="106">
        <f>Cadastro!$P110</f>
        <v>1</v>
      </c>
    </row>
    <row r="111">
      <c r="A111" s="104" t="str">
        <f>Cadastro!$A111</f>
        <v>URBS 2</v>
      </c>
      <c r="B111" s="104" t="str">
        <f>Cadastro!$B111</f>
        <v>CURITIBA</v>
      </c>
      <c r="C111" s="107" t="str">
        <f>Cadastro!$C111</f>
        <v>https://monitoramento.pm.pr.gov.br/proxy_image_2/</v>
      </c>
      <c r="D111" s="105">
        <f>Cadastro!$D111</f>
        <v>28601</v>
      </c>
      <c r="E111" s="104" t="str">
        <f>Cadastro!$E111</f>
        <v>Camera90</v>
      </c>
      <c r="F111" s="104" t="str">
        <f>Cadastro!$F111</f>
        <v>ET Pç Carlos gomes&gt;boqueirao</v>
      </c>
      <c r="G111" s="104" t="str">
        <f>Cadastro!$G111</f>
        <v>-25.433706</v>
      </c>
      <c r="H111" s="104" t="str">
        <f>Cadastro!$H111</f>
        <v>-49.270329</v>
      </c>
      <c r="I111" s="104" t="str">
        <f>Cadastro!$I111</f>
        <v>copom_DDTQ</v>
      </c>
      <c r="J111" s="104" t="str">
        <f>Cadastro!$J111</f>
        <v>DDTQcopom</v>
      </c>
      <c r="K111" s="104" t="s">
        <v>4536</v>
      </c>
      <c r="L111" s="104" t="s">
        <v>26</v>
      </c>
      <c r="M111" s="104" t="s">
        <v>27</v>
      </c>
      <c r="N111" s="108" t="str">
        <f t="shared" si="1"/>
        <v>URBS 2</v>
      </c>
      <c r="O111" s="109" t="str">
        <f>Cadastro!$O111</f>
        <v>https://monitoramento.pm.pr.gov.br/proxy_image_2/Interface/Cameras/GetJPEGStream?Camera=Camera90&amp;AuthUser=copom_DDTQ&amp;AuthPass=DDTQcopom&amp;Width=1024&amp;Height=768&amp;Quality=70&amp;FPS=10&amp;ResponseFormat=Text</v>
      </c>
      <c r="P111" s="106">
        <f>Cadastro!$P111</f>
        <v>1</v>
      </c>
    </row>
    <row r="112">
      <c r="A112" s="104" t="str">
        <f>Cadastro!$A112</f>
        <v>URBS 2</v>
      </c>
      <c r="B112" s="104" t="str">
        <f>Cadastro!$B112</f>
        <v>CURITIBA</v>
      </c>
      <c r="C112" s="107" t="str">
        <f>Cadastro!$C112</f>
        <v>https://monitoramento.pm.pr.gov.br/proxy_image_2/</v>
      </c>
      <c r="D112" s="105">
        <f>Cadastro!$D112</f>
        <v>28601</v>
      </c>
      <c r="E112" s="104" t="str">
        <f>Cadastro!$E112</f>
        <v>Camera91</v>
      </c>
      <c r="F112" s="104" t="str">
        <f>Cadastro!$F112</f>
        <v>ET Pç Carlos gomes pinheirinho</v>
      </c>
      <c r="G112" s="104" t="str">
        <f>Cadastro!$G112</f>
        <v>-25.433923</v>
      </c>
      <c r="H112" s="104" t="str">
        <f>Cadastro!$H112</f>
        <v>-49.269216</v>
      </c>
      <c r="I112" s="104" t="str">
        <f>Cadastro!$I112</f>
        <v>copom_DDTQ</v>
      </c>
      <c r="J112" s="104" t="str">
        <f>Cadastro!$J112</f>
        <v>DDTQcopom</v>
      </c>
      <c r="K112" s="104" t="s">
        <v>4536</v>
      </c>
      <c r="L112" s="104" t="s">
        <v>26</v>
      </c>
      <c r="M112" s="104" t="s">
        <v>27</v>
      </c>
      <c r="N112" s="108" t="str">
        <f t="shared" si="1"/>
        <v>URBS 2</v>
      </c>
      <c r="O112" s="109" t="str">
        <f>Cadastro!$O112</f>
        <v>https://monitoramento.pm.pr.gov.br/proxy_image_2/Interface/Cameras/GetJPEGStream?Camera=Camera91&amp;AuthUser=copom_DDTQ&amp;AuthPass=DDTQcopom&amp;Width=1024&amp;Height=768&amp;Quality=70&amp;FPS=10&amp;ResponseFormat=Text</v>
      </c>
      <c r="P112" s="106">
        <f>Cadastro!$P112</f>
        <v>1</v>
      </c>
    </row>
    <row r="113">
      <c r="A113" s="104" t="str">
        <f>Cadastro!$A113</f>
        <v>URBS 2</v>
      </c>
      <c r="B113" s="104" t="str">
        <f>Cadastro!$B113</f>
        <v>CURITIBA</v>
      </c>
      <c r="C113" s="107" t="str">
        <f>Cadastro!$C113</f>
        <v>https://monitoramento.pm.pr.gov.br/proxy_image_2/</v>
      </c>
      <c r="D113" s="105">
        <f>Cadastro!$D113</f>
        <v>28601</v>
      </c>
      <c r="E113" s="104" t="str">
        <f>Cadastro!$E113</f>
        <v>Camera92</v>
      </c>
      <c r="F113" s="104" t="str">
        <f>Cadastro!$F113</f>
        <v>ET Pç Carlos gomes&gt;boqueirao des.</v>
      </c>
      <c r="G113" s="104" t="str">
        <f>Cadastro!$G113</f>
        <v>-25.433638</v>
      </c>
      <c r="H113" s="104" t="str">
        <f>Cadastro!$H113</f>
        <v>-49.269993</v>
      </c>
      <c r="I113" s="104" t="str">
        <f>Cadastro!$I113</f>
        <v>copom_DDTQ</v>
      </c>
      <c r="J113" s="104" t="str">
        <f>Cadastro!$J113</f>
        <v>DDTQcopom</v>
      </c>
      <c r="K113" s="104" t="s">
        <v>4536</v>
      </c>
      <c r="L113" s="104" t="s">
        <v>26</v>
      </c>
      <c r="M113" s="104" t="s">
        <v>27</v>
      </c>
      <c r="N113" s="108" t="str">
        <f t="shared" si="1"/>
        <v>URBS 2</v>
      </c>
      <c r="O113" s="109" t="str">
        <f>Cadastro!$O113</f>
        <v>https://monitoramento.pm.pr.gov.br/proxy_image_2/Interface/Cameras/GetJPEGStream?Camera=Camera92&amp;AuthUser=copom_DDTQ&amp;AuthPass=DDTQcopom&amp;Width=1024&amp;Height=768&amp;Quality=70&amp;FPS=10&amp;ResponseFormat=Text</v>
      </c>
      <c r="P113" s="106">
        <f>Cadastro!$P113</f>
        <v>1</v>
      </c>
    </row>
    <row r="114">
      <c r="A114" s="104" t="str">
        <f>Cadastro!$A114</f>
        <v>URBS 2</v>
      </c>
      <c r="B114" s="104" t="str">
        <f>Cadastro!$B114</f>
        <v>CURITIBA</v>
      </c>
      <c r="C114" s="107" t="str">
        <f>Cadastro!$C114</f>
        <v>https://monitoramento.pm.pr.gov.br/proxy_image_2/</v>
      </c>
      <c r="D114" s="105">
        <f>Cadastro!$D114</f>
        <v>28601</v>
      </c>
      <c r="E114" s="104" t="str">
        <f>Cadastro!$E114</f>
        <v>Camera93</v>
      </c>
      <c r="F114" s="104" t="str">
        <f>Cadastro!$F114</f>
        <v>ET Pç Rui barbosa&gt; Pinhais des.</v>
      </c>
      <c r="G114" s="104" t="str">
        <f>Cadastro!$G114</f>
        <v>-25.433638</v>
      </c>
      <c r="H114" s="104" t="str">
        <f>Cadastro!$H114</f>
        <v>-49.269993</v>
      </c>
      <c r="I114" s="104" t="str">
        <f>Cadastro!$I114</f>
        <v>copom_DDTQ</v>
      </c>
      <c r="J114" s="104" t="str">
        <f>Cadastro!$J114</f>
        <v>DDTQcopom</v>
      </c>
      <c r="K114" s="104" t="s">
        <v>4536</v>
      </c>
      <c r="L114" s="104" t="s">
        <v>26</v>
      </c>
      <c r="M114" s="104" t="s">
        <v>27</v>
      </c>
      <c r="N114" s="108" t="str">
        <f t="shared" si="1"/>
        <v>URBS 2</v>
      </c>
      <c r="O114" s="109" t="str">
        <f>Cadastro!$O114</f>
        <v>https://monitoramento.pm.pr.gov.br/proxy_image_2/Interface/Cameras/GetJPEGStream?Camera=Camera93&amp;AuthUser=copom_DDTQ&amp;AuthPass=DDTQcopom&amp;Width=1024&amp;Height=768&amp;Quality=70&amp;FPS=10&amp;ResponseFormat=Text</v>
      </c>
      <c r="P114" s="106">
        <f>Cadastro!$P114</f>
        <v>1</v>
      </c>
    </row>
    <row r="115">
      <c r="A115" s="104" t="str">
        <f>Cadastro!$A115</f>
        <v>URBS 2</v>
      </c>
      <c r="B115" s="104" t="str">
        <f>Cadastro!$B115</f>
        <v>CURITIBA</v>
      </c>
      <c r="C115" s="107" t="str">
        <f>Cadastro!$C115</f>
        <v>https://monitoramento.pm.pr.gov.br/proxy_image_2/</v>
      </c>
      <c r="D115" s="105">
        <f>Cadastro!$D115</f>
        <v>28601</v>
      </c>
      <c r="E115" s="104" t="str">
        <f>Cadastro!$E115</f>
        <v>Camera94</v>
      </c>
      <c r="F115" s="104" t="str">
        <f>Cadastro!$F115</f>
        <v>ET Pç Rui barbosa&gt; Pinhais des.</v>
      </c>
      <c r="G115" s="104" t="str">
        <f>Cadastro!$G115</f>
        <v>-25.436472</v>
      </c>
      <c r="H115" s="104" t="str">
        <f>Cadastro!$H115</f>
        <v>-49.274228</v>
      </c>
      <c r="I115" s="104" t="str">
        <f>Cadastro!$I115</f>
        <v>copom_DDTQ</v>
      </c>
      <c r="J115" s="104" t="str">
        <f>Cadastro!$J115</f>
        <v>DDTQcopom</v>
      </c>
      <c r="K115" s="104" t="s">
        <v>4536</v>
      </c>
      <c r="L115" s="104" t="s">
        <v>26</v>
      </c>
      <c r="M115" s="104" t="s">
        <v>27</v>
      </c>
      <c r="N115" s="108" t="str">
        <f t="shared" si="1"/>
        <v>URBS 2</v>
      </c>
      <c r="O115" s="109" t="str">
        <f>Cadastro!$O115</f>
        <v>https://monitoramento.pm.pr.gov.br/proxy_image_2/Interface/Cameras/GetJPEGStream?Camera=Camera94&amp;AuthUser=copom_DDTQ&amp;AuthPass=DDTQcopom&amp;Width=1024&amp;Height=768&amp;Quality=70&amp;FPS=10&amp;ResponseFormat=Text</v>
      </c>
      <c r="P115" s="106">
        <f>Cadastro!$P115</f>
        <v>1</v>
      </c>
    </row>
    <row r="116">
      <c r="A116" s="104" t="str">
        <f>Cadastro!$A116</f>
        <v>URBS 2</v>
      </c>
      <c r="B116" s="104" t="str">
        <f>Cadastro!$B116</f>
        <v>CURITIBA</v>
      </c>
      <c r="C116" s="107" t="str">
        <f>Cadastro!$C116</f>
        <v>https://monitoramento.pm.pr.gov.br/proxy_image_2/</v>
      </c>
      <c r="D116" s="105">
        <f>Cadastro!$D116</f>
        <v>28601</v>
      </c>
      <c r="E116" s="104" t="str">
        <f>Cadastro!$E116</f>
        <v>Camera95</v>
      </c>
      <c r="F116" s="104" t="str">
        <f>Cadastro!$F116</f>
        <v>ET Pç Rui barbosa&gt; Pinhais</v>
      </c>
      <c r="G116" s="104" t="str">
        <f>Cadastro!$G116</f>
        <v>-25.436527</v>
      </c>
      <c r="H116" s="104" t="str">
        <f>Cadastro!$H116</f>
        <v>-49.273987</v>
      </c>
      <c r="I116" s="104" t="str">
        <f>Cadastro!$I116</f>
        <v>copom_DDTQ</v>
      </c>
      <c r="J116" s="104" t="str">
        <f>Cadastro!$J116</f>
        <v>DDTQcopom</v>
      </c>
      <c r="K116" s="104" t="s">
        <v>4536</v>
      </c>
      <c r="L116" s="104" t="s">
        <v>26</v>
      </c>
      <c r="M116" s="104" t="s">
        <v>27</v>
      </c>
      <c r="N116" s="108" t="str">
        <f t="shared" si="1"/>
        <v>URBS 2</v>
      </c>
      <c r="O116" s="109" t="str">
        <f>Cadastro!$O116</f>
        <v>https://monitoramento.pm.pr.gov.br/proxy_image_2/Interface/Cameras/GetJPEGStream?Camera=Camera95&amp;AuthUser=copom_DDTQ&amp;AuthPass=DDTQcopom&amp;Width=1024&amp;Height=768&amp;Quality=70&amp;FPS=10&amp;ResponseFormat=Text</v>
      </c>
      <c r="P116" s="106">
        <f>Cadastro!$P116</f>
        <v>1</v>
      </c>
    </row>
    <row r="117">
      <c r="A117" s="104" t="str">
        <f>Cadastro!$A117</f>
        <v>URBS 2</v>
      </c>
      <c r="B117" s="104" t="str">
        <f>Cadastro!$B117</f>
        <v>CURITIBA</v>
      </c>
      <c r="C117" s="107" t="str">
        <f>Cadastro!$C117</f>
        <v>https://monitoramento.pm.pr.gov.br/proxy_image_2/</v>
      </c>
      <c r="D117" s="105">
        <f>Cadastro!$D117</f>
        <v>28601</v>
      </c>
      <c r="E117" s="104" t="str">
        <f>Cadastro!$E117</f>
        <v>Camera97</v>
      </c>
      <c r="F117" s="104" t="str">
        <f>Cadastro!$F117</f>
        <v>ET Pç Carlos gomes&gt;boqueirao</v>
      </c>
      <c r="G117" s="104" t="str">
        <f>Cadastro!$G117</f>
        <v>-25.433711</v>
      </c>
      <c r="H117" s="104" t="str">
        <f>Cadastro!$H117</f>
        <v>-49.270276</v>
      </c>
      <c r="I117" s="104" t="str">
        <f>Cadastro!$I117</f>
        <v>copom_DDTQ</v>
      </c>
      <c r="J117" s="104" t="str">
        <f>Cadastro!$J117</f>
        <v>DDTQcopom</v>
      </c>
      <c r="K117" s="104" t="s">
        <v>4536</v>
      </c>
      <c r="L117" s="104" t="s">
        <v>26</v>
      </c>
      <c r="M117" s="104" t="s">
        <v>27</v>
      </c>
      <c r="N117" s="108" t="str">
        <f t="shared" si="1"/>
        <v>URBS 2</v>
      </c>
      <c r="O117" s="109" t="str">
        <f>Cadastro!$O117</f>
        <v>https://monitoramento.pm.pr.gov.br/proxy_image_2/Interface/Cameras/GetJPEGStream?Camera=Camera97&amp;AuthUser=copom_DDTQ&amp;AuthPass=DDTQcopom&amp;Width=1024&amp;Height=768&amp;Quality=70&amp;FPS=10&amp;ResponseFormat=Text</v>
      </c>
      <c r="P117" s="106">
        <f>Cadastro!$P117</f>
        <v>1</v>
      </c>
    </row>
    <row r="118">
      <c r="A118" s="104" t="str">
        <f>Cadastro!$A118</f>
        <v>URBS 2</v>
      </c>
      <c r="B118" s="104" t="str">
        <f>Cadastro!$B118</f>
        <v>CURITIBA</v>
      </c>
      <c r="C118" s="107" t="str">
        <f>Cadastro!$C118</f>
        <v>https://monitoramento.pm.pr.gov.br/proxy_image_2/</v>
      </c>
      <c r="D118" s="105">
        <f>Cadastro!$D118</f>
        <v>28601</v>
      </c>
      <c r="E118" s="104" t="str">
        <f>Cadastro!$E118</f>
        <v>Camera98</v>
      </c>
      <c r="F118" s="104" t="str">
        <f>Cadastro!$F118</f>
        <v>ET Pç Rui barbosa&gt; Pinhais catraca</v>
      </c>
      <c r="G118" s="104" t="str">
        <f>Cadastro!$G118</f>
        <v>-25.436556</v>
      </c>
      <c r="H118" s="104" t="str">
        <f>Cadastro!$H118</f>
        <v>-49.273980</v>
      </c>
      <c r="I118" s="104" t="str">
        <f>Cadastro!$I118</f>
        <v>copom_DDTQ</v>
      </c>
      <c r="J118" s="104" t="str">
        <f>Cadastro!$J118</f>
        <v>DDTQcopom</v>
      </c>
      <c r="K118" s="104" t="s">
        <v>4536</v>
      </c>
      <c r="L118" s="104" t="s">
        <v>26</v>
      </c>
      <c r="M118" s="104" t="s">
        <v>27</v>
      </c>
      <c r="N118" s="108" t="str">
        <f t="shared" si="1"/>
        <v>URBS 2</v>
      </c>
      <c r="O118" s="109" t="str">
        <f>Cadastro!$O118</f>
        <v>https://monitoramento.pm.pr.gov.br/proxy_image_2/Interface/Cameras/GetJPEGStream?Camera=Camera98&amp;AuthUser=copom_DDTQ&amp;AuthPass=DDTQcopom&amp;Width=1024&amp;Height=768&amp;Quality=70&amp;FPS=10&amp;ResponseFormat=Text</v>
      </c>
      <c r="P118" s="106">
        <f>Cadastro!$P118</f>
        <v>1</v>
      </c>
    </row>
    <row r="119">
      <c r="A119" s="104" t="str">
        <f>Cadastro!$A119</f>
        <v>URBS 2</v>
      </c>
      <c r="B119" s="104" t="str">
        <f>Cadastro!$B119</f>
        <v>CURITIBA</v>
      </c>
      <c r="C119" s="107" t="str">
        <f>Cadastro!$C119</f>
        <v>https://monitoramento.pm.pr.gov.br/proxy_image_2/</v>
      </c>
      <c r="D119" s="105">
        <f>Cadastro!$D119</f>
        <v>28601</v>
      </c>
      <c r="E119" s="104" t="str">
        <f>Cadastro!$E119</f>
        <v>EX011CFTV01</v>
      </c>
      <c r="F119" s="104" t="str">
        <f>Cadastro!$F119</f>
        <v>ET Roberto Hauer&gt;centro</v>
      </c>
      <c r="G119" s="104" t="str">
        <f>Cadastro!$G119</f>
        <v>-25.472308</v>
      </c>
      <c r="H119" s="104" t="str">
        <f>Cadastro!$H119</f>
        <v>-49.251699</v>
      </c>
      <c r="I119" s="104" t="str">
        <f>Cadastro!$I119</f>
        <v>copom_DDTQ</v>
      </c>
      <c r="J119" s="104" t="str">
        <f>Cadastro!$J119</f>
        <v>DDTQcopom</v>
      </c>
      <c r="K119" s="104" t="s">
        <v>4536</v>
      </c>
      <c r="L119" s="104" t="s">
        <v>26</v>
      </c>
      <c r="M119" s="104" t="s">
        <v>27</v>
      </c>
      <c r="N119" s="108" t="str">
        <f t="shared" si="1"/>
        <v>URBS 2</v>
      </c>
      <c r="O119" s="109" t="str">
        <f>Cadastro!$O119</f>
        <v>https://monitoramento.pm.pr.gov.br/proxy_image_2/Interface/Cameras/GetJPEGStream?Camera=EX011CFTV01&amp;AuthUser=copom_DDTQ&amp;AuthPass=DDTQcopom&amp;Width=1024&amp;Height=768&amp;Quality=70&amp;FPS=10&amp;ResponseFormat=Text</v>
      </c>
      <c r="P119" s="106">
        <f>Cadastro!$P119</f>
        <v>1</v>
      </c>
    </row>
    <row r="120">
      <c r="A120" s="104" t="str">
        <f>Cadastro!$A120</f>
        <v>URBS 2</v>
      </c>
      <c r="B120" s="104" t="str">
        <f>Cadastro!$B120</f>
        <v>CURITIBA</v>
      </c>
      <c r="C120" s="107" t="str">
        <f>Cadastro!$C120</f>
        <v>https://monitoramento.pm.pr.gov.br/proxy_image_2/</v>
      </c>
      <c r="D120" s="105">
        <f>Cadastro!$D120</f>
        <v>28601</v>
      </c>
      <c r="E120" s="104" t="str">
        <f>Cadastro!$E120</f>
        <v>EX012CFTV01</v>
      </c>
      <c r="F120" s="104" t="str">
        <f>Cadastro!$F120</f>
        <v>ET Roberto Hauer&gt;boqueirao</v>
      </c>
      <c r="G120" s="104" t="str">
        <f>Cadastro!$G120</f>
        <v>-25.473377</v>
      </c>
      <c r="H120" s="104" t="str">
        <f>Cadastro!$H120</f>
        <v>-49.251337</v>
      </c>
      <c r="I120" s="104" t="str">
        <f>Cadastro!$I120</f>
        <v>copom_DDTQ</v>
      </c>
      <c r="J120" s="104" t="str">
        <f>Cadastro!$J120</f>
        <v>DDTQcopom</v>
      </c>
      <c r="K120" s="104" t="s">
        <v>4536</v>
      </c>
      <c r="L120" s="104" t="s">
        <v>26</v>
      </c>
      <c r="M120" s="104" t="s">
        <v>27</v>
      </c>
      <c r="N120" s="108" t="str">
        <f t="shared" si="1"/>
        <v>URBS 2</v>
      </c>
      <c r="O120" s="109" t="str">
        <f>Cadastro!$O120</f>
        <v>https://monitoramento.pm.pr.gov.br/proxy_image_2/Interface/Cameras/GetJPEGStream?Camera=EX012CFTV01&amp;AuthUser=copom_DDTQ&amp;AuthPass=DDTQcopom&amp;Width=1024&amp;Height=768&amp;Quality=70&amp;FPS=10&amp;ResponseFormat=Text</v>
      </c>
      <c r="P120" s="106">
        <f>Cadastro!$P120</f>
        <v>1</v>
      </c>
    </row>
    <row r="121">
      <c r="A121" s="104" t="str">
        <f>Cadastro!$A121</f>
        <v>URBS 2</v>
      </c>
      <c r="B121" s="104" t="str">
        <f>Cadastro!$B121</f>
        <v>CURITIBA</v>
      </c>
      <c r="C121" s="107" t="str">
        <f>Cadastro!$C121</f>
        <v>https://monitoramento.pm.pr.gov.br/proxy_image_2/</v>
      </c>
      <c r="D121" s="105">
        <f>Cadastro!$D121</f>
        <v>28601</v>
      </c>
      <c r="E121" s="104" t="str">
        <f>Cadastro!$E121</f>
        <v>EX013CFTV01</v>
      </c>
      <c r="F121" s="104" t="str">
        <f>Cadastro!$F121</f>
        <v>ET Padua Fleury&gt; centro</v>
      </c>
      <c r="G121" s="104" t="str">
        <f>Cadastro!$G121</f>
        <v>-25.475903</v>
      </c>
      <c r="H121" s="104" t="str">
        <f>Cadastro!$H121</f>
        <v>-49.249982</v>
      </c>
      <c r="I121" s="104" t="str">
        <f>Cadastro!$I121</f>
        <v>copom_DDTQ</v>
      </c>
      <c r="J121" s="104" t="str">
        <f>Cadastro!$J121</f>
        <v>DDTQcopom</v>
      </c>
      <c r="K121" s="104" t="s">
        <v>4536</v>
      </c>
      <c r="L121" s="104" t="s">
        <v>26</v>
      </c>
      <c r="M121" s="104" t="s">
        <v>27</v>
      </c>
      <c r="N121" s="108" t="str">
        <f t="shared" si="1"/>
        <v>URBS 2</v>
      </c>
      <c r="O121" s="109" t="str">
        <f>Cadastro!$O121</f>
        <v>https://monitoramento.pm.pr.gov.br/proxy_image_2/Interface/Cameras/GetJPEGStream?Camera=EX013CFTV01&amp;AuthUser=copom_DDTQ&amp;AuthPass=DDTQcopom&amp;Width=1024&amp;Height=768&amp;Quality=70&amp;FPS=10&amp;ResponseFormat=Text</v>
      </c>
      <c r="P121" s="106">
        <f>Cadastro!$P121</f>
        <v>1</v>
      </c>
    </row>
    <row r="122">
      <c r="A122" s="104" t="str">
        <f>Cadastro!$A122</f>
        <v>URBS 2</v>
      </c>
      <c r="B122" s="104" t="str">
        <f>Cadastro!$B122</f>
        <v>CURITIBA</v>
      </c>
      <c r="C122" s="107" t="str">
        <f>Cadastro!$C122</f>
        <v>https://monitoramento.pm.pr.gov.br/proxy_image_2/</v>
      </c>
      <c r="D122" s="105">
        <f>Cadastro!$D122</f>
        <v>28601</v>
      </c>
      <c r="E122" s="104" t="str">
        <f>Cadastro!$E122</f>
        <v>EX014CFTV01</v>
      </c>
      <c r="F122" s="104" t="str">
        <f>Cadastro!$F122</f>
        <v>ET Padua Fleury&gt; boqueirao</v>
      </c>
      <c r="G122" s="104" t="str">
        <f>Cadastro!$G122</f>
        <v>-25.476947</v>
      </c>
      <c r="H122" s="104" t="str">
        <f>Cadastro!$H122</f>
        <v>-49.249584</v>
      </c>
      <c r="I122" s="104" t="str">
        <f>Cadastro!$I122</f>
        <v>copom_DDTQ</v>
      </c>
      <c r="J122" s="104" t="str">
        <f>Cadastro!$J122</f>
        <v>DDTQcopom</v>
      </c>
      <c r="K122" s="104" t="s">
        <v>4536</v>
      </c>
      <c r="L122" s="104" t="s">
        <v>26</v>
      </c>
      <c r="M122" s="104" t="s">
        <v>27</v>
      </c>
      <c r="N122" s="108" t="str">
        <f t="shared" si="1"/>
        <v>URBS 2</v>
      </c>
      <c r="O122" s="109" t="str">
        <f>Cadastro!$O122</f>
        <v>https://monitoramento.pm.pr.gov.br/proxy_image_2/Interface/Cameras/GetJPEGStream?Camera=EX014CFTV01&amp;AuthUser=copom_DDTQ&amp;AuthPass=DDTQcopom&amp;Width=1024&amp;Height=768&amp;Quality=70&amp;FPS=10&amp;ResponseFormat=Text</v>
      </c>
      <c r="P122" s="106">
        <f>Cadastro!$P122</f>
        <v>1</v>
      </c>
    </row>
    <row r="123">
      <c r="A123" s="104" t="str">
        <f>Cadastro!$A123</f>
        <v>URBS 2</v>
      </c>
      <c r="B123" s="104" t="str">
        <f>Cadastro!$B123</f>
        <v>CURITIBA</v>
      </c>
      <c r="C123" s="107" t="str">
        <f>Cadastro!$C123</f>
        <v>https://monitoramento.pm.pr.gov.br/proxy_image_2/</v>
      </c>
      <c r="D123" s="105">
        <f>Cadastro!$D123</f>
        <v>28601</v>
      </c>
      <c r="E123" s="104" t="str">
        <f>Cadastro!$E123</f>
        <v>EX021CFTV01</v>
      </c>
      <c r="F123" s="104" t="str">
        <f>Cadastro!$F123</f>
        <v>ET Antonio de Paula&gt;Centro</v>
      </c>
      <c r="G123" s="104" t="str">
        <f>Cadastro!$G123</f>
        <v>-25.511496</v>
      </c>
      <c r="H123" s="104" t="str">
        <f>Cadastro!$H123</f>
        <v>-49.232597</v>
      </c>
      <c r="I123" s="104" t="str">
        <f>Cadastro!$I123</f>
        <v>copom_DDTQ</v>
      </c>
      <c r="J123" s="104" t="str">
        <f>Cadastro!$J123</f>
        <v>DDTQcopom</v>
      </c>
      <c r="K123" s="104" t="s">
        <v>4536</v>
      </c>
      <c r="L123" s="104" t="s">
        <v>26</v>
      </c>
      <c r="M123" s="104" t="s">
        <v>27</v>
      </c>
      <c r="N123" s="108" t="str">
        <f t="shared" si="1"/>
        <v>URBS 2</v>
      </c>
      <c r="O123" s="109" t="str">
        <f>Cadastro!$O123</f>
        <v>https://monitoramento.pm.pr.gov.br/proxy_image_2/Interface/Cameras/GetJPEGStream?Camera=EX021CFTV01&amp;AuthUser=copom_DDTQ&amp;AuthPass=DDTQcopom&amp;Width=1024&amp;Height=768&amp;Quality=70&amp;FPS=10&amp;ResponseFormat=Text</v>
      </c>
      <c r="P123" s="106">
        <f>Cadastro!$P123</f>
        <v>1</v>
      </c>
    </row>
    <row r="124">
      <c r="A124" s="104" t="str">
        <f>Cadastro!$A124</f>
        <v>URBS 2</v>
      </c>
      <c r="B124" s="104" t="str">
        <f>Cadastro!$B124</f>
        <v>CURITIBA</v>
      </c>
      <c r="C124" s="107" t="str">
        <f>Cadastro!$C124</f>
        <v>https://monitoramento.pm.pr.gov.br/proxy_image_2/</v>
      </c>
      <c r="D124" s="105">
        <f>Cadastro!$D124</f>
        <v>28601</v>
      </c>
      <c r="E124" s="104" t="str">
        <f>Cadastro!$E124</f>
        <v>EX022CFTV01</v>
      </c>
      <c r="F124" s="104" t="str">
        <f>Cadastro!$F124</f>
        <v>PANE  ET Antonio de Paula&gt;boqueirao</v>
      </c>
      <c r="G124" s="104" t="str">
        <f>Cadastro!$G124</f>
        <v>-25.512758</v>
      </c>
      <c r="H124" s="104" t="str">
        <f>Cadastro!$H124</f>
        <v>-49.232113</v>
      </c>
      <c r="I124" s="104" t="str">
        <f>Cadastro!$I124</f>
        <v>copom_DDTQ</v>
      </c>
      <c r="J124" s="104" t="str">
        <f>Cadastro!$J124</f>
        <v>DDTQcopom</v>
      </c>
      <c r="K124" s="104" t="s">
        <v>4536</v>
      </c>
      <c r="L124" s="104" t="s">
        <v>26</v>
      </c>
      <c r="M124" s="104" t="s">
        <v>27</v>
      </c>
      <c r="N124" s="108" t="str">
        <f t="shared" si="1"/>
        <v>URBS 2</v>
      </c>
      <c r="O124" s="109" t="str">
        <f>Cadastro!$O124</f>
        <v>https://monitoramento.pm.pr.gov.br/proxy_image_2/Interface/Cameras/GetJPEGStream?Camera=EX022CFTV01&amp;AuthUser=copom_DDTQ&amp;AuthPass=DDTQcopom&amp;Width=1024&amp;Height=768&amp;Quality=70&amp;FPS=10&amp;ResponseFormat=Text</v>
      </c>
      <c r="P124" s="106">
        <f>Cadastro!$P124</f>
        <v>1</v>
      </c>
    </row>
    <row r="125">
      <c r="A125" s="104" t="str">
        <f>Cadastro!$A125</f>
        <v>URBS 2</v>
      </c>
      <c r="B125" s="104" t="str">
        <f>Cadastro!$B125</f>
        <v>CURITIBA</v>
      </c>
      <c r="C125" s="107" t="str">
        <f>Cadastro!$C125</f>
        <v>https://monitoramento.pm.pr.gov.br/proxy_image_2/</v>
      </c>
      <c r="D125" s="105">
        <f>Cadastro!$D125</f>
        <v>28601</v>
      </c>
      <c r="E125" s="104" t="str">
        <f>Cadastro!$E125</f>
        <v>EX029CFTV01</v>
      </c>
      <c r="F125" s="104" t="str">
        <f>Cadastro!$F125</f>
        <v>ET Brgadeiro franco&gt; Centenario</v>
      </c>
      <c r="G125" s="104" t="str">
        <f>Cadastro!$G125</f>
        <v>-25.429460</v>
      </c>
      <c r="H125" s="104" t="str">
        <f>Cadastro!$H125</f>
        <v>-49.284519</v>
      </c>
      <c r="I125" s="104" t="str">
        <f>Cadastro!$I125</f>
        <v>copom_DDTQ</v>
      </c>
      <c r="J125" s="104" t="str">
        <f>Cadastro!$J125</f>
        <v>DDTQcopom</v>
      </c>
      <c r="K125" s="104" t="s">
        <v>4536</v>
      </c>
      <c r="L125" s="104" t="s">
        <v>26</v>
      </c>
      <c r="M125" s="104" t="s">
        <v>27</v>
      </c>
      <c r="N125" s="108" t="str">
        <f t="shared" si="1"/>
        <v>URBS 2</v>
      </c>
      <c r="O125" s="109" t="str">
        <f>Cadastro!$O125</f>
        <v>https://monitoramento.pm.pr.gov.br/proxy_image_2/Interface/Cameras/GetJPEGStream?Camera=EX029CFTV01&amp;AuthUser=copom_DDTQ&amp;AuthPass=DDTQcopom&amp;Width=1024&amp;Height=768&amp;Quality=70&amp;FPS=10&amp;ResponseFormat=Text</v>
      </c>
      <c r="P125" s="106">
        <f>Cadastro!$P125</f>
        <v>1</v>
      </c>
    </row>
    <row r="126">
      <c r="A126" s="104" t="str">
        <f>Cadastro!$A126</f>
        <v>URBS 2</v>
      </c>
      <c r="B126" s="104" t="str">
        <f>Cadastro!$B126</f>
        <v>CURITIBA</v>
      </c>
      <c r="C126" s="107" t="str">
        <f>Cadastro!$C126</f>
        <v>https://monitoramento.pm.pr.gov.br/proxy_image_2/</v>
      </c>
      <c r="D126" s="105">
        <f>Cadastro!$D126</f>
        <v>28601</v>
      </c>
      <c r="E126" s="104" t="str">
        <f>Cadastro!$E126</f>
        <v>EX030CFTV01</v>
      </c>
      <c r="F126" s="104" t="str">
        <f>Cadastro!$F126</f>
        <v>ET Brgadeiro franco&gt; Campo Cumprido</v>
      </c>
      <c r="G126" s="104" t="str">
        <f>Cadastro!$G126</f>
        <v>-25.429496</v>
      </c>
      <c r="H126" s="104" t="str">
        <f>Cadastro!$H126</f>
        <v>-49.283815</v>
      </c>
      <c r="I126" s="104" t="str">
        <f>Cadastro!$I126</f>
        <v>copom_DDTQ</v>
      </c>
      <c r="J126" s="104" t="str">
        <f>Cadastro!$J126</f>
        <v>DDTQcopom</v>
      </c>
      <c r="K126" s="104" t="s">
        <v>4536</v>
      </c>
      <c r="L126" s="104" t="s">
        <v>26</v>
      </c>
      <c r="M126" s="104" t="s">
        <v>27</v>
      </c>
      <c r="N126" s="108" t="str">
        <f t="shared" si="1"/>
        <v>URBS 2</v>
      </c>
      <c r="O126" s="109" t="str">
        <f>Cadastro!$O126</f>
        <v>https://monitoramento.pm.pr.gov.br/proxy_image_2/Interface/Cameras/GetJPEGStream?Camera=EX030CFTV01&amp;AuthUser=copom_DDTQ&amp;AuthPass=DDTQcopom&amp;Width=1024&amp;Height=768&amp;Quality=70&amp;FPS=10&amp;ResponseFormat=Text</v>
      </c>
      <c r="P126" s="106">
        <f>Cadastro!$P126</f>
        <v>1</v>
      </c>
    </row>
    <row r="127">
      <c r="A127" s="104" t="str">
        <f>Cadastro!$A127</f>
        <v>URBS 2</v>
      </c>
      <c r="B127" s="104" t="str">
        <f>Cadastro!$B127</f>
        <v>CURITIBA</v>
      </c>
      <c r="C127" s="107" t="str">
        <f>Cadastro!$C127</f>
        <v>https://monitoramento.pm.pr.gov.br/proxy_image_2/</v>
      </c>
      <c r="D127" s="105">
        <f>Cadastro!$D127</f>
        <v>28601</v>
      </c>
      <c r="E127" s="104" t="str">
        <f>Cadastro!$E127</f>
        <v>EX042CFTV01</v>
      </c>
      <c r="F127" s="104" t="str">
        <f>Cadastro!$F127</f>
        <v>ET Antonio cavalheiro&gt; Santa Cândida</v>
      </c>
      <c r="G127" s="104" t="str">
        <f>Cadastro!$G127</f>
        <v>-25.403263</v>
      </c>
      <c r="H127" s="104" t="str">
        <f>Cadastro!$H127</f>
        <v>-49.249501</v>
      </c>
      <c r="I127" s="104" t="str">
        <f>Cadastro!$I127</f>
        <v>copom_DDTQ</v>
      </c>
      <c r="J127" s="104" t="str">
        <f>Cadastro!$J127</f>
        <v>DDTQcopom</v>
      </c>
      <c r="K127" s="104" t="s">
        <v>4536</v>
      </c>
      <c r="L127" s="104" t="s">
        <v>26</v>
      </c>
      <c r="M127" s="104" t="s">
        <v>27</v>
      </c>
      <c r="N127" s="108" t="str">
        <f t="shared" si="1"/>
        <v>URBS 2</v>
      </c>
      <c r="O127" s="109" t="str">
        <f>Cadastro!$O127</f>
        <v>https://monitoramento.pm.pr.gov.br/proxy_image_2/Interface/Cameras/GetJPEGStream?Camera=EX042CFTV01&amp;AuthUser=copom_DDTQ&amp;AuthPass=DDTQcopom&amp;Width=1024&amp;Height=768&amp;Quality=70&amp;FPS=10&amp;ResponseFormat=Text</v>
      </c>
      <c r="P127" s="106">
        <f>Cadastro!$P127</f>
        <v>1</v>
      </c>
    </row>
    <row r="128">
      <c r="A128" s="104" t="str">
        <f>Cadastro!$A128</f>
        <v>URBS 2</v>
      </c>
      <c r="B128" s="104" t="str">
        <f>Cadastro!$B128</f>
        <v>CURITIBA</v>
      </c>
      <c r="C128" s="107" t="str">
        <f>Cadastro!$C128</f>
        <v>https://monitoramento.pm.pr.gov.br/proxy_image_2/</v>
      </c>
      <c r="D128" s="105">
        <f>Cadastro!$D128</f>
        <v>28601</v>
      </c>
      <c r="E128" s="104" t="str">
        <f>Cadastro!$E128</f>
        <v>EX043CFTV01</v>
      </c>
      <c r="F128" s="104" t="str">
        <f>Cadastro!$F128</f>
        <v>ET Antonio cavalheiro&gt; Capão Raso</v>
      </c>
      <c r="G128" s="104" t="str">
        <f>Cadastro!$G128</f>
        <v>-25.403242</v>
      </c>
      <c r="H128" s="104" t="str">
        <f>Cadastro!$H128</f>
        <v>-49.249556</v>
      </c>
      <c r="I128" s="104" t="str">
        <f>Cadastro!$I128</f>
        <v>copom_DDTQ</v>
      </c>
      <c r="J128" s="104" t="str">
        <f>Cadastro!$J128</f>
        <v>DDTQcopom</v>
      </c>
      <c r="K128" s="104" t="s">
        <v>4536</v>
      </c>
      <c r="L128" s="104" t="s">
        <v>26</v>
      </c>
      <c r="M128" s="104" t="s">
        <v>27</v>
      </c>
      <c r="N128" s="108" t="str">
        <f t="shared" si="1"/>
        <v>URBS 2</v>
      </c>
      <c r="O128" s="109" t="str">
        <f>Cadastro!$O128</f>
        <v>https://monitoramento.pm.pr.gov.br/proxy_image_2/Interface/Cameras/GetJPEGStream?Camera=EX043CFTV01&amp;AuthUser=copom_DDTQ&amp;AuthPass=DDTQcopom&amp;Width=1024&amp;Height=768&amp;Quality=70&amp;FPS=10&amp;ResponseFormat=Text</v>
      </c>
      <c r="P128" s="106">
        <f>Cadastro!$P128</f>
        <v>1</v>
      </c>
    </row>
    <row r="129">
      <c r="A129" s="104" t="str">
        <f>Cadastro!$A129</f>
        <v>URBS 2</v>
      </c>
      <c r="B129" s="104" t="str">
        <f>Cadastro!$B129</f>
        <v>CURITIBA</v>
      </c>
      <c r="C129" s="107" t="str">
        <f>Cadastro!$C129</f>
        <v>https://monitoramento.pm.pr.gov.br/proxy_image_2/</v>
      </c>
      <c r="D129" s="105">
        <f>Cadastro!$D129</f>
        <v>28601</v>
      </c>
      <c r="E129" s="104" t="str">
        <f>Cadastro!$E129</f>
        <v>EX046CFTV01</v>
      </c>
      <c r="F129" s="104" t="str">
        <f>Cadastro!$F129</f>
        <v>ET Moises Marcondes&gt; Capão Raso</v>
      </c>
      <c r="G129" s="104" t="str">
        <f>Cadastro!$G129</f>
        <v>-25.413060</v>
      </c>
      <c r="H129" s="104" t="str">
        <f>Cadastro!$H129</f>
        <v>-49.258722</v>
      </c>
      <c r="I129" s="104" t="str">
        <f>Cadastro!$I129</f>
        <v>copom_DDTQ</v>
      </c>
      <c r="J129" s="104" t="str">
        <f>Cadastro!$J129</f>
        <v>DDTQcopom</v>
      </c>
      <c r="K129" s="104" t="s">
        <v>4536</v>
      </c>
      <c r="L129" s="104" t="s">
        <v>26</v>
      </c>
      <c r="M129" s="104" t="s">
        <v>27</v>
      </c>
      <c r="N129" s="108" t="str">
        <f t="shared" si="1"/>
        <v>URBS 2</v>
      </c>
      <c r="O129" s="109" t="str">
        <f>Cadastro!$O129</f>
        <v>https://monitoramento.pm.pr.gov.br/proxy_image_2/Interface/Cameras/GetJPEGStream?Camera=EX046CFTV01&amp;AuthUser=copom_DDTQ&amp;AuthPass=DDTQcopom&amp;Width=1024&amp;Height=768&amp;Quality=70&amp;FPS=10&amp;ResponseFormat=Text</v>
      </c>
      <c r="P129" s="106">
        <f>Cadastro!$P129</f>
        <v>1</v>
      </c>
    </row>
    <row r="130">
      <c r="A130" s="104" t="str">
        <f>Cadastro!$A130</f>
        <v>URBS 2</v>
      </c>
      <c r="B130" s="104" t="str">
        <f>Cadastro!$B130</f>
        <v>CURITIBA</v>
      </c>
      <c r="C130" s="107" t="str">
        <f>Cadastro!$C130</f>
        <v>https://monitoramento.pm.pr.gov.br/proxy_image_2/</v>
      </c>
      <c r="D130" s="105">
        <f>Cadastro!$D130</f>
        <v>28601</v>
      </c>
      <c r="E130" s="104" t="str">
        <f>Cadastro!$E130</f>
        <v>EX047CFTV01</v>
      </c>
      <c r="F130" s="104" t="str">
        <f>Cadastro!$F130</f>
        <v>ET Moises Marcondes&gt; Santa Cândida</v>
      </c>
      <c r="G130" s="104" t="str">
        <f>Cadastro!$G130</f>
        <v>-25.413119</v>
      </c>
      <c r="H130" s="104" t="str">
        <f>Cadastro!$H130</f>
        <v>-49.258624</v>
      </c>
      <c r="I130" s="104" t="str">
        <f>Cadastro!$I130</f>
        <v>copom_DDTQ</v>
      </c>
      <c r="J130" s="104" t="str">
        <f>Cadastro!$J130</f>
        <v>DDTQcopom</v>
      </c>
      <c r="K130" s="104" t="s">
        <v>4536</v>
      </c>
      <c r="L130" s="104" t="s">
        <v>26</v>
      </c>
      <c r="M130" s="104" t="s">
        <v>27</v>
      </c>
      <c r="N130" s="108" t="str">
        <f t="shared" si="1"/>
        <v>URBS 2</v>
      </c>
      <c r="O130" s="109" t="str">
        <f>Cadastro!$O130</f>
        <v>https://monitoramento.pm.pr.gov.br/proxy_image_2/Interface/Cameras/GetJPEGStream?Camera=EX047CFTV01&amp;AuthUser=copom_DDTQ&amp;AuthPass=DDTQcopom&amp;Width=1024&amp;Height=768&amp;Quality=70&amp;FPS=10&amp;ResponseFormat=Text</v>
      </c>
      <c r="P130" s="106">
        <f>Cadastro!$P130</f>
        <v>1</v>
      </c>
    </row>
    <row r="131">
      <c r="A131" s="104" t="str">
        <f>Cadastro!$A131</f>
        <v>URBS 2</v>
      </c>
      <c r="B131" s="104" t="str">
        <f>Cadastro!$B131</f>
        <v>CURITIBA</v>
      </c>
      <c r="C131" s="107" t="str">
        <f>Cadastro!$C131</f>
        <v>https://monitoramento.pm.pr.gov.br/proxy_image_2/</v>
      </c>
      <c r="D131" s="105">
        <f>Cadastro!$D131</f>
        <v>28601</v>
      </c>
      <c r="E131" s="104" t="str">
        <f>Cadastro!$E131</f>
        <v>EX059CFTV01</v>
      </c>
      <c r="F131" s="104" t="str">
        <f>Cadastro!$F131</f>
        <v>ET Silva Jardim &gt; Capão Raso</v>
      </c>
      <c r="G131" s="104" t="str">
        <f>Cadastro!$G131</f>
        <v>-25.448342</v>
      </c>
      <c r="H131" s="104" t="str">
        <f>Cadastro!$H131</f>
        <v>-49.287879</v>
      </c>
      <c r="I131" s="104" t="str">
        <f>Cadastro!$I131</f>
        <v>copom_DDTQ</v>
      </c>
      <c r="J131" s="104" t="str">
        <f>Cadastro!$J131</f>
        <v>DDTQcopom</v>
      </c>
      <c r="K131" s="104" t="s">
        <v>4536</v>
      </c>
      <c r="L131" s="104" t="s">
        <v>26</v>
      </c>
      <c r="M131" s="104" t="s">
        <v>27</v>
      </c>
      <c r="N131" s="108" t="str">
        <f t="shared" si="1"/>
        <v>URBS 2</v>
      </c>
      <c r="O131" s="109" t="str">
        <f>Cadastro!$O131</f>
        <v>https://monitoramento.pm.pr.gov.br/proxy_image_2/Interface/Cameras/GetJPEGStream?Camera=EX059CFTV01&amp;AuthUser=copom_DDTQ&amp;AuthPass=DDTQcopom&amp;Width=1024&amp;Height=768&amp;Quality=70&amp;FPS=10&amp;ResponseFormat=Text</v>
      </c>
      <c r="P131" s="106">
        <f>Cadastro!$P131</f>
        <v>1</v>
      </c>
    </row>
    <row r="132">
      <c r="A132" s="104" t="str">
        <f>Cadastro!$A132</f>
        <v>URBS 2</v>
      </c>
      <c r="B132" s="104" t="str">
        <f>Cadastro!$B132</f>
        <v>CURITIBA</v>
      </c>
      <c r="C132" s="107" t="str">
        <f>Cadastro!$C132</f>
        <v>https://monitoramento.pm.pr.gov.br/proxy_image_2/</v>
      </c>
      <c r="D132" s="105">
        <f>Cadastro!$D132</f>
        <v>28601</v>
      </c>
      <c r="E132" s="104" t="str">
        <f>Cadastro!$E132</f>
        <v>EX060CFTV01</v>
      </c>
      <c r="F132" s="104" t="str">
        <f>Cadastro!$F132</f>
        <v>ET Petit Carneiro &gt; Capão Raso</v>
      </c>
      <c r="G132" s="104" t="str">
        <f>Cadastro!$G132</f>
        <v>-25.452315</v>
      </c>
      <c r="H132" s="104" t="str">
        <f>Cadastro!$H132</f>
        <v>-49.287933</v>
      </c>
      <c r="I132" s="104" t="str">
        <f>Cadastro!$I132</f>
        <v>copom_DDTQ</v>
      </c>
      <c r="J132" s="104" t="str">
        <f>Cadastro!$J132</f>
        <v>DDTQcopom</v>
      </c>
      <c r="K132" s="104" t="s">
        <v>4536</v>
      </c>
      <c r="L132" s="104" t="s">
        <v>26</v>
      </c>
      <c r="M132" s="104" t="s">
        <v>27</v>
      </c>
      <c r="N132" s="108" t="str">
        <f t="shared" si="1"/>
        <v>URBS 2</v>
      </c>
      <c r="O132" s="109" t="str">
        <f>Cadastro!$O132</f>
        <v>https://monitoramento.pm.pr.gov.br/proxy_image_2/Interface/Cameras/GetJPEGStream?Camera=EX060CFTV01&amp;AuthUser=copom_DDTQ&amp;AuthPass=DDTQcopom&amp;Width=1024&amp;Height=768&amp;Quality=70&amp;FPS=10&amp;ResponseFormat=Text</v>
      </c>
      <c r="P132" s="106">
        <f>Cadastro!$P132</f>
        <v>1</v>
      </c>
    </row>
    <row r="133">
      <c r="A133" s="104" t="str">
        <f>Cadastro!$A133</f>
        <v>URBS 2</v>
      </c>
      <c r="B133" s="104" t="str">
        <f>Cadastro!$B133</f>
        <v>CURITIBA</v>
      </c>
      <c r="C133" s="107" t="str">
        <f>Cadastro!$C133</f>
        <v>https://monitoramento.pm.pr.gov.br/proxy_image_2/</v>
      </c>
      <c r="D133" s="105">
        <f>Cadastro!$D133</f>
        <v>28601</v>
      </c>
      <c r="E133" s="104" t="str">
        <f>Cadastro!$E133</f>
        <v>EX060CFTV02</v>
      </c>
      <c r="F133" s="104" t="str">
        <f>Cadastro!$F133</f>
        <v>PANE ET Petit Carneiro &gt; Santa Cândida</v>
      </c>
      <c r="G133" s="104" t="str">
        <f>Cadastro!$G133</f>
        <v>-25.452322</v>
      </c>
      <c r="H133" s="104" t="str">
        <f>Cadastro!$H133</f>
        <v>-49.287837</v>
      </c>
      <c r="I133" s="104" t="str">
        <f>Cadastro!$I133</f>
        <v>copom_DDTQ</v>
      </c>
      <c r="J133" s="104" t="str">
        <f>Cadastro!$J133</f>
        <v>DDTQcopom</v>
      </c>
      <c r="K133" s="104" t="s">
        <v>4536</v>
      </c>
      <c r="L133" s="104" t="s">
        <v>26</v>
      </c>
      <c r="M133" s="104" t="s">
        <v>27</v>
      </c>
      <c r="N133" s="108" t="str">
        <f t="shared" si="1"/>
        <v>URBS 2</v>
      </c>
      <c r="O133" s="109" t="str">
        <f>Cadastro!$O133</f>
        <v>https://monitoramento.pm.pr.gov.br/proxy_image_2/Interface/Cameras/GetJPEGStream?Camera=EX060CFTV02&amp;AuthUser=copom_DDTQ&amp;AuthPass=DDTQcopom&amp;Width=1024&amp;Height=768&amp;Quality=70&amp;FPS=10&amp;ResponseFormat=Text</v>
      </c>
      <c r="P133" s="106">
        <f>Cadastro!$P133</f>
        <v>1</v>
      </c>
    </row>
    <row r="134">
      <c r="A134" s="104" t="str">
        <f>Cadastro!$A134</f>
        <v>URBS 2</v>
      </c>
      <c r="B134" s="104" t="str">
        <f>Cadastro!$B134</f>
        <v>CURITIBA</v>
      </c>
      <c r="C134" s="107" t="str">
        <f>Cadastro!$C134</f>
        <v>https://monitoramento.pm.pr.gov.br/proxy_image_2/</v>
      </c>
      <c r="D134" s="105">
        <f>Cadastro!$D134</f>
        <v>28601</v>
      </c>
      <c r="E134" s="104" t="str">
        <f>Cadastro!$E134</f>
        <v>EX061CFTV01</v>
      </c>
      <c r="F134" s="104" t="str">
        <f>Cadastro!$F134</f>
        <v>ET Dom Pedro I &gt; Capão Raso</v>
      </c>
      <c r="G134" s="104" t="str">
        <f>Cadastro!$G134</f>
        <v>-25.456917</v>
      </c>
      <c r="H134" s="104" t="str">
        <f>Cadastro!$H134</f>
        <v>-49.288603</v>
      </c>
      <c r="I134" s="104" t="str">
        <f>Cadastro!$I134</f>
        <v>copom_DDTQ</v>
      </c>
      <c r="J134" s="104" t="str">
        <f>Cadastro!$J134</f>
        <v>DDTQcopom</v>
      </c>
      <c r="K134" s="104" t="s">
        <v>4536</v>
      </c>
      <c r="L134" s="104" t="s">
        <v>26</v>
      </c>
      <c r="M134" s="104" t="s">
        <v>27</v>
      </c>
      <c r="N134" s="108" t="str">
        <f t="shared" si="1"/>
        <v>URBS 2</v>
      </c>
      <c r="O134" s="109" t="str">
        <f>Cadastro!$O134</f>
        <v>https://monitoramento.pm.pr.gov.br/proxy_image_2/Interface/Cameras/GetJPEGStream?Camera=EX061CFTV01&amp;AuthUser=copom_DDTQ&amp;AuthPass=DDTQcopom&amp;Width=1024&amp;Height=768&amp;Quality=70&amp;FPS=10&amp;ResponseFormat=Text</v>
      </c>
      <c r="P134" s="106">
        <f>Cadastro!$P134</f>
        <v>1</v>
      </c>
    </row>
    <row r="135">
      <c r="A135" s="104" t="str">
        <f>Cadastro!$A135</f>
        <v>URBS 2</v>
      </c>
      <c r="B135" s="104" t="str">
        <f>Cadastro!$B135</f>
        <v>CURITIBA</v>
      </c>
      <c r="C135" s="107" t="str">
        <f>Cadastro!$C135</f>
        <v>https://monitoramento.pm.pr.gov.br/proxy_image_2/</v>
      </c>
      <c r="D135" s="105">
        <f>Cadastro!$D135</f>
        <v>28601</v>
      </c>
      <c r="E135" s="104" t="str">
        <f>Cadastro!$E135</f>
        <v>EX061CFTV02</v>
      </c>
      <c r="F135" s="104" t="str">
        <f>Cadastro!$F135</f>
        <v>ET Dom Pedro I &gt; Santa Cândida</v>
      </c>
      <c r="G135" s="104" t="str">
        <f>Cadastro!$G135</f>
        <v>-25.456938</v>
      </c>
      <c r="H135" s="104" t="str">
        <f>Cadastro!$H135</f>
        <v>-49.288502</v>
      </c>
      <c r="I135" s="104" t="str">
        <f>Cadastro!$I135</f>
        <v>copom_DDTQ</v>
      </c>
      <c r="J135" s="104" t="str">
        <f>Cadastro!$J135</f>
        <v>DDTQcopom</v>
      </c>
      <c r="K135" s="104" t="s">
        <v>4536</v>
      </c>
      <c r="L135" s="104" t="s">
        <v>26</v>
      </c>
      <c r="M135" s="104" t="s">
        <v>27</v>
      </c>
      <c r="N135" s="108" t="str">
        <f t="shared" si="1"/>
        <v>URBS 2</v>
      </c>
      <c r="O135" s="109" t="str">
        <f>Cadastro!$O135</f>
        <v>https://monitoramento.pm.pr.gov.br/proxy_image_2/Interface/Cameras/GetJPEGStream?Camera=EX061CFTV02&amp;AuthUser=copom_DDTQ&amp;AuthPass=DDTQcopom&amp;Width=1024&amp;Height=768&amp;Quality=70&amp;FPS=10&amp;ResponseFormat=Text</v>
      </c>
      <c r="P135" s="106">
        <f>Cadastro!$P135</f>
        <v>1</v>
      </c>
    </row>
    <row r="136">
      <c r="A136" s="104" t="str">
        <f>Cadastro!$A136</f>
        <v>URBS 2</v>
      </c>
      <c r="B136" s="104" t="str">
        <f>Cadastro!$B136</f>
        <v>CURITIBA</v>
      </c>
      <c r="C136" s="107" t="str">
        <f>Cadastro!$C136</f>
        <v>https://monitoramento.pm.pr.gov.br/proxy_image_2/</v>
      </c>
      <c r="D136" s="105">
        <f>Cadastro!$D136</f>
        <v>28601</v>
      </c>
      <c r="E136" s="104" t="str">
        <f>Cadastro!$E136</f>
        <v>EX062CFTV01</v>
      </c>
      <c r="F136" s="104" t="str">
        <f>Cadastro!$F136</f>
        <v>ET Sebastião Paraná &gt; Capão Raso</v>
      </c>
      <c r="G136" s="104" t="str">
        <f>Cadastro!$G136</f>
        <v>-25.461186</v>
      </c>
      <c r="H136" s="104" t="str">
        <f>Cadastro!$H136</f>
        <v>-49.289878</v>
      </c>
      <c r="I136" s="104" t="str">
        <f>Cadastro!$I136</f>
        <v>copom_DDTQ</v>
      </c>
      <c r="J136" s="104" t="str">
        <f>Cadastro!$J136</f>
        <v>DDTQcopom</v>
      </c>
      <c r="K136" s="104" t="s">
        <v>4536</v>
      </c>
      <c r="L136" s="104" t="s">
        <v>26</v>
      </c>
      <c r="M136" s="104" t="s">
        <v>27</v>
      </c>
      <c r="N136" s="108" t="str">
        <f t="shared" si="1"/>
        <v>URBS 2</v>
      </c>
      <c r="O136" s="109" t="str">
        <f>Cadastro!$O136</f>
        <v>https://monitoramento.pm.pr.gov.br/proxy_image_2/Interface/Cameras/GetJPEGStream?Camera=EX062CFTV01&amp;AuthUser=copom_DDTQ&amp;AuthPass=DDTQcopom&amp;Width=1024&amp;Height=768&amp;Quality=70&amp;FPS=10&amp;ResponseFormat=Text</v>
      </c>
      <c r="P136" s="106">
        <f>Cadastro!$P136</f>
        <v>1</v>
      </c>
    </row>
    <row r="137">
      <c r="A137" s="104" t="str">
        <f>Cadastro!$A137</f>
        <v>URBS 2</v>
      </c>
      <c r="B137" s="104" t="str">
        <f>Cadastro!$B137</f>
        <v>CURITIBA</v>
      </c>
      <c r="C137" s="107" t="str">
        <f>Cadastro!$C137</f>
        <v>https://monitoramento.pm.pr.gov.br/proxy_image_2/</v>
      </c>
      <c r="D137" s="105">
        <f>Cadastro!$D137</f>
        <v>28601</v>
      </c>
      <c r="E137" s="104" t="str">
        <f>Cadastro!$E137</f>
        <v>EX062CFTV02</v>
      </c>
      <c r="F137" s="104" t="str">
        <f>Cadastro!$F137</f>
        <v>ET Sebastião Paraná &gt; Santa Cândida</v>
      </c>
      <c r="G137" s="104" t="str">
        <f>Cadastro!$G137</f>
        <v>-25.461216</v>
      </c>
      <c r="H137" s="104" t="str">
        <f>Cadastro!$H137</f>
        <v>-49.289781</v>
      </c>
      <c r="I137" s="104" t="str">
        <f>Cadastro!$I137</f>
        <v>copom_DDTQ</v>
      </c>
      <c r="J137" s="104" t="str">
        <f>Cadastro!$J137</f>
        <v>DDTQcopom</v>
      </c>
      <c r="K137" s="104" t="s">
        <v>4536</v>
      </c>
      <c r="L137" s="104" t="s">
        <v>26</v>
      </c>
      <c r="M137" s="104" t="s">
        <v>27</v>
      </c>
      <c r="N137" s="108" t="str">
        <f t="shared" si="1"/>
        <v>URBS 2</v>
      </c>
      <c r="O137" s="109" t="str">
        <f>Cadastro!$O137</f>
        <v>https://monitoramento.pm.pr.gov.br/proxy_image_2/Interface/Cameras/GetJPEGStream?Camera=EX062CFTV02&amp;AuthUser=copom_DDTQ&amp;AuthPass=DDTQcopom&amp;Width=1024&amp;Height=768&amp;Quality=70&amp;FPS=10&amp;ResponseFormat=Text</v>
      </c>
      <c r="P137" s="106">
        <f>Cadastro!$P137</f>
        <v>1</v>
      </c>
    </row>
    <row r="138">
      <c r="A138" s="104" t="str">
        <f>Cadastro!$A138</f>
        <v>URBS 2</v>
      </c>
      <c r="B138" s="104" t="str">
        <f>Cadastro!$B138</f>
        <v>CURITIBA</v>
      </c>
      <c r="C138" s="107" t="str">
        <f>Cadastro!$C138</f>
        <v>https://monitoramento.pm.pr.gov.br/proxy_image_2/</v>
      </c>
      <c r="D138" s="105">
        <f>Cadastro!$D138</f>
        <v>28601</v>
      </c>
      <c r="E138" s="104" t="str">
        <f>Cadastro!$E138</f>
        <v>EX063CFTV01</v>
      </c>
      <c r="F138" s="104" t="str">
        <f>Cadastro!$F138</f>
        <v>PANE ET Vital Brasil &gt; C. Raso</v>
      </c>
      <c r="G138" s="104" t="str">
        <f>Cadastro!$G138</f>
        <v>-25.464654</v>
      </c>
      <c r="H138" s="104" t="str">
        <f>Cadastro!$H138</f>
        <v>-49.291319</v>
      </c>
      <c r="I138" s="104" t="str">
        <f>Cadastro!$I138</f>
        <v>copom_DDTQ</v>
      </c>
      <c r="J138" s="104" t="str">
        <f>Cadastro!$J138</f>
        <v>DDTQcopom</v>
      </c>
      <c r="K138" s="104" t="s">
        <v>4536</v>
      </c>
      <c r="L138" s="104" t="s">
        <v>26</v>
      </c>
      <c r="M138" s="104" t="s">
        <v>27</v>
      </c>
      <c r="N138" s="108" t="str">
        <f t="shared" si="1"/>
        <v>URBS 2</v>
      </c>
      <c r="O138" s="109" t="str">
        <f>Cadastro!$O138</f>
        <v>https://monitoramento.pm.pr.gov.br/proxy_image_2/Interface/Cameras/GetJPEGStream?Camera=EX063CFTV01&amp;AuthUser=copom_DDTQ&amp;AuthPass=DDTQcopom&amp;Width=1024&amp;Height=768&amp;Quality=70&amp;FPS=10&amp;ResponseFormat=Text</v>
      </c>
      <c r="P138" s="106">
        <f>Cadastro!$P138</f>
        <v>1</v>
      </c>
    </row>
    <row r="139">
      <c r="A139" s="104" t="str">
        <f>Cadastro!$A139</f>
        <v>URBS 2</v>
      </c>
      <c r="B139" s="104" t="str">
        <f>Cadastro!$B139</f>
        <v>CURITIBA</v>
      </c>
      <c r="C139" s="107" t="str">
        <f>Cadastro!$C139</f>
        <v>https://monitoramento.pm.pr.gov.br/proxy_image_2/</v>
      </c>
      <c r="D139" s="105">
        <f>Cadastro!$D139</f>
        <v>28601</v>
      </c>
      <c r="E139" s="104" t="str">
        <f>Cadastro!$E139</f>
        <v>EX063CFTV02</v>
      </c>
      <c r="F139" s="104" t="str">
        <f>Cadastro!$F139</f>
        <v>ET Vital Brasil &gt; Santa Cândida</v>
      </c>
      <c r="G139" s="104" t="str">
        <f>Cadastro!$G139</f>
        <v>-25.464669</v>
      </c>
      <c r="H139" s="104" t="str">
        <f>Cadastro!$H139</f>
        <v>-49.291211</v>
      </c>
      <c r="I139" s="104" t="str">
        <f>Cadastro!$I139</f>
        <v>copom_DDTQ</v>
      </c>
      <c r="J139" s="104" t="str">
        <f>Cadastro!$J139</f>
        <v>DDTQcopom</v>
      </c>
      <c r="K139" s="104" t="s">
        <v>4536</v>
      </c>
      <c r="L139" s="104" t="s">
        <v>26</v>
      </c>
      <c r="M139" s="104" t="s">
        <v>27</v>
      </c>
      <c r="N139" s="108" t="str">
        <f t="shared" si="1"/>
        <v>URBS 2</v>
      </c>
      <c r="O139" s="109" t="str">
        <f>Cadastro!$O139</f>
        <v>https://monitoramento.pm.pr.gov.br/proxy_image_2/Interface/Cameras/GetJPEGStream?Camera=EX063CFTV02&amp;AuthUser=copom_DDTQ&amp;AuthPass=DDTQcopom&amp;Width=1024&amp;Height=768&amp;Quality=70&amp;FPS=10&amp;ResponseFormat=Text</v>
      </c>
      <c r="P139" s="106">
        <f>Cadastro!$P139</f>
        <v>1</v>
      </c>
    </row>
    <row r="140">
      <c r="A140" s="104" t="str">
        <f>Cadastro!$A140</f>
        <v>URBS 2</v>
      </c>
      <c r="B140" s="104" t="str">
        <f>Cadastro!$B140</f>
        <v>CURITIBA</v>
      </c>
      <c r="C140" s="107" t="str">
        <f>Cadastro!$C140</f>
        <v>https://monitoramento.pm.pr.gov.br/proxy_image_2/</v>
      </c>
      <c r="D140" s="105">
        <f>Cadastro!$D140</f>
        <v>28601</v>
      </c>
      <c r="E140" s="104" t="str">
        <f>Cadastro!$E140</f>
        <v>EX064CFTV01</v>
      </c>
      <c r="F140" s="104" t="str">
        <f>Cadastro!$F140</f>
        <v>ET Morretes &gt; C. Raso</v>
      </c>
      <c r="G140" s="104" t="str">
        <f>Cadastro!$G140</f>
        <v>-25.467645</v>
      </c>
      <c r="H140" s="104" t="str">
        <f>Cadastro!$H140</f>
        <v>-49.293225</v>
      </c>
      <c r="I140" s="104" t="str">
        <f>Cadastro!$I140</f>
        <v>copom_DDTQ</v>
      </c>
      <c r="J140" s="104" t="str">
        <f>Cadastro!$J140</f>
        <v>DDTQcopom</v>
      </c>
      <c r="K140" s="104" t="s">
        <v>4536</v>
      </c>
      <c r="L140" s="104" t="s">
        <v>26</v>
      </c>
      <c r="M140" s="104" t="s">
        <v>27</v>
      </c>
      <c r="N140" s="108" t="str">
        <f t="shared" si="1"/>
        <v>URBS 2</v>
      </c>
      <c r="O140" s="109" t="str">
        <f>Cadastro!$O140</f>
        <v>https://monitoramento.pm.pr.gov.br/proxy_image_2/Interface/Cameras/GetJPEGStream?Camera=EX064CFTV01&amp;AuthUser=copom_DDTQ&amp;AuthPass=DDTQcopom&amp;Width=1024&amp;Height=768&amp;Quality=70&amp;FPS=10&amp;ResponseFormat=Text</v>
      </c>
      <c r="P140" s="106">
        <f>Cadastro!$P140</f>
        <v>1</v>
      </c>
    </row>
    <row r="141">
      <c r="A141" s="104" t="str">
        <f>Cadastro!$A141</f>
        <v>URBS 2</v>
      </c>
      <c r="B141" s="104" t="str">
        <f>Cadastro!$B141</f>
        <v>CURITIBA</v>
      </c>
      <c r="C141" s="107" t="str">
        <f>Cadastro!$C141</f>
        <v>https://monitoramento.pm.pr.gov.br/proxy_image_2/</v>
      </c>
      <c r="D141" s="105">
        <f>Cadastro!$D141</f>
        <v>28601</v>
      </c>
      <c r="E141" s="104" t="str">
        <f>Cadastro!$E141</f>
        <v>EX064CFTV02</v>
      </c>
      <c r="F141" s="104" t="str">
        <f>Cadastro!$F141</f>
        <v>ET Morretes &gt; Santa Cândida</v>
      </c>
      <c r="G141" s="104" t="str">
        <f>Cadastro!$G141</f>
        <v>-25.467679</v>
      </c>
      <c r="H141" s="104" t="str">
        <f>Cadastro!$H141</f>
        <v>-49.293112</v>
      </c>
      <c r="I141" s="104" t="str">
        <f>Cadastro!$I141</f>
        <v>copom_DDTQ</v>
      </c>
      <c r="J141" s="104" t="str">
        <f>Cadastro!$J141</f>
        <v>DDTQcopom</v>
      </c>
      <c r="K141" s="104" t="s">
        <v>4536</v>
      </c>
      <c r="L141" s="104" t="s">
        <v>26</v>
      </c>
      <c r="M141" s="104" t="s">
        <v>27</v>
      </c>
      <c r="N141" s="108" t="str">
        <f t="shared" si="1"/>
        <v>URBS 2</v>
      </c>
      <c r="O141" s="109" t="str">
        <f>Cadastro!$O141</f>
        <v>https://monitoramento.pm.pr.gov.br/proxy_image_2/Interface/Cameras/GetJPEGStream?Camera=EX064CFTV02&amp;AuthUser=copom_DDTQ&amp;AuthPass=DDTQcopom&amp;Width=1024&amp;Height=768&amp;Quality=70&amp;FPS=10&amp;ResponseFormat=Text</v>
      </c>
      <c r="P141" s="106">
        <f>Cadastro!$P141</f>
        <v>1</v>
      </c>
    </row>
    <row r="142">
      <c r="A142" s="104" t="str">
        <f>Cadastro!$A142</f>
        <v>URBS 2</v>
      </c>
      <c r="B142" s="104" t="str">
        <f>Cadastro!$B142</f>
        <v>CURITIBA</v>
      </c>
      <c r="C142" s="107" t="str">
        <f>Cadastro!$C142</f>
        <v>https://monitoramento.pm.pr.gov.br/proxy_image_2/</v>
      </c>
      <c r="D142" s="105">
        <f>Cadastro!$D142</f>
        <v>28601</v>
      </c>
      <c r="E142" s="104" t="str">
        <f>Cadastro!$E142</f>
        <v>EX066CFTV01</v>
      </c>
      <c r="F142" s="104" t="str">
        <f>Cadastro!$F142</f>
        <v>ET Itajuba &gt; C. Raso</v>
      </c>
      <c r="G142" s="104" t="str">
        <f>Cadastro!$G142</f>
        <v>-25.481094</v>
      </c>
      <c r="H142" s="104" t="str">
        <f>Cadastro!$H142</f>
        <v>-49.292610</v>
      </c>
      <c r="I142" s="104" t="str">
        <f>Cadastro!$I142</f>
        <v>copom_DDTQ</v>
      </c>
      <c r="J142" s="104" t="str">
        <f>Cadastro!$J142</f>
        <v>DDTQcopom</v>
      </c>
      <c r="K142" s="104" t="s">
        <v>4536</v>
      </c>
      <c r="L142" s="104" t="s">
        <v>26</v>
      </c>
      <c r="M142" s="104" t="s">
        <v>27</v>
      </c>
      <c r="N142" s="108" t="str">
        <f t="shared" si="1"/>
        <v>URBS 2</v>
      </c>
      <c r="O142" s="109" t="str">
        <f>Cadastro!$O142</f>
        <v>https://monitoramento.pm.pr.gov.br/proxy_image_2/Interface/Cameras/GetJPEGStream?Camera=EX066CFTV01&amp;AuthUser=copom_DDTQ&amp;AuthPass=DDTQcopom&amp;Width=1024&amp;Height=768&amp;Quality=70&amp;FPS=10&amp;ResponseFormat=Text</v>
      </c>
      <c r="P142" s="106">
        <f>Cadastro!$P142</f>
        <v>1</v>
      </c>
    </row>
    <row r="143">
      <c r="A143" s="104" t="str">
        <f>Cadastro!$A143</f>
        <v>URBS 2</v>
      </c>
      <c r="B143" s="104" t="str">
        <f>Cadastro!$B143</f>
        <v>CURITIBA</v>
      </c>
      <c r="C143" s="107" t="str">
        <f>Cadastro!$C143</f>
        <v>https://monitoramento.pm.pr.gov.br/proxy_image_2/</v>
      </c>
      <c r="D143" s="105">
        <f>Cadastro!$D143</f>
        <v>28601</v>
      </c>
      <c r="E143" s="104" t="str">
        <f>Cadastro!$E143</f>
        <v>EX066CFTV02</v>
      </c>
      <c r="F143" s="104" t="str">
        <f>Cadastro!$F143</f>
        <v>ET Itajuba &gt; Santa Cândida</v>
      </c>
      <c r="G143" s="104" t="str">
        <f>Cadastro!$G143</f>
        <v>-25.481106</v>
      </c>
      <c r="H143" s="104" t="str">
        <f>Cadastro!$H143</f>
        <v>-49.292504</v>
      </c>
      <c r="I143" s="104" t="str">
        <f>Cadastro!$I143</f>
        <v>copom_DDTQ</v>
      </c>
      <c r="J143" s="104" t="str">
        <f>Cadastro!$J143</f>
        <v>DDTQcopom</v>
      </c>
      <c r="K143" s="104" t="s">
        <v>4536</v>
      </c>
      <c r="L143" s="104" t="s">
        <v>26</v>
      </c>
      <c r="M143" s="104" t="s">
        <v>27</v>
      </c>
      <c r="N143" s="108" t="str">
        <f t="shared" si="1"/>
        <v>URBS 2</v>
      </c>
      <c r="O143" s="109" t="str">
        <f>Cadastro!$O143</f>
        <v>https://monitoramento.pm.pr.gov.br/proxy_image_2/Interface/Cameras/GetJPEGStream?Camera=EX066CFTV02&amp;AuthUser=copom_DDTQ&amp;AuthPass=DDTQcopom&amp;Width=1024&amp;Height=768&amp;Quality=70&amp;FPS=10&amp;ResponseFormat=Text</v>
      </c>
      <c r="P143" s="106">
        <f>Cadastro!$P143</f>
        <v>1</v>
      </c>
    </row>
    <row r="144">
      <c r="A144" s="104" t="str">
        <f>Cadastro!$A144</f>
        <v>URBS 2</v>
      </c>
      <c r="B144" s="104" t="str">
        <f>Cadastro!$B144</f>
        <v>CURITIBA</v>
      </c>
      <c r="C144" s="107" t="str">
        <f>Cadastro!$C144</f>
        <v>https://monitoramento.pm.pr.gov.br/proxy_image_2/</v>
      </c>
      <c r="D144" s="105">
        <f>Cadastro!$D144</f>
        <v>28601</v>
      </c>
      <c r="E144" s="104" t="str">
        <f>Cadastro!$E144</f>
        <v>EX067CFTV01</v>
      </c>
      <c r="F144" s="104" t="str">
        <f>Cadastro!$F144</f>
        <v>ET Hospital trabalhador &gt; C. Raso</v>
      </c>
      <c r="G144" s="104" t="str">
        <f>Cadastro!$G144</f>
        <v>-25.484426</v>
      </c>
      <c r="H144" s="104" t="str">
        <f>Cadastro!$H144</f>
        <v>-49.293781</v>
      </c>
      <c r="I144" s="104" t="str">
        <f>Cadastro!$I144</f>
        <v>copom_DDTQ</v>
      </c>
      <c r="J144" s="104" t="str">
        <f>Cadastro!$J144</f>
        <v>DDTQcopom</v>
      </c>
      <c r="K144" s="104" t="s">
        <v>4536</v>
      </c>
      <c r="L144" s="104" t="s">
        <v>26</v>
      </c>
      <c r="M144" s="104" t="s">
        <v>27</v>
      </c>
      <c r="N144" s="108" t="str">
        <f t="shared" si="1"/>
        <v>URBS 2</v>
      </c>
      <c r="O144" s="109" t="str">
        <f>Cadastro!$O144</f>
        <v>https://monitoramento.pm.pr.gov.br/proxy_image_2/Interface/Cameras/GetJPEGStream?Camera=EX067CFTV01&amp;AuthUser=copom_DDTQ&amp;AuthPass=DDTQcopom&amp;Width=1024&amp;Height=768&amp;Quality=70&amp;FPS=10&amp;ResponseFormat=Text</v>
      </c>
      <c r="P144" s="106">
        <f>Cadastro!$P144</f>
        <v>1</v>
      </c>
    </row>
    <row r="145">
      <c r="A145" s="104" t="str">
        <f>Cadastro!$A145</f>
        <v>URBS 2</v>
      </c>
      <c r="B145" s="104" t="str">
        <f>Cadastro!$B145</f>
        <v>CURITIBA</v>
      </c>
      <c r="C145" s="107" t="str">
        <f>Cadastro!$C145</f>
        <v>https://monitoramento.pm.pr.gov.br/proxy_image_2/</v>
      </c>
      <c r="D145" s="105">
        <f>Cadastro!$D145</f>
        <v>28601</v>
      </c>
      <c r="E145" s="104" t="str">
        <f>Cadastro!$E145</f>
        <v>EX067CFTV02</v>
      </c>
      <c r="F145" s="104" t="str">
        <f>Cadastro!$F145</f>
        <v>ET Hospital trabalhador &gt; Santa Cândida</v>
      </c>
      <c r="G145" s="104" t="str">
        <f>Cadastro!$G145</f>
        <v>-25.484440</v>
      </c>
      <c r="H145" s="104" t="str">
        <f>Cadastro!$H145</f>
        <v>-49.293685</v>
      </c>
      <c r="I145" s="104" t="str">
        <f>Cadastro!$I145</f>
        <v>copom_DDTQ</v>
      </c>
      <c r="J145" s="104" t="str">
        <f>Cadastro!$J145</f>
        <v>DDTQcopom</v>
      </c>
      <c r="K145" s="104" t="s">
        <v>4536</v>
      </c>
      <c r="L145" s="104" t="s">
        <v>26</v>
      </c>
      <c r="M145" s="104" t="s">
        <v>27</v>
      </c>
      <c r="N145" s="108" t="str">
        <f t="shared" si="1"/>
        <v>URBS 2</v>
      </c>
      <c r="O145" s="109" t="str">
        <f>Cadastro!$O145</f>
        <v>https://monitoramento.pm.pr.gov.br/proxy_image_2/Interface/Cameras/GetJPEGStream?Camera=EX067CFTV02&amp;AuthUser=copom_DDTQ&amp;AuthPass=DDTQcopom&amp;Width=1024&amp;Height=768&amp;Quality=70&amp;FPS=10&amp;ResponseFormat=Text</v>
      </c>
      <c r="P145" s="106">
        <f>Cadastro!$P145</f>
        <v>1</v>
      </c>
    </row>
    <row r="146">
      <c r="A146" s="104" t="str">
        <f>Cadastro!$A146</f>
        <v>URBS 2</v>
      </c>
      <c r="B146" s="104" t="str">
        <f>Cadastro!$B146</f>
        <v>CURITIBA</v>
      </c>
      <c r="C146" s="107" t="str">
        <f>Cadastro!$C146</f>
        <v>https://monitoramento.pm.pr.gov.br/proxy_image_2/</v>
      </c>
      <c r="D146" s="105">
        <f>Cadastro!$D146</f>
        <v>28601</v>
      </c>
      <c r="E146" s="104" t="str">
        <f>Cadastro!$E146</f>
        <v>EX068CFTV01</v>
      </c>
      <c r="F146" s="104" t="str">
        <f>Cadastro!$F146</f>
        <v>ET Herculano de Araujo &gt; C. Raso</v>
      </c>
      <c r="G146" s="104" t="str">
        <f>Cadastro!$G146</f>
        <v>-25.487798</v>
      </c>
      <c r="H146" s="104" t="str">
        <f>Cadastro!$H146</f>
        <v>-49.294333</v>
      </c>
      <c r="I146" s="104" t="str">
        <f>Cadastro!$I146</f>
        <v>copom_DDTQ</v>
      </c>
      <c r="J146" s="104" t="str">
        <f>Cadastro!$J146</f>
        <v>DDTQcopom</v>
      </c>
      <c r="K146" s="104" t="s">
        <v>4536</v>
      </c>
      <c r="L146" s="104" t="s">
        <v>26</v>
      </c>
      <c r="M146" s="104" t="s">
        <v>27</v>
      </c>
      <c r="N146" s="108" t="str">
        <f t="shared" si="1"/>
        <v>URBS 2</v>
      </c>
      <c r="O146" s="109" t="str">
        <f>Cadastro!$O146</f>
        <v>https://monitoramento.pm.pr.gov.br/proxy_image_2/Interface/Cameras/GetJPEGStream?Camera=EX068CFTV01&amp;AuthUser=copom_DDTQ&amp;AuthPass=DDTQcopom&amp;Width=1024&amp;Height=768&amp;Quality=70&amp;FPS=10&amp;ResponseFormat=Text</v>
      </c>
      <c r="P146" s="106">
        <f>Cadastro!$P146</f>
        <v>1</v>
      </c>
    </row>
    <row r="147">
      <c r="A147" s="104" t="str">
        <f>Cadastro!$A147</f>
        <v>URBS 2</v>
      </c>
      <c r="B147" s="104" t="str">
        <f>Cadastro!$B147</f>
        <v>CURITIBA</v>
      </c>
      <c r="C147" s="107" t="str">
        <f>Cadastro!$C147</f>
        <v>https://monitoramento.pm.pr.gov.br/proxy_image_2/</v>
      </c>
      <c r="D147" s="105">
        <f>Cadastro!$D147</f>
        <v>28601</v>
      </c>
      <c r="E147" s="104" t="str">
        <f>Cadastro!$E147</f>
        <v>EX068CFTV02</v>
      </c>
      <c r="F147" s="104" t="str">
        <f>Cadastro!$F147</f>
        <v>ET Herculano de Araujo &gt;Santa Cândida</v>
      </c>
      <c r="G147" s="104" t="str">
        <f>Cadastro!$G147</f>
        <v>-25.487793</v>
      </c>
      <c r="H147" s="104" t="str">
        <f>Cadastro!$H147</f>
        <v>-49.294227</v>
      </c>
      <c r="I147" s="104" t="str">
        <f>Cadastro!$I147</f>
        <v>copom_DDTQ</v>
      </c>
      <c r="J147" s="104" t="str">
        <f>Cadastro!$J147</f>
        <v>DDTQcopom</v>
      </c>
      <c r="K147" s="104" t="s">
        <v>4536</v>
      </c>
      <c r="L147" s="104" t="s">
        <v>26</v>
      </c>
      <c r="M147" s="104" t="s">
        <v>27</v>
      </c>
      <c r="N147" s="108" t="str">
        <f t="shared" si="1"/>
        <v>URBS 2</v>
      </c>
      <c r="O147" s="109" t="str">
        <f>Cadastro!$O147</f>
        <v>https://monitoramento.pm.pr.gov.br/proxy_image_2/Interface/Cameras/GetJPEGStream?Camera=EX068CFTV02&amp;AuthUser=copom_DDTQ&amp;AuthPass=DDTQcopom&amp;Width=1024&amp;Height=768&amp;Quality=70&amp;FPS=10&amp;ResponseFormat=Text</v>
      </c>
      <c r="P147" s="106">
        <f>Cadastro!$P147</f>
        <v>1</v>
      </c>
    </row>
    <row r="148">
      <c r="A148" s="104" t="str">
        <f>Cadastro!$A148</f>
        <v>URBS 2</v>
      </c>
      <c r="B148" s="104" t="str">
        <f>Cadastro!$B148</f>
        <v>CURITIBA</v>
      </c>
      <c r="C148" s="107" t="str">
        <f>Cadastro!$C148</f>
        <v>https://monitoramento.pm.pr.gov.br/proxy_image_2/</v>
      </c>
      <c r="D148" s="105">
        <f>Cadastro!$D148</f>
        <v>28601</v>
      </c>
      <c r="E148" s="104" t="str">
        <f>Cadastro!$E148</f>
        <v>EX069CFTV01</v>
      </c>
      <c r="F148" s="104" t="str">
        <f>Cadastro!$F148</f>
        <v>ET Pedro Gusso &gt; Pinheirinho</v>
      </c>
      <c r="G148" s="104" t="str">
        <f>Cadastro!$G148</f>
        <v>-25.495567</v>
      </c>
      <c r="H148" s="104" t="str">
        <f>Cadastro!$H148</f>
        <v>-49.294568</v>
      </c>
      <c r="I148" s="104" t="str">
        <f>Cadastro!$I148</f>
        <v>copom_DDTQ</v>
      </c>
      <c r="J148" s="104" t="str">
        <f>Cadastro!$J148</f>
        <v>DDTQcopom</v>
      </c>
      <c r="K148" s="104" t="s">
        <v>4536</v>
      </c>
      <c r="L148" s="104" t="s">
        <v>26</v>
      </c>
      <c r="M148" s="104" t="s">
        <v>27</v>
      </c>
      <c r="N148" s="108" t="str">
        <f t="shared" si="1"/>
        <v>URBS 2</v>
      </c>
      <c r="O148" s="109" t="str">
        <f>Cadastro!$O148</f>
        <v>https://monitoramento.pm.pr.gov.br/proxy_image_2/Interface/Cameras/GetJPEGStream?Camera=EX069CFTV01&amp;AuthUser=copom_DDTQ&amp;AuthPass=DDTQcopom&amp;Width=1024&amp;Height=768&amp;Quality=70&amp;FPS=10&amp;ResponseFormat=Text</v>
      </c>
      <c r="P148" s="106">
        <f>Cadastro!$P148</f>
        <v>1</v>
      </c>
    </row>
    <row r="149">
      <c r="A149" s="104" t="str">
        <f>Cadastro!$A149</f>
        <v>URBS 2</v>
      </c>
      <c r="B149" s="104" t="str">
        <f>Cadastro!$B149</f>
        <v>CURITIBA</v>
      </c>
      <c r="C149" s="107" t="str">
        <f>Cadastro!$C149</f>
        <v>https://monitoramento.pm.pr.gov.br/proxy_image_2/</v>
      </c>
      <c r="D149" s="105">
        <f>Cadastro!$D149</f>
        <v>28601</v>
      </c>
      <c r="E149" s="104" t="str">
        <f>Cadastro!$E149</f>
        <v>EX069CFTV02</v>
      </c>
      <c r="F149" s="104" t="str">
        <f>Cadastro!$F149</f>
        <v>ET Pedro Gusso &gt; Centro</v>
      </c>
      <c r="G149" s="104" t="str">
        <f>Cadastro!$G149</f>
        <v>-25.495522</v>
      </c>
      <c r="H149" s="104" t="str">
        <f>Cadastro!$H149</f>
        <v>-49.294432</v>
      </c>
      <c r="I149" s="104" t="str">
        <f>Cadastro!$I149</f>
        <v>copom_DDTQ</v>
      </c>
      <c r="J149" s="104" t="str">
        <f>Cadastro!$J149</f>
        <v>DDTQcopom</v>
      </c>
      <c r="K149" s="104" t="s">
        <v>4536</v>
      </c>
      <c r="L149" s="104" t="s">
        <v>26</v>
      </c>
      <c r="M149" s="104" t="s">
        <v>27</v>
      </c>
      <c r="N149" s="108" t="str">
        <f t="shared" si="1"/>
        <v>URBS 2</v>
      </c>
      <c r="O149" s="109" t="str">
        <f>Cadastro!$O149</f>
        <v>https://monitoramento.pm.pr.gov.br/proxy_image_2/Interface/Cameras/GetJPEGStream?Camera=EX069CFTV02&amp;AuthUser=copom_DDTQ&amp;AuthPass=DDTQcopom&amp;Width=1024&amp;Height=768&amp;Quality=70&amp;FPS=10&amp;ResponseFormat=Text</v>
      </c>
      <c r="P149" s="106">
        <f>Cadastro!$P149</f>
        <v>1</v>
      </c>
    </row>
    <row r="150">
      <c r="A150" s="104" t="str">
        <f>Cadastro!$A150</f>
        <v>URBS 2</v>
      </c>
      <c r="B150" s="104" t="str">
        <f>Cadastro!$B150</f>
        <v>CURITIBA</v>
      </c>
      <c r="C150" s="107" t="str">
        <f>Cadastro!$C150</f>
        <v>https://monitoramento.pm.pr.gov.br/proxy_image_2/</v>
      </c>
      <c r="D150" s="105">
        <f>Cadastro!$D150</f>
        <v>28601</v>
      </c>
      <c r="E150" s="104" t="str">
        <f>Cadastro!$E150</f>
        <v>EX070CFTV01</v>
      </c>
      <c r="F150" s="104" t="str">
        <f>Cadastro!$F150</f>
        <v>PANE ET José C. Bettega&gt; Pinheirinho</v>
      </c>
      <c r="G150" s="104" t="str">
        <f>Cadastro!$G150</f>
        <v>-25.499492</v>
      </c>
      <c r="H150" s="104" t="str">
        <f>Cadastro!$H150</f>
        <v>-49.296073</v>
      </c>
      <c r="I150" s="104" t="str">
        <f>Cadastro!$I150</f>
        <v>copom_DDTQ</v>
      </c>
      <c r="J150" s="104" t="str">
        <f>Cadastro!$J150</f>
        <v>DDTQcopom</v>
      </c>
      <c r="K150" s="104" t="s">
        <v>4536</v>
      </c>
      <c r="L150" s="104" t="s">
        <v>26</v>
      </c>
      <c r="M150" s="104" t="s">
        <v>27</v>
      </c>
      <c r="N150" s="108" t="str">
        <f t="shared" si="1"/>
        <v>URBS 2</v>
      </c>
      <c r="O150" s="109" t="str">
        <f>Cadastro!$O150</f>
        <v>https://monitoramento.pm.pr.gov.br/proxy_image_2/Interface/Cameras/GetJPEGStream?Camera=EX070CFTV01&amp;AuthUser=copom_DDTQ&amp;AuthPass=DDTQcopom&amp;Width=1024&amp;Height=768&amp;Quality=70&amp;FPS=10&amp;ResponseFormat=Text</v>
      </c>
      <c r="P150" s="106">
        <f>Cadastro!$P150</f>
        <v>1</v>
      </c>
    </row>
    <row r="151">
      <c r="A151" s="104" t="str">
        <f>Cadastro!$A151</f>
        <v>URBS 2</v>
      </c>
      <c r="B151" s="104" t="str">
        <f>Cadastro!$B151</f>
        <v>CURITIBA</v>
      </c>
      <c r="C151" s="107" t="str">
        <f>Cadastro!$C151</f>
        <v>https://monitoramento.pm.pr.gov.br/proxy_image_2/</v>
      </c>
      <c r="D151" s="105">
        <f>Cadastro!$D151</f>
        <v>28601</v>
      </c>
      <c r="E151" s="104" t="str">
        <f>Cadastro!$E151</f>
        <v>EX070CFTV02</v>
      </c>
      <c r="F151" s="104" t="str">
        <f>Cadastro!$F151</f>
        <v>PANE ET José C. Bettega&gt; Centro</v>
      </c>
      <c r="G151" s="104" t="str">
        <f>Cadastro!$G151</f>
        <v>-25.499483</v>
      </c>
      <c r="H151" s="104" t="str">
        <f>Cadastro!$H151</f>
        <v>-49.295962</v>
      </c>
      <c r="I151" s="104" t="str">
        <f>Cadastro!$I151</f>
        <v>copom_DDTQ</v>
      </c>
      <c r="J151" s="104" t="str">
        <f>Cadastro!$J151</f>
        <v>DDTQcopom</v>
      </c>
      <c r="K151" s="104" t="s">
        <v>4536</v>
      </c>
      <c r="L151" s="104" t="s">
        <v>26</v>
      </c>
      <c r="M151" s="104" t="s">
        <v>27</v>
      </c>
      <c r="N151" s="108" t="str">
        <f t="shared" si="1"/>
        <v>URBS 2</v>
      </c>
      <c r="O151" s="109" t="str">
        <f>Cadastro!$O151</f>
        <v>https://monitoramento.pm.pr.gov.br/proxy_image_2/Interface/Cameras/GetJPEGStream?Camera=EX070CFTV02&amp;AuthUser=copom_DDTQ&amp;AuthPass=DDTQcopom&amp;Width=1024&amp;Height=768&amp;Quality=70&amp;FPS=10&amp;ResponseFormat=Text</v>
      </c>
      <c r="P151" s="106">
        <f>Cadastro!$P151</f>
        <v>1</v>
      </c>
    </row>
    <row r="152">
      <c r="A152" s="104" t="str">
        <f>Cadastro!$A152</f>
        <v>URBS 2</v>
      </c>
      <c r="B152" s="104" t="str">
        <f>Cadastro!$B152</f>
        <v>CURITIBA</v>
      </c>
      <c r="C152" s="107" t="str">
        <f>Cadastro!$C152</f>
        <v>https://monitoramento.pm.pr.gov.br/proxy_image_2/</v>
      </c>
      <c r="D152" s="105">
        <f>Cadastro!$D152</f>
        <v>28601</v>
      </c>
      <c r="E152" s="104" t="str">
        <f>Cadastro!$E152</f>
        <v>EX071CFTV01</v>
      </c>
      <c r="F152" s="104" t="str">
        <f>Cadastro!$F152</f>
        <v>ET Santa Regina &gt; Pinheirinho</v>
      </c>
      <c r="G152" s="104" t="str">
        <f>Cadastro!$G152</f>
        <v>-25.503476</v>
      </c>
      <c r="H152" s="104" t="str">
        <f>Cadastro!$H152</f>
        <v>-49.296027</v>
      </c>
      <c r="I152" s="104" t="str">
        <f>Cadastro!$I152</f>
        <v>copom_DDTQ</v>
      </c>
      <c r="J152" s="104" t="str">
        <f>Cadastro!$J152</f>
        <v>DDTQcopom</v>
      </c>
      <c r="K152" s="104" t="s">
        <v>4536</v>
      </c>
      <c r="L152" s="104" t="s">
        <v>26</v>
      </c>
      <c r="M152" s="104" t="s">
        <v>27</v>
      </c>
      <c r="N152" s="108" t="str">
        <f t="shared" si="1"/>
        <v>URBS 2</v>
      </c>
      <c r="O152" s="109" t="str">
        <f>Cadastro!$O152</f>
        <v>https://monitoramento.pm.pr.gov.br/proxy_image_2/Interface/Cameras/GetJPEGStream?Camera=EX071CFTV01&amp;AuthUser=copom_DDTQ&amp;AuthPass=DDTQcopom&amp;Width=1024&amp;Height=768&amp;Quality=70&amp;FPS=10&amp;ResponseFormat=Text</v>
      </c>
      <c r="P152" s="106">
        <f>Cadastro!$P152</f>
        <v>1</v>
      </c>
    </row>
    <row r="153">
      <c r="A153" s="104" t="str">
        <f>Cadastro!$A153</f>
        <v>URBS 2</v>
      </c>
      <c r="B153" s="104" t="str">
        <f>Cadastro!$B153</f>
        <v>CURITIBA</v>
      </c>
      <c r="C153" s="107" t="str">
        <f>Cadastro!$C153</f>
        <v>https://monitoramento.pm.pr.gov.br/proxy_image_2/</v>
      </c>
      <c r="D153" s="105">
        <f>Cadastro!$D153</f>
        <v>28601</v>
      </c>
      <c r="E153" s="104" t="str">
        <f>Cadastro!$E153</f>
        <v>EX071CFTV02</v>
      </c>
      <c r="F153" s="104" t="str">
        <f>Cadastro!$F153</f>
        <v>ET Santa Regina &gt; Centro</v>
      </c>
      <c r="G153" s="104" t="str">
        <f>Cadastro!$G153</f>
        <v>-25.503461</v>
      </c>
      <c r="H153" s="104" t="str">
        <f>Cadastro!$H153</f>
        <v>-49.295922</v>
      </c>
      <c r="I153" s="104" t="str">
        <f>Cadastro!$I153</f>
        <v>copom_DDTQ</v>
      </c>
      <c r="J153" s="104" t="str">
        <f>Cadastro!$J153</f>
        <v>DDTQcopom</v>
      </c>
      <c r="K153" s="104" t="s">
        <v>4536</v>
      </c>
      <c r="L153" s="104" t="s">
        <v>26</v>
      </c>
      <c r="M153" s="104" t="s">
        <v>27</v>
      </c>
      <c r="N153" s="108" t="str">
        <f t="shared" si="1"/>
        <v>URBS 2</v>
      </c>
      <c r="O153" s="109" t="str">
        <f>Cadastro!$O153</f>
        <v>https://monitoramento.pm.pr.gov.br/proxy_image_2/Interface/Cameras/GetJPEGStream?Camera=EX071CFTV02&amp;AuthUser=copom_DDTQ&amp;AuthPass=DDTQcopom&amp;Width=1024&amp;Height=768&amp;Quality=70&amp;FPS=10&amp;ResponseFormat=Text</v>
      </c>
      <c r="P153" s="106">
        <f>Cadastro!$P153</f>
        <v>1</v>
      </c>
    </row>
    <row r="154">
      <c r="A154" s="104" t="str">
        <f>Cadastro!$A154</f>
        <v>URBS 2</v>
      </c>
      <c r="B154" s="104" t="str">
        <f>Cadastro!$B154</f>
        <v>CURITIBA</v>
      </c>
      <c r="C154" s="107" t="str">
        <f>Cadastro!$C154</f>
        <v>https://monitoramento.pm.pr.gov.br/proxy_image_2/</v>
      </c>
      <c r="D154" s="105">
        <f>Cadastro!$D154</f>
        <v>28601</v>
      </c>
      <c r="E154" s="104" t="str">
        <f>Cadastro!$E154</f>
        <v>EX072CFTV01</v>
      </c>
      <c r="F154" s="104" t="str">
        <f>Cadastro!$F154</f>
        <v>ET Ouro Verde &gt; Pinheirinho</v>
      </c>
      <c r="G154" s="104" t="str">
        <f>Cadastro!$G154</f>
        <v>-25.507652</v>
      </c>
      <c r="H154" s="104" t="str">
        <f>Cadastro!$H154</f>
        <v>-49.295917</v>
      </c>
      <c r="I154" s="104" t="str">
        <f>Cadastro!$I154</f>
        <v>copom_DDTQ</v>
      </c>
      <c r="J154" s="104" t="str">
        <f>Cadastro!$J154</f>
        <v>DDTQcopom</v>
      </c>
      <c r="K154" s="104" t="s">
        <v>4536</v>
      </c>
      <c r="L154" s="104" t="s">
        <v>26</v>
      </c>
      <c r="M154" s="104" t="s">
        <v>27</v>
      </c>
      <c r="N154" s="108" t="str">
        <f t="shared" si="1"/>
        <v>URBS 2</v>
      </c>
      <c r="O154" s="109" t="str">
        <f>Cadastro!$O154</f>
        <v>https://monitoramento.pm.pr.gov.br/proxy_image_2/Interface/Cameras/GetJPEGStream?Camera=EX072CFTV01&amp;AuthUser=copom_DDTQ&amp;AuthPass=DDTQcopom&amp;Width=1024&amp;Height=768&amp;Quality=70&amp;FPS=10&amp;ResponseFormat=Text</v>
      </c>
      <c r="P154" s="106">
        <f>Cadastro!$P154</f>
        <v>1</v>
      </c>
    </row>
    <row r="155">
      <c r="A155" s="104" t="str">
        <f>Cadastro!$A155</f>
        <v>URBS 2</v>
      </c>
      <c r="B155" s="104" t="str">
        <f>Cadastro!$B155</f>
        <v>CURITIBA</v>
      </c>
      <c r="C155" s="107" t="str">
        <f>Cadastro!$C155</f>
        <v>https://monitoramento.pm.pr.gov.br/proxy_image_2/</v>
      </c>
      <c r="D155" s="105">
        <f>Cadastro!$D155</f>
        <v>28601</v>
      </c>
      <c r="E155" s="104" t="str">
        <f>Cadastro!$E155</f>
        <v>EX072CFTV02</v>
      </c>
      <c r="F155" s="104" t="str">
        <f>Cadastro!$F155</f>
        <v>ET Ouro Verde &gt; Centro</v>
      </c>
      <c r="G155" s="104" t="str">
        <f>Cadastro!$G155</f>
        <v>-25.507644</v>
      </c>
      <c r="H155" s="104" t="str">
        <f>Cadastro!$H155</f>
        <v>-49.295811</v>
      </c>
      <c r="I155" s="104" t="str">
        <f>Cadastro!$I155</f>
        <v>copom_DDTQ</v>
      </c>
      <c r="J155" s="104" t="str">
        <f>Cadastro!$J155</f>
        <v>DDTQcopom</v>
      </c>
      <c r="K155" s="104" t="s">
        <v>4536</v>
      </c>
      <c r="L155" s="104" t="s">
        <v>26</v>
      </c>
      <c r="M155" s="104" t="s">
        <v>27</v>
      </c>
      <c r="N155" s="108" t="str">
        <f t="shared" si="1"/>
        <v>URBS 2</v>
      </c>
      <c r="O155" s="109" t="str">
        <f>Cadastro!$O155</f>
        <v>https://monitoramento.pm.pr.gov.br/proxy_image_2/Interface/Cameras/GetJPEGStream?Camera=EX072CFTV02&amp;AuthUser=copom_DDTQ&amp;AuthPass=DDTQcopom&amp;Width=1024&amp;Height=768&amp;Quality=70&amp;FPS=10&amp;ResponseFormat=Text</v>
      </c>
      <c r="P155" s="106">
        <f>Cadastro!$P155</f>
        <v>1</v>
      </c>
    </row>
    <row r="156">
      <c r="A156" s="104" t="str">
        <f>Cadastro!$A156</f>
        <v>URBS 2</v>
      </c>
      <c r="B156" s="104" t="str">
        <f>Cadastro!$B156</f>
        <v>CURITIBA</v>
      </c>
      <c r="C156" s="107" t="str">
        <f>Cadastro!$C156</f>
        <v>https://monitoramento.pm.pr.gov.br/proxy_image_2/</v>
      </c>
      <c r="D156" s="105">
        <f>Cadastro!$D156</f>
        <v>28601</v>
      </c>
      <c r="E156" s="104" t="str">
        <f>Cadastro!$E156</f>
        <v>EX084ACFTV01</v>
      </c>
      <c r="F156" s="104" t="str">
        <f>Cadastro!$F156</f>
        <v>PANE ET Parque Iguaçu &gt; Boqueirão</v>
      </c>
      <c r="G156" s="104" t="str">
        <f>Cadastro!$G156</f>
        <v>-25.521016</v>
      </c>
      <c r="H156" s="104" t="str">
        <f>Cadastro!$H156</f>
        <v>-49.227954</v>
      </c>
      <c r="I156" s="104" t="str">
        <f>Cadastro!$I156</f>
        <v>copom_DDTQ</v>
      </c>
      <c r="J156" s="104" t="str">
        <f>Cadastro!$J156</f>
        <v>DDTQcopom</v>
      </c>
      <c r="K156" s="104" t="s">
        <v>4536</v>
      </c>
      <c r="L156" s="104" t="s">
        <v>26</v>
      </c>
      <c r="M156" s="104" t="s">
        <v>27</v>
      </c>
      <c r="N156" s="108" t="str">
        <f t="shared" si="1"/>
        <v>URBS 2</v>
      </c>
      <c r="O156" s="109" t="str">
        <f>Cadastro!$O156</f>
        <v>https://monitoramento.pm.pr.gov.br/proxy_image_2/Interface/Cameras/GetJPEGStream?Camera=EX084ACFTV01&amp;AuthUser=copom_DDTQ&amp;AuthPass=DDTQcopom&amp;Width=1024&amp;Height=768&amp;Quality=70&amp;FPS=10&amp;ResponseFormat=Text</v>
      </c>
      <c r="P156" s="106">
        <f>Cadastro!$P156</f>
        <v>1</v>
      </c>
    </row>
    <row r="157">
      <c r="A157" s="104" t="str">
        <f>Cadastro!$A157</f>
        <v>URBS 2</v>
      </c>
      <c r="B157" s="104" t="str">
        <f>Cadastro!$B157</f>
        <v>CURITIBA</v>
      </c>
      <c r="C157" s="107" t="str">
        <f>Cadastro!$C157</f>
        <v>https://monitoramento.pm.pr.gov.br/proxy_image_2/</v>
      </c>
      <c r="D157" s="105">
        <f>Cadastro!$D157</f>
        <v>28601</v>
      </c>
      <c r="E157" s="104" t="str">
        <f>Cadastro!$E157</f>
        <v>EX084CFTV01</v>
      </c>
      <c r="F157" s="104" t="str">
        <f>Cadastro!$F157</f>
        <v>ET Parque Iguaçu &gt; Sitio Cercado</v>
      </c>
      <c r="G157" s="104" t="str">
        <f>Cadastro!$G157</f>
        <v>-25.521065</v>
      </c>
      <c r="H157" s="104" t="str">
        <f>Cadastro!$H157</f>
        <v>-49.228059</v>
      </c>
      <c r="I157" s="104" t="str">
        <f>Cadastro!$I157</f>
        <v>copom_DDTQ</v>
      </c>
      <c r="J157" s="104" t="str">
        <f>Cadastro!$J157</f>
        <v>DDTQcopom</v>
      </c>
      <c r="K157" s="104" t="s">
        <v>4536</v>
      </c>
      <c r="L157" s="104" t="s">
        <v>26</v>
      </c>
      <c r="M157" s="104" t="s">
        <v>27</v>
      </c>
      <c r="N157" s="108" t="str">
        <f t="shared" si="1"/>
        <v>URBS 2</v>
      </c>
      <c r="O157" s="109" t="str">
        <f>Cadastro!$O157</f>
        <v>https://monitoramento.pm.pr.gov.br/proxy_image_2/Interface/Cameras/GetJPEGStream?Camera=EX084CFTV01&amp;AuthUser=copom_DDTQ&amp;AuthPass=DDTQcopom&amp;Width=1024&amp;Height=768&amp;Quality=70&amp;FPS=10&amp;ResponseFormat=Text</v>
      </c>
      <c r="P157" s="106">
        <f>Cadastro!$P157</f>
        <v>1</v>
      </c>
    </row>
    <row r="158">
      <c r="A158" s="104" t="str">
        <f>Cadastro!$A158</f>
        <v>URBS 2</v>
      </c>
      <c r="B158" s="104" t="str">
        <f>Cadastro!$B158</f>
        <v>CURITIBA</v>
      </c>
      <c r="C158" s="107" t="str">
        <f>Cadastro!$C158</f>
        <v>https://monitoramento.pm.pr.gov.br/proxy_image_2/</v>
      </c>
      <c r="D158" s="105">
        <f>Cadastro!$D158</f>
        <v>28601</v>
      </c>
      <c r="E158" s="104" t="str">
        <f>Cadastro!$E158</f>
        <v>EX090CFTV01</v>
      </c>
      <c r="F158" s="104" t="str">
        <f>Cadastro!$F158</f>
        <v>ET Wiston Churchill &gt; Pinheirinho</v>
      </c>
      <c r="G158" s="104" t="str">
        <f>Cadastro!$G158</f>
        <v>-25.520712</v>
      </c>
      <c r="H158" s="104" t="str">
        <f>Cadastro!$H158</f>
        <v>-49.295455</v>
      </c>
      <c r="I158" s="104" t="str">
        <f>Cadastro!$I158</f>
        <v>copom_DDTQ</v>
      </c>
      <c r="J158" s="104" t="str">
        <f>Cadastro!$J158</f>
        <v>DDTQcopom</v>
      </c>
      <c r="K158" s="104" t="s">
        <v>4536</v>
      </c>
      <c r="L158" s="104" t="s">
        <v>26</v>
      </c>
      <c r="M158" s="104" t="s">
        <v>27</v>
      </c>
      <c r="N158" s="108" t="str">
        <f t="shared" si="1"/>
        <v>URBS 2</v>
      </c>
      <c r="O158" s="109" t="str">
        <f>Cadastro!$O158</f>
        <v>https://monitoramento.pm.pr.gov.br/proxy_image_2/Interface/Cameras/GetJPEGStream?Camera=EX090CFTV01&amp;AuthUser=copom_DDTQ&amp;AuthPass=DDTQcopom&amp;Width=1024&amp;Height=768&amp;Quality=70&amp;FPS=10&amp;ResponseFormat=Text</v>
      </c>
      <c r="P158" s="106">
        <f>Cadastro!$P158</f>
        <v>1</v>
      </c>
    </row>
    <row r="159">
      <c r="A159" s="104" t="str">
        <f>Cadastro!$A159</f>
        <v>URBS 2</v>
      </c>
      <c r="B159" s="104" t="str">
        <f>Cadastro!$B159</f>
        <v>CURITIBA</v>
      </c>
      <c r="C159" s="107" t="str">
        <f>Cadastro!$C159</f>
        <v>https://monitoramento.pm.pr.gov.br/proxy_image_2/</v>
      </c>
      <c r="D159" s="105">
        <f>Cadastro!$D159</f>
        <v>28601</v>
      </c>
      <c r="E159" s="104" t="str">
        <f>Cadastro!$E159</f>
        <v>EX090CFTV02</v>
      </c>
      <c r="F159" s="104" t="str">
        <f>Cadastro!$F159</f>
        <v>ET Wiston Churchill &gt; Sitio Cercado</v>
      </c>
      <c r="G159" s="104" t="str">
        <f>Cadastro!$G159</f>
        <v>-25.520713</v>
      </c>
      <c r="H159" s="104" t="str">
        <f>Cadastro!$H159</f>
        <v>-49.295568</v>
      </c>
      <c r="I159" s="104" t="str">
        <f>Cadastro!$I159</f>
        <v>copom_DDTQ</v>
      </c>
      <c r="J159" s="104" t="str">
        <f>Cadastro!$J159</f>
        <v>DDTQcopom</v>
      </c>
      <c r="K159" s="104" t="s">
        <v>4536</v>
      </c>
      <c r="L159" s="104" t="s">
        <v>26</v>
      </c>
      <c r="M159" s="104" t="s">
        <v>27</v>
      </c>
      <c r="N159" s="108" t="str">
        <f t="shared" si="1"/>
        <v>URBS 2</v>
      </c>
      <c r="O159" s="109" t="str">
        <f>Cadastro!$O159</f>
        <v>https://monitoramento.pm.pr.gov.br/proxy_image_2/Interface/Cameras/GetJPEGStream?Camera=EX090CFTV02&amp;AuthUser=copom_DDTQ&amp;AuthPass=DDTQcopom&amp;Width=1024&amp;Height=768&amp;Quality=70&amp;FPS=10&amp;ResponseFormat=Text</v>
      </c>
      <c r="P159" s="106">
        <f>Cadastro!$P159</f>
        <v>1</v>
      </c>
    </row>
    <row r="160">
      <c r="A160" s="104" t="str">
        <f>Cadastro!$A160</f>
        <v>URBS 2</v>
      </c>
      <c r="B160" s="104" t="str">
        <f>Cadastro!$B160</f>
        <v>CURITIBA</v>
      </c>
      <c r="C160" s="107" t="str">
        <f>Cadastro!$C160</f>
        <v>https://monitoramento.pm.pr.gov.br/proxy_image_2/</v>
      </c>
      <c r="D160" s="105">
        <f>Cadastro!$D160</f>
        <v>28601</v>
      </c>
      <c r="E160" s="104" t="str">
        <f>Cadastro!$E160</f>
        <v>EX096CFTV01</v>
      </c>
      <c r="F160" s="104" t="str">
        <f>Cadastro!$F160</f>
        <v>PANE ET Paulo Kissula &gt; Rui Barbosa</v>
      </c>
      <c r="G160" s="104" t="str">
        <f>Cadastro!$G160</f>
        <v>-25.443693</v>
      </c>
      <c r="H160" s="104" t="str">
        <f>Cadastro!$H160</f>
        <v>-49.209120</v>
      </c>
      <c r="I160" s="104" t="str">
        <f>Cadastro!$I160</f>
        <v>copom_DDTQ</v>
      </c>
      <c r="J160" s="104" t="str">
        <f>Cadastro!$J160</f>
        <v>DDTQcopom</v>
      </c>
      <c r="K160" s="104" t="s">
        <v>4536</v>
      </c>
      <c r="L160" s="104" t="s">
        <v>26</v>
      </c>
      <c r="M160" s="104" t="s">
        <v>27</v>
      </c>
      <c r="N160" s="108" t="str">
        <f t="shared" si="1"/>
        <v>URBS 2</v>
      </c>
      <c r="O160" s="109" t="str">
        <f>Cadastro!$O160</f>
        <v>https://monitoramento.pm.pr.gov.br/proxy_image_2/Interface/Cameras/GetJPEGStream?Camera=EX096CFTV01&amp;AuthUser=copom_DDTQ&amp;AuthPass=DDTQcopom&amp;Width=1024&amp;Height=768&amp;Quality=70&amp;FPS=10&amp;ResponseFormat=Text</v>
      </c>
      <c r="P160" s="106">
        <f>Cadastro!$P160</f>
        <v>1</v>
      </c>
    </row>
    <row r="161">
      <c r="A161" s="104" t="str">
        <f>Cadastro!$A161</f>
        <v>URBS 2</v>
      </c>
      <c r="B161" s="104" t="str">
        <f>Cadastro!$B161</f>
        <v>CURITIBA</v>
      </c>
      <c r="C161" s="107" t="str">
        <f>Cadastro!$C161</f>
        <v>https://monitoramento.pm.pr.gov.br/proxy_image_2/</v>
      </c>
      <c r="D161" s="105">
        <f>Cadastro!$D161</f>
        <v>28601</v>
      </c>
      <c r="E161" s="104" t="str">
        <f>Cadastro!$E161</f>
        <v>EX096CFTV02</v>
      </c>
      <c r="F161" s="104" t="str">
        <f>Cadastro!$F161</f>
        <v>PANE ET Paulo Kissula &gt; Pinhais</v>
      </c>
      <c r="G161" s="104" t="str">
        <f>Cadastro!$G161</f>
        <v>-25.443789</v>
      </c>
      <c r="H161" s="104" t="str">
        <f>Cadastro!$H161</f>
        <v>-49.209101</v>
      </c>
      <c r="I161" s="104" t="str">
        <f>Cadastro!$I161</f>
        <v>copom_DDTQ</v>
      </c>
      <c r="J161" s="104" t="str">
        <f>Cadastro!$J161</f>
        <v>DDTQcopom</v>
      </c>
      <c r="K161" s="104" t="s">
        <v>4536</v>
      </c>
      <c r="L161" s="104" t="s">
        <v>26</v>
      </c>
      <c r="M161" s="104" t="s">
        <v>27</v>
      </c>
      <c r="N161" s="108" t="str">
        <f t="shared" si="1"/>
        <v>URBS 2</v>
      </c>
      <c r="O161" s="109" t="str">
        <f>Cadastro!$O161</f>
        <v>https://monitoramento.pm.pr.gov.br/proxy_image_2/Interface/Cameras/GetJPEGStream?Camera=EX096CFTV02&amp;AuthUser=copom_DDTQ&amp;AuthPass=DDTQcopom&amp;Width=1024&amp;Height=768&amp;Quality=70&amp;FPS=10&amp;ResponseFormat=Text</v>
      </c>
      <c r="P161" s="106">
        <f>Cadastro!$P161</f>
        <v>1</v>
      </c>
    </row>
    <row r="162">
      <c r="A162" s="104" t="str">
        <f>Cadastro!$A162</f>
        <v>URBS 2</v>
      </c>
      <c r="B162" s="104" t="str">
        <f>Cadastro!$B162</f>
        <v>CURITIBA</v>
      </c>
      <c r="C162" s="107" t="str">
        <f>Cadastro!$C162</f>
        <v>https://monitoramento.pm.pr.gov.br/proxy_image_2/</v>
      </c>
      <c r="D162" s="105">
        <f>Cadastro!$D162</f>
        <v>28601</v>
      </c>
      <c r="E162" s="104" t="str">
        <f>Cadastro!$E162</f>
        <v>EX097CFTV01</v>
      </c>
      <c r="F162" s="104" t="str">
        <f>Cadastro!$F162</f>
        <v>PANE ET Manoel vigilio de souza &gt; Rui Barbosa</v>
      </c>
      <c r="G162" s="104" t="str">
        <f>Cadastro!$G162</f>
        <v>-25.443079</v>
      </c>
      <c r="H162" s="104" t="str">
        <f>Cadastro!$H162</f>
        <v>-49.214287</v>
      </c>
      <c r="I162" s="104" t="str">
        <f>Cadastro!$I162</f>
        <v>copom_DDTQ</v>
      </c>
      <c r="J162" s="104" t="str">
        <f>Cadastro!$J162</f>
        <v>DDTQcopom</v>
      </c>
      <c r="K162" s="104" t="s">
        <v>4536</v>
      </c>
      <c r="L162" s="104" t="s">
        <v>26</v>
      </c>
      <c r="M162" s="104" t="s">
        <v>27</v>
      </c>
      <c r="N162" s="108" t="str">
        <f t="shared" si="1"/>
        <v>URBS 2</v>
      </c>
      <c r="O162" s="109" t="str">
        <f>Cadastro!$O162</f>
        <v>https://monitoramento.pm.pr.gov.br/proxy_image_2/Interface/Cameras/GetJPEGStream?Camera=EX097CFTV01&amp;AuthUser=copom_DDTQ&amp;AuthPass=DDTQcopom&amp;Width=1024&amp;Height=768&amp;Quality=70&amp;FPS=10&amp;ResponseFormat=Text</v>
      </c>
      <c r="P162" s="106">
        <f>Cadastro!$P162</f>
        <v>1</v>
      </c>
    </row>
    <row r="163">
      <c r="A163" s="104" t="str">
        <f>Cadastro!$A163</f>
        <v>URBS 2</v>
      </c>
      <c r="B163" s="104" t="str">
        <f>Cadastro!$B163</f>
        <v>CURITIBA</v>
      </c>
      <c r="C163" s="107" t="str">
        <f>Cadastro!$C163</f>
        <v>https://monitoramento.pm.pr.gov.br/proxy_image_2/</v>
      </c>
      <c r="D163" s="105">
        <f>Cadastro!$D163</f>
        <v>28601</v>
      </c>
      <c r="E163" s="104" t="str">
        <f>Cadastro!$E163</f>
        <v>EX097CFTV02</v>
      </c>
      <c r="F163" s="104" t="str">
        <f>Cadastro!$F163</f>
        <v>ET Manoel vigilio de souza &gt; Pinhais</v>
      </c>
      <c r="G163" s="104" t="str">
        <f>Cadastro!$G163</f>
        <v>-25.443172</v>
      </c>
      <c r="H163" s="104" t="str">
        <f>Cadastro!$H163</f>
        <v>-49.214297</v>
      </c>
      <c r="I163" s="104" t="str">
        <f>Cadastro!$I163</f>
        <v>copom_DDTQ</v>
      </c>
      <c r="J163" s="104" t="str">
        <f>Cadastro!$J163</f>
        <v>DDTQcopom</v>
      </c>
      <c r="K163" s="104" t="s">
        <v>4536</v>
      </c>
      <c r="L163" s="104" t="s">
        <v>26</v>
      </c>
      <c r="M163" s="104" t="s">
        <v>27</v>
      </c>
      <c r="N163" s="108" t="str">
        <f t="shared" si="1"/>
        <v>URBS 2</v>
      </c>
      <c r="O163" s="109" t="str">
        <f>Cadastro!$O163</f>
        <v>https://monitoramento.pm.pr.gov.br/proxy_image_2/Interface/Cameras/GetJPEGStream?Camera=EX097CFTV02&amp;AuthUser=copom_DDTQ&amp;AuthPass=DDTQcopom&amp;Width=1024&amp;Height=768&amp;Quality=70&amp;FPS=10&amp;ResponseFormat=Text</v>
      </c>
      <c r="P163" s="106">
        <f>Cadastro!$P163</f>
        <v>1</v>
      </c>
    </row>
    <row r="164">
      <c r="A164" s="104" t="str">
        <f>Cadastro!$A164</f>
        <v>URBS 2</v>
      </c>
      <c r="B164" s="104" t="str">
        <f>Cadastro!$B164</f>
        <v>CURITIBA</v>
      </c>
      <c r="C164" s="107" t="str">
        <f>Cadastro!$C164</f>
        <v>https://monitoramento.pm.pr.gov.br/proxy_image_2/</v>
      </c>
      <c r="D164" s="105">
        <f>Cadastro!$D164</f>
        <v>28601</v>
      </c>
      <c r="E164" s="104" t="str">
        <f>Cadastro!$E164</f>
        <v>EX101CFTV01</v>
      </c>
      <c r="F164" s="104" t="str">
        <f>Cadastro!$F164</f>
        <v>PANE ET Antonio M.Sobrinho &gt; Centenario</v>
      </c>
      <c r="G164" s="104" t="str">
        <f>Cadastro!$G164</f>
        <v>-25.447033</v>
      </c>
      <c r="H164" s="104" t="str">
        <f>Cadastro!$H164</f>
        <v>-49.216939</v>
      </c>
      <c r="I164" s="104" t="str">
        <f>Cadastro!$I164</f>
        <v>copom_DDTQ</v>
      </c>
      <c r="J164" s="104" t="str">
        <f>Cadastro!$J164</f>
        <v>DDTQcopom</v>
      </c>
      <c r="K164" s="104" t="s">
        <v>4536</v>
      </c>
      <c r="L164" s="104" t="s">
        <v>26</v>
      </c>
      <c r="M164" s="104" t="s">
        <v>27</v>
      </c>
      <c r="N164" s="108" t="str">
        <f t="shared" si="1"/>
        <v>URBS 2</v>
      </c>
      <c r="O164" s="109" t="str">
        <f>Cadastro!$O164</f>
        <v>https://monitoramento.pm.pr.gov.br/proxy_image_2/Interface/Cameras/GetJPEGStream?Camera=EX101CFTV01&amp;AuthUser=copom_DDTQ&amp;AuthPass=DDTQcopom&amp;Width=1024&amp;Height=768&amp;Quality=70&amp;FPS=10&amp;ResponseFormat=Text</v>
      </c>
      <c r="P164" s="106">
        <f>Cadastro!$P164</f>
        <v>1</v>
      </c>
    </row>
    <row r="165">
      <c r="A165" s="104" t="str">
        <f>Cadastro!$A165</f>
        <v>URBS 2</v>
      </c>
      <c r="B165" s="104" t="str">
        <f>Cadastro!$B165</f>
        <v>CURITIBA</v>
      </c>
      <c r="C165" s="107" t="str">
        <f>Cadastro!$C165</f>
        <v>https://monitoramento.pm.pr.gov.br/proxy_image_2/</v>
      </c>
      <c r="D165" s="105">
        <f>Cadastro!$D165</f>
        <v>28601</v>
      </c>
      <c r="E165" s="104" t="str">
        <f>Cadastro!$E165</f>
        <v>EX101CFTV02</v>
      </c>
      <c r="F165" s="104" t="str">
        <f>Cadastro!$F165</f>
        <v>PANE ET Antonio M.Sobrinho &gt; Campo Cumprido</v>
      </c>
      <c r="G165" s="104" t="str">
        <f>Cadastro!$G165</f>
        <v>-25.446948</v>
      </c>
      <c r="H165" s="104" t="str">
        <f>Cadastro!$H165</f>
        <v>-49.216862</v>
      </c>
      <c r="I165" s="104" t="str">
        <f>Cadastro!$I165</f>
        <v>copom_DDTQ</v>
      </c>
      <c r="J165" s="104" t="str">
        <f>Cadastro!$J165</f>
        <v>DDTQcopom</v>
      </c>
      <c r="K165" s="104" t="s">
        <v>4536</v>
      </c>
      <c r="L165" s="104" t="s">
        <v>26</v>
      </c>
      <c r="M165" s="104" t="s">
        <v>27</v>
      </c>
      <c r="N165" s="108" t="str">
        <f t="shared" si="1"/>
        <v>URBS 2</v>
      </c>
      <c r="O165" s="109" t="str">
        <f>Cadastro!$O165</f>
        <v>https://monitoramento.pm.pr.gov.br/proxy_image_2/Interface/Cameras/GetJPEGStream?Camera=EX101CFTV02&amp;AuthUser=copom_DDTQ&amp;AuthPass=DDTQcopom&amp;Width=1024&amp;Height=768&amp;Quality=70&amp;FPS=10&amp;ResponseFormat=Text</v>
      </c>
      <c r="P165" s="106">
        <f>Cadastro!$P165</f>
        <v>1</v>
      </c>
    </row>
    <row r="166">
      <c r="A166" s="104" t="str">
        <f>Cadastro!$A166</f>
        <v>URBS 2</v>
      </c>
      <c r="B166" s="104" t="str">
        <f>Cadastro!$B166</f>
        <v>CURITIBA</v>
      </c>
      <c r="C166" s="107" t="str">
        <f>Cadastro!$C166</f>
        <v>https://monitoramento.pm.pr.gov.br/proxy_image_2/</v>
      </c>
      <c r="D166" s="105">
        <f>Cadastro!$D166</f>
        <v>28601</v>
      </c>
      <c r="E166" s="104" t="str">
        <f>Cadastro!$E166</f>
        <v>EX102CFTV01</v>
      </c>
      <c r="F166" s="104" t="str">
        <f>Cadastro!$F166</f>
        <v>PANE ET Germania &gt; Centenario</v>
      </c>
      <c r="G166" s="104" t="str">
        <f>Cadastro!$G166</f>
        <v>-25.442221</v>
      </c>
      <c r="H166" s="104" t="str">
        <f>Cadastro!$H166</f>
        <v>-49.217737</v>
      </c>
      <c r="I166" s="104" t="str">
        <f>Cadastro!$I166</f>
        <v>copom_DDTQ</v>
      </c>
      <c r="J166" s="104" t="str">
        <f>Cadastro!$J166</f>
        <v>DDTQcopom</v>
      </c>
      <c r="K166" s="104" t="s">
        <v>4536</v>
      </c>
      <c r="L166" s="104" t="s">
        <v>26</v>
      </c>
      <c r="M166" s="104" t="s">
        <v>27</v>
      </c>
      <c r="N166" s="108" t="str">
        <f t="shared" si="1"/>
        <v>URBS 2</v>
      </c>
      <c r="O166" s="109" t="str">
        <f>Cadastro!$O166</f>
        <v>https://monitoramento.pm.pr.gov.br/proxy_image_2/Interface/Cameras/GetJPEGStream?Camera=EX102CFTV01&amp;AuthUser=copom_DDTQ&amp;AuthPass=DDTQcopom&amp;Width=1024&amp;Height=768&amp;Quality=70&amp;FPS=10&amp;ResponseFormat=Text</v>
      </c>
      <c r="P166" s="106">
        <f>Cadastro!$P166</f>
        <v>1</v>
      </c>
    </row>
    <row r="167">
      <c r="A167" s="104" t="str">
        <f>Cadastro!$A167</f>
        <v>URBS 2</v>
      </c>
      <c r="B167" s="104" t="str">
        <f>Cadastro!$B167</f>
        <v>CURITIBA</v>
      </c>
      <c r="C167" s="107" t="str">
        <f>Cadastro!$C167</f>
        <v>https://monitoramento.pm.pr.gov.br/proxy_image_2/</v>
      </c>
      <c r="D167" s="105">
        <f>Cadastro!$D167</f>
        <v>28601</v>
      </c>
      <c r="E167" s="104" t="str">
        <f>Cadastro!$E167</f>
        <v>EX102CFTV02</v>
      </c>
      <c r="F167" s="104" t="str">
        <f>Cadastro!$F167</f>
        <v>PANE ET Germania &gt; Campo Cumprido</v>
      </c>
      <c r="G167" s="104" t="str">
        <f>Cadastro!$G167</f>
        <v>-25.442125</v>
      </c>
      <c r="H167" s="104" t="str">
        <f>Cadastro!$H167</f>
        <v>-49.217693</v>
      </c>
      <c r="I167" s="104" t="str">
        <f>Cadastro!$I167</f>
        <v>copom_DDTQ</v>
      </c>
      <c r="J167" s="104" t="str">
        <f>Cadastro!$J167</f>
        <v>DDTQcopom</v>
      </c>
      <c r="K167" s="104" t="s">
        <v>4536</v>
      </c>
      <c r="L167" s="104" t="s">
        <v>26</v>
      </c>
      <c r="M167" s="104" t="s">
        <v>27</v>
      </c>
      <c r="N167" s="108" t="str">
        <f t="shared" si="1"/>
        <v>URBS 2</v>
      </c>
      <c r="O167" s="109" t="str">
        <f>Cadastro!$O167</f>
        <v>https://monitoramento.pm.pr.gov.br/proxy_image_2/Interface/Cameras/GetJPEGStream?Camera=EX102CFTV02&amp;AuthUser=copom_DDTQ&amp;AuthPass=DDTQcopom&amp;Width=1024&amp;Height=768&amp;Quality=70&amp;FPS=10&amp;ResponseFormat=Text</v>
      </c>
      <c r="P167" s="106">
        <f>Cadastro!$P167</f>
        <v>1</v>
      </c>
    </row>
    <row r="168">
      <c r="A168" s="104" t="str">
        <f>Cadastro!$A168</f>
        <v>URBS 2</v>
      </c>
      <c r="B168" s="104" t="str">
        <f>Cadastro!$B168</f>
        <v>CURITIBA</v>
      </c>
      <c r="C168" s="107" t="str">
        <f>Cadastro!$C168</f>
        <v>https://monitoramento.pm.pr.gov.br/proxy_image_2/</v>
      </c>
      <c r="D168" s="105">
        <f>Cadastro!$D168</f>
        <v>28601</v>
      </c>
      <c r="E168" s="104" t="str">
        <f>Cadastro!$E168</f>
        <v>EX103CFTV01</v>
      </c>
      <c r="F168" s="104" t="str">
        <f>Cadastro!$F168</f>
        <v>ET Aguiar Teixeira &gt; Campo Cumprido</v>
      </c>
      <c r="G168" s="104" t="str">
        <f>Cadastro!$G168</f>
        <v>-25.438810</v>
      </c>
      <c r="H168" s="104" t="str">
        <f>Cadastro!$H168</f>
        <v>-49.226355</v>
      </c>
      <c r="I168" s="104" t="str">
        <f>Cadastro!$I168</f>
        <v>copom_DDTQ</v>
      </c>
      <c r="J168" s="104" t="str">
        <f>Cadastro!$J168</f>
        <v>DDTQcopom</v>
      </c>
      <c r="K168" s="104" t="s">
        <v>4536</v>
      </c>
      <c r="L168" s="104" t="s">
        <v>26</v>
      </c>
      <c r="M168" s="104" t="s">
        <v>27</v>
      </c>
      <c r="N168" s="108" t="str">
        <f t="shared" si="1"/>
        <v>URBS 2</v>
      </c>
      <c r="O168" s="109" t="str">
        <f>Cadastro!$O168</f>
        <v>https://monitoramento.pm.pr.gov.br/proxy_image_2/Interface/Cameras/GetJPEGStream?Camera=EX103CFTV01&amp;AuthUser=copom_DDTQ&amp;AuthPass=DDTQcopom&amp;Width=1024&amp;Height=768&amp;Quality=70&amp;FPS=10&amp;ResponseFormat=Text</v>
      </c>
      <c r="P168" s="106">
        <f>Cadastro!$P168</f>
        <v>1</v>
      </c>
    </row>
    <row r="169">
      <c r="A169" s="104" t="str">
        <f>Cadastro!$A169</f>
        <v>URBS 2</v>
      </c>
      <c r="B169" s="104" t="str">
        <f>Cadastro!$B169</f>
        <v>CURITIBA</v>
      </c>
      <c r="C169" s="107" t="str">
        <f>Cadastro!$C169</f>
        <v>https://monitoramento.pm.pr.gov.br/proxy_image_2/</v>
      </c>
      <c r="D169" s="105">
        <f>Cadastro!$D169</f>
        <v>28601</v>
      </c>
      <c r="E169" s="104" t="str">
        <f>Cadastro!$E169</f>
        <v>EX103CFTV02</v>
      </c>
      <c r="F169" s="104" t="str">
        <f>Cadastro!$F169</f>
        <v>ET Aguiar Teixeira &gt; Centenario</v>
      </c>
      <c r="G169" s="104" t="str">
        <f>Cadastro!$G169</f>
        <v>-25.438878</v>
      </c>
      <c r="H169" s="104" t="str">
        <f>Cadastro!$H169</f>
        <v>-49.226236</v>
      </c>
      <c r="I169" s="104" t="str">
        <f>Cadastro!$I169</f>
        <v>copom_DDTQ</v>
      </c>
      <c r="J169" s="104" t="str">
        <f>Cadastro!$J169</f>
        <v>DDTQcopom</v>
      </c>
      <c r="K169" s="104" t="s">
        <v>4536</v>
      </c>
      <c r="L169" s="104" t="s">
        <v>26</v>
      </c>
      <c r="M169" s="104" t="s">
        <v>27</v>
      </c>
      <c r="N169" s="108" t="str">
        <f t="shared" si="1"/>
        <v>URBS 2</v>
      </c>
      <c r="O169" s="109" t="str">
        <f>Cadastro!$O169</f>
        <v>https://monitoramento.pm.pr.gov.br/proxy_image_2/Interface/Cameras/GetJPEGStream?Camera=EX103CFTV02&amp;AuthUser=copom_DDTQ&amp;AuthPass=DDTQcopom&amp;Width=1024&amp;Height=768&amp;Quality=70&amp;FPS=10&amp;ResponseFormat=Text</v>
      </c>
      <c r="P169" s="106">
        <f>Cadastro!$P169</f>
        <v>1</v>
      </c>
    </row>
    <row r="170">
      <c r="A170" s="104" t="str">
        <f>Cadastro!$A170</f>
        <v>URBS 2</v>
      </c>
      <c r="B170" s="104" t="str">
        <f>Cadastro!$B170</f>
        <v>CURITIBA</v>
      </c>
      <c r="C170" s="107" t="str">
        <f>Cadastro!$C170</f>
        <v>https://monitoramento.pm.pr.gov.br/proxy_image_2/</v>
      </c>
      <c r="D170" s="105">
        <f>Cadastro!$D170</f>
        <v>28601</v>
      </c>
      <c r="E170" s="104" t="str">
        <f>Cadastro!$E170</f>
        <v>EX104ACFTV01</v>
      </c>
      <c r="F170" s="104" t="str">
        <f>Cadastro!$F170</f>
        <v>ET Del Amazor Prestes &gt; Centenario</v>
      </c>
      <c r="G170" s="104" t="str">
        <f>Cadastro!$G170</f>
        <v>-25.441800</v>
      </c>
      <c r="H170" s="104" t="str">
        <f>Cadastro!$H170</f>
        <v>-49.230746</v>
      </c>
      <c r="I170" s="104" t="str">
        <f>Cadastro!$I170</f>
        <v>copom_DDTQ</v>
      </c>
      <c r="J170" s="104" t="str">
        <f>Cadastro!$J170</f>
        <v>DDTQcopom</v>
      </c>
      <c r="K170" s="104" t="s">
        <v>4536</v>
      </c>
      <c r="L170" s="104" t="s">
        <v>26</v>
      </c>
      <c r="M170" s="104" t="s">
        <v>27</v>
      </c>
      <c r="N170" s="108" t="str">
        <f t="shared" si="1"/>
        <v>URBS 2</v>
      </c>
      <c r="O170" s="109" t="str">
        <f>Cadastro!$O170</f>
        <v>https://monitoramento.pm.pr.gov.br/proxy_image_2/Interface/Cameras/GetJPEGStream?Camera=EX104ACFTV01&amp;AuthUser=copom_DDTQ&amp;AuthPass=DDTQcopom&amp;Width=1024&amp;Height=768&amp;Quality=70&amp;FPS=10&amp;ResponseFormat=Text</v>
      </c>
      <c r="P170" s="106">
        <f>Cadastro!$P170</f>
        <v>1</v>
      </c>
    </row>
    <row r="171">
      <c r="A171" s="104" t="str">
        <f>Cadastro!$A171</f>
        <v>URBS 2</v>
      </c>
      <c r="B171" s="104" t="str">
        <f>Cadastro!$B171</f>
        <v>CURITIBA</v>
      </c>
      <c r="C171" s="107" t="str">
        <f>Cadastro!$C171</f>
        <v>https://monitoramento.pm.pr.gov.br/proxy_image_2/</v>
      </c>
      <c r="D171" s="105">
        <f>Cadastro!$D171</f>
        <v>28601</v>
      </c>
      <c r="E171" s="104" t="str">
        <f>Cadastro!$E171</f>
        <v>EX104CFTV01</v>
      </c>
      <c r="F171" s="104" t="str">
        <f>Cadastro!$F171</f>
        <v>ET Del Amazor Prestes &gt; Campo Cumprido</v>
      </c>
      <c r="G171" s="104" t="str">
        <f>Cadastro!$G171</f>
        <v>-25.441708</v>
      </c>
      <c r="H171" s="104" t="str">
        <f>Cadastro!$H171</f>
        <v>-49.230760</v>
      </c>
      <c r="I171" s="104" t="str">
        <f>Cadastro!$I171</f>
        <v>copom_DDTQ</v>
      </c>
      <c r="J171" s="104" t="str">
        <f>Cadastro!$J171</f>
        <v>DDTQcopom</v>
      </c>
      <c r="K171" s="104" t="s">
        <v>4536</v>
      </c>
      <c r="L171" s="104" t="s">
        <v>26</v>
      </c>
      <c r="M171" s="104" t="s">
        <v>27</v>
      </c>
      <c r="N171" s="108" t="str">
        <f t="shared" si="1"/>
        <v>URBS 2</v>
      </c>
      <c r="O171" s="109" t="str">
        <f>Cadastro!$O171</f>
        <v>https://monitoramento.pm.pr.gov.br/proxy_image_2/Interface/Cameras/GetJPEGStream?Camera=EX104CFTV01&amp;AuthUser=copom_DDTQ&amp;AuthPass=DDTQcopom&amp;Width=1024&amp;Height=768&amp;Quality=70&amp;FPS=10&amp;ResponseFormat=Text</v>
      </c>
      <c r="P171" s="106">
        <f>Cadastro!$P171</f>
        <v>1</v>
      </c>
    </row>
    <row r="172">
      <c r="A172" s="104" t="str">
        <f>Cadastro!$A172</f>
        <v>URBS 2</v>
      </c>
      <c r="B172" s="104" t="str">
        <f>Cadastro!$B172</f>
        <v>CURITIBA</v>
      </c>
      <c r="C172" s="107" t="str">
        <f>Cadastro!$C172</f>
        <v>https://monitoramento.pm.pr.gov.br/proxy_image_2/</v>
      </c>
      <c r="D172" s="105">
        <f>Cadastro!$D172</f>
        <v>28601</v>
      </c>
      <c r="E172" s="104" t="str">
        <f>Cadastro!$E172</f>
        <v>EX105ACFTV01</v>
      </c>
      <c r="F172" s="104" t="str">
        <f>Cadastro!$F172</f>
        <v>ET Urbano Lopes &gt; Centenario</v>
      </c>
      <c r="G172" s="104" t="str">
        <f>Cadastro!$G172</f>
        <v>-25.440796</v>
      </c>
      <c r="H172" s="104" t="str">
        <f>Cadastro!$H172</f>
        <v>-49.236693</v>
      </c>
      <c r="I172" s="104" t="str">
        <f>Cadastro!$I172</f>
        <v>copom_DDTQ</v>
      </c>
      <c r="J172" s="104" t="str">
        <f>Cadastro!$J172</f>
        <v>DDTQcopom</v>
      </c>
      <c r="K172" s="104" t="s">
        <v>4536</v>
      </c>
      <c r="L172" s="104" t="s">
        <v>26</v>
      </c>
      <c r="M172" s="104" t="s">
        <v>27</v>
      </c>
      <c r="N172" s="108" t="str">
        <f t="shared" si="1"/>
        <v>URBS 2</v>
      </c>
      <c r="O172" s="109" t="str">
        <f>Cadastro!$O172</f>
        <v>https://monitoramento.pm.pr.gov.br/proxy_image_2/Interface/Cameras/GetJPEGStream?Camera=EX105ACFTV01&amp;AuthUser=copom_DDTQ&amp;AuthPass=DDTQcopom&amp;Width=1024&amp;Height=768&amp;Quality=70&amp;FPS=10&amp;ResponseFormat=Text</v>
      </c>
      <c r="P172" s="106">
        <f>Cadastro!$P172</f>
        <v>1</v>
      </c>
    </row>
    <row r="173">
      <c r="A173" s="104" t="str">
        <f>Cadastro!$A173</f>
        <v>URBS 2</v>
      </c>
      <c r="B173" s="104" t="str">
        <f>Cadastro!$B173</f>
        <v>CURITIBA</v>
      </c>
      <c r="C173" s="107" t="str">
        <f>Cadastro!$C173</f>
        <v>https://monitoramento.pm.pr.gov.br/proxy_image_2/</v>
      </c>
      <c r="D173" s="105">
        <f>Cadastro!$D173</f>
        <v>28601</v>
      </c>
      <c r="E173" s="104" t="str">
        <f>Cadastro!$E173</f>
        <v>EX105CFTV01</v>
      </c>
      <c r="F173" s="104" t="str">
        <f>Cadastro!$F173</f>
        <v>ET Urbano Lopes &gt; Campo Cumprido</v>
      </c>
      <c r="G173" s="104" t="str">
        <f>Cadastro!$G173</f>
        <v>-25.440740</v>
      </c>
      <c r="H173" s="104" t="str">
        <f>Cadastro!$H173</f>
        <v>-49.236598</v>
      </c>
      <c r="I173" s="104" t="str">
        <f>Cadastro!$I173</f>
        <v>copom_DDTQ</v>
      </c>
      <c r="J173" s="104" t="str">
        <f>Cadastro!$J173</f>
        <v>DDTQcopom</v>
      </c>
      <c r="K173" s="104" t="s">
        <v>4536</v>
      </c>
      <c r="L173" s="104" t="s">
        <v>26</v>
      </c>
      <c r="M173" s="104" t="s">
        <v>27</v>
      </c>
      <c r="N173" s="108" t="str">
        <f t="shared" si="1"/>
        <v>URBS 2</v>
      </c>
      <c r="O173" s="109" t="str">
        <f>Cadastro!$O173</f>
        <v>https://monitoramento.pm.pr.gov.br/proxy_image_2/Interface/Cameras/GetJPEGStream?Camera=EX105CFTV01&amp;AuthUser=copom_DDTQ&amp;AuthPass=DDTQcopom&amp;Width=1024&amp;Height=768&amp;Quality=70&amp;FPS=10&amp;ResponseFormat=Text</v>
      </c>
      <c r="P173" s="106">
        <f>Cadastro!$P173</f>
        <v>1</v>
      </c>
    </row>
    <row r="174">
      <c r="A174" s="104" t="str">
        <f>Cadastro!$A174</f>
        <v>URBS 2</v>
      </c>
      <c r="B174" s="104" t="str">
        <f>Cadastro!$B174</f>
        <v>CURITIBA</v>
      </c>
      <c r="C174" s="107" t="str">
        <f>Cadastro!$C174</f>
        <v>https://monitoramento.pm.pr.gov.br/proxy_image_2/</v>
      </c>
      <c r="D174" s="105">
        <f>Cadastro!$D174</f>
        <v>28601</v>
      </c>
      <c r="E174" s="104" t="str">
        <f>Cadastro!$E174</f>
        <v>EX106CFTV01</v>
      </c>
      <c r="F174" s="104" t="str">
        <f>Cadastro!$F174</f>
        <v>ET Jardim Botânico &gt; Campo Cumprido</v>
      </c>
      <c r="G174" s="104" t="str">
        <f>Cadastro!$G174</f>
        <v>-25.438109</v>
      </c>
      <c r="H174" s="104" t="str">
        <f>Cadastro!$H174</f>
        <v>-49.238648</v>
      </c>
      <c r="I174" s="104" t="str">
        <f>Cadastro!$I174</f>
        <v>copom_DDTQ</v>
      </c>
      <c r="J174" s="104" t="str">
        <f>Cadastro!$J174</f>
        <v>DDTQcopom</v>
      </c>
      <c r="K174" s="104" t="s">
        <v>4536</v>
      </c>
      <c r="L174" s="104" t="s">
        <v>26</v>
      </c>
      <c r="M174" s="104" t="s">
        <v>27</v>
      </c>
      <c r="N174" s="108" t="str">
        <f t="shared" si="1"/>
        <v>URBS 2</v>
      </c>
      <c r="O174" s="109" t="str">
        <f>Cadastro!$O174</f>
        <v>https://monitoramento.pm.pr.gov.br/proxy_image_2/Interface/Cameras/GetJPEGStream?Camera=EX106CFTV01&amp;AuthUser=copom_DDTQ&amp;AuthPass=DDTQcopom&amp;Width=1024&amp;Height=768&amp;Quality=70&amp;FPS=10&amp;ResponseFormat=Text</v>
      </c>
      <c r="P174" s="106">
        <f>Cadastro!$P174</f>
        <v>1</v>
      </c>
    </row>
    <row r="175">
      <c r="A175" s="104" t="str">
        <f>Cadastro!$A175</f>
        <v>URBS 2</v>
      </c>
      <c r="B175" s="104" t="str">
        <f>Cadastro!$B175</f>
        <v>CURITIBA</v>
      </c>
      <c r="C175" s="107" t="str">
        <f>Cadastro!$C175</f>
        <v>https://monitoramento.pm.pr.gov.br/proxy_image_2/</v>
      </c>
      <c r="D175" s="105">
        <f>Cadastro!$D175</f>
        <v>28601</v>
      </c>
      <c r="E175" s="104" t="str">
        <f>Cadastro!$E175</f>
        <v>EX106CFTV02</v>
      </c>
      <c r="F175" s="104" t="str">
        <f>Cadastro!$F175</f>
        <v>ET Jardim Botânico &gt; Centenario</v>
      </c>
      <c r="G175" s="104" t="str">
        <f>Cadastro!$G175</f>
        <v>-25.438176</v>
      </c>
      <c r="H175" s="104" t="str">
        <f>Cadastro!$H175</f>
        <v>-49.238731</v>
      </c>
      <c r="I175" s="104" t="str">
        <f>Cadastro!$I175</f>
        <v>copom_DDTQ</v>
      </c>
      <c r="J175" s="104" t="str">
        <f>Cadastro!$J175</f>
        <v>DDTQcopom</v>
      </c>
      <c r="K175" s="104" t="s">
        <v>4536</v>
      </c>
      <c r="L175" s="104" t="s">
        <v>26</v>
      </c>
      <c r="M175" s="104" t="s">
        <v>27</v>
      </c>
      <c r="N175" s="108" t="str">
        <f t="shared" si="1"/>
        <v>URBS 2</v>
      </c>
      <c r="O175" s="109" t="str">
        <f>Cadastro!$O175</f>
        <v>https://monitoramento.pm.pr.gov.br/proxy_image_2/Interface/Cameras/GetJPEGStream?Camera=EX106CFTV02&amp;AuthUser=copom_DDTQ&amp;AuthPass=DDTQcopom&amp;Width=1024&amp;Height=768&amp;Quality=70&amp;FPS=10&amp;ResponseFormat=Text</v>
      </c>
      <c r="P175" s="106">
        <f>Cadastro!$P175</f>
        <v>1</v>
      </c>
    </row>
    <row r="176">
      <c r="A176" s="104" t="str">
        <f>Cadastro!$A176</f>
        <v>URBS 2</v>
      </c>
      <c r="B176" s="104" t="str">
        <f>Cadastro!$B176</f>
        <v>CURITIBA</v>
      </c>
      <c r="C176" s="107" t="str">
        <f>Cadastro!$C176</f>
        <v>https://monitoramento.pm.pr.gov.br/proxy_image_2/</v>
      </c>
      <c r="D176" s="105">
        <f>Cadastro!$D176</f>
        <v>28601</v>
      </c>
      <c r="E176" s="104" t="str">
        <f>Cadastro!$E176</f>
        <v>EX107ACFTV01</v>
      </c>
      <c r="F176" s="104" t="str">
        <f>Cadastro!$F176</f>
        <v>ET Hospital Cajuru &gt; Campo Cumprido</v>
      </c>
      <c r="G176" s="104" t="str">
        <f>Cadastro!$G176</f>
        <v>-25.437030</v>
      </c>
      <c r="H176" s="104" t="str">
        <f>Cadastro!$H176</f>
        <v>-49.243692</v>
      </c>
      <c r="I176" s="104" t="str">
        <f>Cadastro!$I176</f>
        <v>copom_DDTQ</v>
      </c>
      <c r="J176" s="104" t="str">
        <f>Cadastro!$J176</f>
        <v>DDTQcopom</v>
      </c>
      <c r="K176" s="104" t="s">
        <v>4536</v>
      </c>
      <c r="L176" s="104" t="s">
        <v>26</v>
      </c>
      <c r="M176" s="104" t="s">
        <v>27</v>
      </c>
      <c r="N176" s="108" t="str">
        <f t="shared" si="1"/>
        <v>URBS 2</v>
      </c>
      <c r="O176" s="109" t="str">
        <f>Cadastro!$O176</f>
        <v>https://monitoramento.pm.pr.gov.br/proxy_image_2/Interface/Cameras/GetJPEGStream?Camera=EX107ACFTV01&amp;AuthUser=copom_DDTQ&amp;AuthPass=DDTQcopom&amp;Width=1024&amp;Height=768&amp;Quality=70&amp;FPS=10&amp;ResponseFormat=Text</v>
      </c>
      <c r="P176" s="106">
        <f>Cadastro!$P176</f>
        <v>1</v>
      </c>
    </row>
    <row r="177">
      <c r="A177" s="104" t="str">
        <f>Cadastro!$A177</f>
        <v>URBS 2</v>
      </c>
      <c r="B177" s="104" t="str">
        <f>Cadastro!$B177</f>
        <v>CURITIBA</v>
      </c>
      <c r="C177" s="107" t="str">
        <f>Cadastro!$C177</f>
        <v>https://monitoramento.pm.pr.gov.br/proxy_image_2/</v>
      </c>
      <c r="D177" s="105">
        <f>Cadastro!$D177</f>
        <v>28601</v>
      </c>
      <c r="E177" s="104" t="str">
        <f>Cadastro!$E177</f>
        <v>EX107CFTV01</v>
      </c>
      <c r="F177" s="104" t="str">
        <f>Cadastro!$F177</f>
        <v>ET Hospital Cajuru &gt; Centenario</v>
      </c>
      <c r="G177" s="104" t="str">
        <f>Cadastro!$G177</f>
        <v>-25.437117</v>
      </c>
      <c r="H177" s="104" t="str">
        <f>Cadastro!$H177</f>
        <v>-49.243699</v>
      </c>
      <c r="I177" s="104" t="str">
        <f>Cadastro!$I177</f>
        <v>copom_DDTQ</v>
      </c>
      <c r="J177" s="104" t="str">
        <f>Cadastro!$J177</f>
        <v>DDTQcopom</v>
      </c>
      <c r="K177" s="104" t="s">
        <v>4536</v>
      </c>
      <c r="L177" s="104" t="s">
        <v>26</v>
      </c>
      <c r="M177" s="104" t="s">
        <v>27</v>
      </c>
      <c r="N177" s="108" t="str">
        <f t="shared" si="1"/>
        <v>URBS 2</v>
      </c>
      <c r="O177" s="109" t="str">
        <f>Cadastro!$O177</f>
        <v>https://monitoramento.pm.pr.gov.br/proxy_image_2/Interface/Cameras/GetJPEGStream?Camera=EX107CFTV01&amp;AuthUser=copom_DDTQ&amp;AuthPass=DDTQcopom&amp;Width=1024&amp;Height=768&amp;Quality=70&amp;FPS=10&amp;ResponseFormat=Text</v>
      </c>
      <c r="P177" s="106">
        <f>Cadastro!$P177</f>
        <v>1</v>
      </c>
    </row>
    <row r="178">
      <c r="A178" s="104" t="str">
        <f>Cadastro!$A178</f>
        <v>URBS 2</v>
      </c>
      <c r="B178" s="104" t="str">
        <f>Cadastro!$B178</f>
        <v>CURITIBA</v>
      </c>
      <c r="C178" s="107" t="str">
        <f>Cadastro!$C178</f>
        <v>https://monitoramento.pm.pr.gov.br/proxy_image_2/</v>
      </c>
      <c r="D178" s="105">
        <f>Cadastro!$D178</f>
        <v>28601</v>
      </c>
      <c r="E178" s="104" t="str">
        <f>Cadastro!$E178</f>
        <v>EX108ACFTV01</v>
      </c>
      <c r="F178" s="104" t="str">
        <f>Cadastro!$F178</f>
        <v>ET Viaduto Capanema&gt; Campo Cumprido</v>
      </c>
      <c r="G178" s="104" t="str">
        <f>Cadastro!$G178</f>
        <v>-25.435552</v>
      </c>
      <c r="H178" s="104" t="str">
        <f>Cadastro!$H178</f>
        <v>-49.250571</v>
      </c>
      <c r="I178" s="104" t="str">
        <f>Cadastro!$I178</f>
        <v>copom_DDTQ</v>
      </c>
      <c r="J178" s="104" t="str">
        <f>Cadastro!$J178</f>
        <v>DDTQcopom</v>
      </c>
      <c r="K178" s="104" t="s">
        <v>4536</v>
      </c>
      <c r="L178" s="104" t="s">
        <v>26</v>
      </c>
      <c r="M178" s="104" t="s">
        <v>27</v>
      </c>
      <c r="N178" s="108" t="str">
        <f t="shared" si="1"/>
        <v>URBS 2</v>
      </c>
      <c r="O178" s="109" t="str">
        <f>Cadastro!$O178</f>
        <v>https://monitoramento.pm.pr.gov.br/proxy_image_2/Interface/Cameras/GetJPEGStream?Camera=EX108ACFTV01&amp;AuthUser=copom_DDTQ&amp;AuthPass=DDTQcopom&amp;Width=1024&amp;Height=768&amp;Quality=70&amp;FPS=10&amp;ResponseFormat=Text</v>
      </c>
      <c r="P178" s="106">
        <f>Cadastro!$P178</f>
        <v>1</v>
      </c>
    </row>
    <row r="179">
      <c r="A179" s="104" t="str">
        <f>Cadastro!$A179</f>
        <v>URBS 2</v>
      </c>
      <c r="B179" s="104" t="str">
        <f>Cadastro!$B179</f>
        <v>CURITIBA</v>
      </c>
      <c r="C179" s="107" t="str">
        <f>Cadastro!$C179</f>
        <v>https://monitoramento.pm.pr.gov.br/proxy_image_2/</v>
      </c>
      <c r="D179" s="105">
        <f>Cadastro!$D179</f>
        <v>28601</v>
      </c>
      <c r="E179" s="104" t="str">
        <f>Cadastro!$E179</f>
        <v>EX108CFTV01</v>
      </c>
      <c r="F179" s="104" t="str">
        <f>Cadastro!$F179</f>
        <v>ET Viaduto Capanema&gt; Centenario</v>
      </c>
      <c r="G179" s="104" t="str">
        <f>Cadastro!$G179</f>
        <v>-25.435643</v>
      </c>
      <c r="H179" s="104" t="str">
        <f>Cadastro!$H179</f>
        <v>-49.250578</v>
      </c>
      <c r="I179" s="104" t="str">
        <f>Cadastro!$I179</f>
        <v>copom_DDTQ</v>
      </c>
      <c r="J179" s="104" t="str">
        <f>Cadastro!$J179</f>
        <v>DDTQcopom</v>
      </c>
      <c r="K179" s="104" t="s">
        <v>4536</v>
      </c>
      <c r="L179" s="104" t="s">
        <v>26</v>
      </c>
      <c r="M179" s="104" t="s">
        <v>27</v>
      </c>
      <c r="N179" s="108" t="str">
        <f t="shared" si="1"/>
        <v>URBS 2</v>
      </c>
      <c r="O179" s="109" t="str">
        <f>Cadastro!$O179</f>
        <v>https://monitoramento.pm.pr.gov.br/proxy_image_2/Interface/Cameras/GetJPEGStream?Camera=EX108CFTV01&amp;AuthUser=copom_DDTQ&amp;AuthPass=DDTQcopom&amp;Width=1024&amp;Height=768&amp;Quality=70&amp;FPS=10&amp;ResponseFormat=Text</v>
      </c>
      <c r="P179" s="106">
        <f>Cadastro!$P179</f>
        <v>1</v>
      </c>
    </row>
    <row r="180">
      <c r="A180" s="104" t="str">
        <f>Cadastro!$A180</f>
        <v>URBS 2</v>
      </c>
      <c r="B180" s="104" t="str">
        <f>Cadastro!$B180</f>
        <v>CURITIBA</v>
      </c>
      <c r="C180" s="107" t="str">
        <f>Cadastro!$C180</f>
        <v>https://monitoramento.pm.pr.gov.br/proxy_image_2/</v>
      </c>
      <c r="D180" s="105">
        <f>Cadastro!$D180</f>
        <v>28601</v>
      </c>
      <c r="E180" s="104" t="str">
        <f>Cadastro!$E180</f>
        <v>EX110CFTV01</v>
      </c>
      <c r="F180" s="104" t="str">
        <f>Cadastro!$F180</f>
        <v>PANE ET Praça Osorio &gt; Campo Cumprido</v>
      </c>
      <c r="G180" s="104" t="str">
        <f>Cadastro!$G180</f>
        <v>-25.433765</v>
      </c>
      <c r="H180" s="104" t="str">
        <f>Cadastro!$H180</f>
        <v>-49.277058</v>
      </c>
      <c r="I180" s="104" t="str">
        <f>Cadastro!$I180</f>
        <v>copom_DDTQ</v>
      </c>
      <c r="J180" s="104" t="str">
        <f>Cadastro!$J180</f>
        <v>DDTQcopom</v>
      </c>
      <c r="K180" s="104" t="s">
        <v>4536</v>
      </c>
      <c r="L180" s="104" t="s">
        <v>26</v>
      </c>
      <c r="M180" s="104" t="s">
        <v>27</v>
      </c>
      <c r="N180" s="108" t="str">
        <f t="shared" si="1"/>
        <v>URBS 2</v>
      </c>
      <c r="O180" s="109" t="str">
        <f>Cadastro!$O180</f>
        <v>https://monitoramento.pm.pr.gov.br/proxy_image_2/Interface/Cameras/GetJPEGStream?Camera=EX110CFTV01&amp;AuthUser=copom_DDTQ&amp;AuthPass=DDTQcopom&amp;Width=1024&amp;Height=768&amp;Quality=70&amp;FPS=10&amp;ResponseFormat=Text</v>
      </c>
      <c r="P180" s="106">
        <f>Cadastro!$P180</f>
        <v>1</v>
      </c>
    </row>
    <row r="181">
      <c r="A181" s="104" t="str">
        <f>Cadastro!$A181</f>
        <v>URBS 2</v>
      </c>
      <c r="B181" s="104" t="str">
        <f>Cadastro!$B181</f>
        <v>CURITIBA</v>
      </c>
      <c r="C181" s="107" t="str">
        <f>Cadastro!$C181</f>
        <v>https://monitoramento.pm.pr.gov.br/proxy_image_2/</v>
      </c>
      <c r="D181" s="105">
        <f>Cadastro!$D181</f>
        <v>28601</v>
      </c>
      <c r="E181" s="104" t="str">
        <f>Cadastro!$E181</f>
        <v>EX110CFTV02</v>
      </c>
      <c r="F181" s="104" t="str">
        <f>Cadastro!$F181</f>
        <v>PANE ET Praça Osorio &gt; Centenario</v>
      </c>
      <c r="G181" s="104" t="str">
        <f>Cadastro!$G181</f>
        <v>-25.433824</v>
      </c>
      <c r="H181" s="104" t="str">
        <f>Cadastro!$H181</f>
        <v>-49.277125</v>
      </c>
      <c r="I181" s="104" t="str">
        <f>Cadastro!$I181</f>
        <v>copom_DDTQ</v>
      </c>
      <c r="J181" s="104" t="str">
        <f>Cadastro!$J181</f>
        <v>DDTQcopom</v>
      </c>
      <c r="K181" s="104" t="s">
        <v>4536</v>
      </c>
      <c r="L181" s="104" t="s">
        <v>26</v>
      </c>
      <c r="M181" s="104" t="s">
        <v>27</v>
      </c>
      <c r="N181" s="108" t="str">
        <f t="shared" si="1"/>
        <v>URBS 2</v>
      </c>
      <c r="O181" s="109" t="str">
        <f>Cadastro!$O181</f>
        <v>https://monitoramento.pm.pr.gov.br/proxy_image_2/Interface/Cameras/GetJPEGStream?Camera=EX110CFTV02&amp;AuthUser=copom_DDTQ&amp;AuthPass=DDTQcopom&amp;Width=1024&amp;Height=768&amp;Quality=70&amp;FPS=10&amp;ResponseFormat=Text</v>
      </c>
      <c r="P181" s="106">
        <f>Cadastro!$P181</f>
        <v>1</v>
      </c>
    </row>
    <row r="182">
      <c r="A182" s="104" t="str">
        <f>Cadastro!$A182</f>
        <v>URBS 2</v>
      </c>
      <c r="B182" s="104" t="str">
        <f>Cadastro!$B182</f>
        <v>CURITIBA</v>
      </c>
      <c r="C182" s="107" t="str">
        <f>Cadastro!$C182</f>
        <v>https://monitoramento.pm.pr.gov.br/proxy_image_2/</v>
      </c>
      <c r="D182" s="105">
        <f>Cadastro!$D182</f>
        <v>28601</v>
      </c>
      <c r="E182" s="104" t="str">
        <f>Cadastro!$E182</f>
        <v>EX111CFTV01</v>
      </c>
      <c r="F182" s="104" t="str">
        <f>Cadastro!$F182</f>
        <v>ET Visconde de Nacar &gt; Centenario</v>
      </c>
      <c r="G182" s="104" t="str">
        <f>Cadastro!$G182</f>
        <v>-25.431371</v>
      </c>
      <c r="H182" s="104" t="str">
        <f>Cadastro!$H182</f>
        <v>-49.278849</v>
      </c>
      <c r="I182" s="104" t="str">
        <f>Cadastro!$I182</f>
        <v>copom_DDTQ</v>
      </c>
      <c r="J182" s="104" t="str">
        <f>Cadastro!$J182</f>
        <v>DDTQcopom</v>
      </c>
      <c r="K182" s="104" t="s">
        <v>4536</v>
      </c>
      <c r="L182" s="104" t="s">
        <v>26</v>
      </c>
      <c r="M182" s="104" t="s">
        <v>27</v>
      </c>
      <c r="N182" s="108" t="str">
        <f t="shared" si="1"/>
        <v>URBS 2</v>
      </c>
      <c r="O182" s="109" t="str">
        <f>Cadastro!$O182</f>
        <v>https://monitoramento.pm.pr.gov.br/proxy_image_2/Interface/Cameras/GetJPEGStream?Camera=EX111CFTV01&amp;AuthUser=copom_DDTQ&amp;AuthPass=DDTQcopom&amp;Width=1024&amp;Height=768&amp;Quality=70&amp;FPS=10&amp;ResponseFormat=Text</v>
      </c>
      <c r="P182" s="106">
        <f>Cadastro!$P182</f>
        <v>1</v>
      </c>
    </row>
    <row r="183">
      <c r="A183" s="104" t="str">
        <f>Cadastro!$A183</f>
        <v>URBS 2</v>
      </c>
      <c r="B183" s="104" t="str">
        <f>Cadastro!$B183</f>
        <v>CURITIBA</v>
      </c>
      <c r="C183" s="107" t="str">
        <f>Cadastro!$C183</f>
        <v>https://monitoramento.pm.pr.gov.br/proxy_image_2/</v>
      </c>
      <c r="D183" s="105">
        <f>Cadastro!$D183</f>
        <v>28601</v>
      </c>
      <c r="E183" s="104" t="str">
        <f>Cadastro!$E183</f>
        <v>EX112CFTV01</v>
      </c>
      <c r="F183" s="104" t="str">
        <f>Cadastro!$F183</f>
        <v>PANE ET Visconde de Nacar &gt; Campo Cumprido</v>
      </c>
      <c r="G183" s="104" t="str">
        <f>Cadastro!$G183</f>
        <v>-25.431276</v>
      </c>
      <c r="H183" s="104" t="str">
        <f>Cadastro!$H183</f>
        <v>-49.278810</v>
      </c>
      <c r="I183" s="104" t="str">
        <f>Cadastro!$I183</f>
        <v>copom_DDTQ</v>
      </c>
      <c r="J183" s="104" t="str">
        <f>Cadastro!$J183</f>
        <v>DDTQcopom</v>
      </c>
      <c r="K183" s="104" t="s">
        <v>4536</v>
      </c>
      <c r="L183" s="104" t="s">
        <v>26</v>
      </c>
      <c r="M183" s="104" t="s">
        <v>27</v>
      </c>
      <c r="N183" s="108" t="str">
        <f t="shared" si="1"/>
        <v>URBS 2</v>
      </c>
      <c r="O183" s="109" t="str">
        <f>Cadastro!$O183</f>
        <v>https://monitoramento.pm.pr.gov.br/proxy_image_2/Interface/Cameras/GetJPEGStream?Camera=EX112CFTV01&amp;AuthUser=copom_DDTQ&amp;AuthPass=DDTQcopom&amp;Width=1024&amp;Height=768&amp;Quality=70&amp;FPS=10&amp;ResponseFormat=Text</v>
      </c>
      <c r="P183" s="106">
        <f>Cadastro!$P183</f>
        <v>1</v>
      </c>
    </row>
    <row r="184">
      <c r="A184" s="104" t="str">
        <f>Cadastro!$A184</f>
        <v>URBS 2</v>
      </c>
      <c r="B184" s="104" t="str">
        <f>Cadastro!$B184</f>
        <v>CURITIBA</v>
      </c>
      <c r="C184" s="107" t="str">
        <f>Cadastro!$C184</f>
        <v>https://monitoramento.pm.pr.gov.br/proxy_image_2/</v>
      </c>
      <c r="D184" s="105">
        <f>Cadastro!$D184</f>
        <v>28601</v>
      </c>
      <c r="E184" s="104" t="str">
        <f>Cadastro!$E184</f>
        <v>EX113CFTV01</v>
      </c>
      <c r="F184" s="104" t="str">
        <f>Cadastro!$F184</f>
        <v>ET Pres. Taunay &gt; C. Cumprido</v>
      </c>
      <c r="G184" s="104" t="str">
        <f>Cadastro!$G184</f>
        <v>-25.428747</v>
      </c>
      <c r="H184" s="104" t="str">
        <f>Cadastro!$H184</f>
        <v>-49.287934</v>
      </c>
      <c r="I184" s="104" t="str">
        <f>Cadastro!$I184</f>
        <v>copom_DDTQ</v>
      </c>
      <c r="J184" s="104" t="str">
        <f>Cadastro!$J184</f>
        <v>DDTQcopom</v>
      </c>
      <c r="K184" s="104" t="s">
        <v>4536</v>
      </c>
      <c r="L184" s="104" t="s">
        <v>26</v>
      </c>
      <c r="M184" s="104" t="s">
        <v>27</v>
      </c>
      <c r="N184" s="108" t="str">
        <f t="shared" si="1"/>
        <v>URBS 2</v>
      </c>
      <c r="O184" s="109" t="str">
        <f>Cadastro!$O184</f>
        <v>https://monitoramento.pm.pr.gov.br/proxy_image_2/Interface/Cameras/GetJPEGStream?Camera=EX113CFTV01&amp;AuthUser=copom_DDTQ&amp;AuthPass=DDTQcopom&amp;Width=1024&amp;Height=768&amp;Quality=70&amp;FPS=10&amp;ResponseFormat=Text</v>
      </c>
      <c r="P184" s="106">
        <f>Cadastro!$P184</f>
        <v>1</v>
      </c>
    </row>
    <row r="185">
      <c r="A185" s="104" t="str">
        <f>Cadastro!$A185</f>
        <v>URBS 2</v>
      </c>
      <c r="B185" s="104" t="str">
        <f>Cadastro!$B185</f>
        <v>CURITIBA</v>
      </c>
      <c r="C185" s="107" t="str">
        <f>Cadastro!$C185</f>
        <v>https://monitoramento.pm.pr.gov.br/proxy_image_2/</v>
      </c>
      <c r="D185" s="105">
        <f>Cadastro!$D185</f>
        <v>28601</v>
      </c>
      <c r="E185" s="104" t="str">
        <f>Cadastro!$E185</f>
        <v>EX113CFTV02</v>
      </c>
      <c r="F185" s="104" t="str">
        <f>Cadastro!$F185</f>
        <v>ET Pres. Taunay &gt; Centenario</v>
      </c>
      <c r="G185" s="104" t="str">
        <f>Cadastro!$G185</f>
        <v>-25.428842</v>
      </c>
      <c r="H185" s="104" t="str">
        <f>Cadastro!$H185</f>
        <v>-49.287969</v>
      </c>
      <c r="I185" s="104" t="str">
        <f>Cadastro!$I185</f>
        <v>copom_DDTQ</v>
      </c>
      <c r="J185" s="104" t="str">
        <f>Cadastro!$J185</f>
        <v>DDTQcopom</v>
      </c>
      <c r="K185" s="104" t="s">
        <v>4536</v>
      </c>
      <c r="L185" s="104" t="s">
        <v>26</v>
      </c>
      <c r="M185" s="104" t="s">
        <v>27</v>
      </c>
      <c r="N185" s="108" t="str">
        <f t="shared" si="1"/>
        <v>URBS 2</v>
      </c>
      <c r="O185" s="109" t="str">
        <f>Cadastro!$O185</f>
        <v>https://monitoramento.pm.pr.gov.br/proxy_image_2/Interface/Cameras/GetJPEGStream?Camera=EX113CFTV02&amp;AuthUser=copom_DDTQ&amp;AuthPass=DDTQcopom&amp;Width=1024&amp;Height=768&amp;Quality=70&amp;FPS=10&amp;ResponseFormat=Text</v>
      </c>
      <c r="P185" s="106">
        <f>Cadastro!$P185</f>
        <v>1</v>
      </c>
    </row>
    <row r="186">
      <c r="A186" s="104" t="str">
        <f>Cadastro!$A186</f>
        <v>URBS 2</v>
      </c>
      <c r="B186" s="104" t="str">
        <f>Cadastro!$B186</f>
        <v>CURITIBA</v>
      </c>
      <c r="C186" s="107" t="str">
        <f>Cadastro!$C186</f>
        <v>https://monitoramento.pm.pr.gov.br/proxy_image_2/</v>
      </c>
      <c r="D186" s="105">
        <f>Cadastro!$D186</f>
        <v>28601</v>
      </c>
      <c r="E186" s="104" t="str">
        <f>Cadastro!$E186</f>
        <v>EX114CFTV01</v>
      </c>
      <c r="F186" s="104" t="str">
        <f>Cadastro!$F186</f>
        <v>PANE ET Praça da Ucrânia &gt; Campo Cumprido</v>
      </c>
      <c r="G186" s="104" t="str">
        <f>Cadastro!$G186</f>
        <v>-25.430332</v>
      </c>
      <c r="H186" s="104" t="str">
        <f>Cadastro!$H186</f>
        <v>-49.292652</v>
      </c>
      <c r="I186" s="104" t="str">
        <f>Cadastro!$I186</f>
        <v>copom_DDTQ</v>
      </c>
      <c r="J186" s="104" t="str">
        <f>Cadastro!$J186</f>
        <v>DDTQcopom</v>
      </c>
      <c r="K186" s="104" t="s">
        <v>4536</v>
      </c>
      <c r="L186" s="104" t="s">
        <v>26</v>
      </c>
      <c r="M186" s="104" t="s">
        <v>27</v>
      </c>
      <c r="N186" s="108" t="str">
        <f t="shared" si="1"/>
        <v>URBS 2</v>
      </c>
      <c r="O186" s="109" t="str">
        <f>Cadastro!$O186</f>
        <v>https://monitoramento.pm.pr.gov.br/proxy_image_2/Interface/Cameras/GetJPEGStream?Camera=EX114CFTV01&amp;AuthUser=copom_DDTQ&amp;AuthPass=DDTQcopom&amp;Width=1024&amp;Height=768&amp;Quality=70&amp;FPS=10&amp;ResponseFormat=Text</v>
      </c>
      <c r="P186" s="106">
        <f>Cadastro!$P186</f>
        <v>1</v>
      </c>
    </row>
    <row r="187">
      <c r="A187" s="104" t="str">
        <f>Cadastro!$A187</f>
        <v>URBS 2</v>
      </c>
      <c r="B187" s="104" t="str">
        <f>Cadastro!$B187</f>
        <v>CURITIBA</v>
      </c>
      <c r="C187" s="107" t="str">
        <f>Cadastro!$C187</f>
        <v>https://monitoramento.pm.pr.gov.br/proxy_image_2/</v>
      </c>
      <c r="D187" s="105">
        <f>Cadastro!$D187</f>
        <v>28601</v>
      </c>
      <c r="E187" s="104" t="str">
        <f>Cadastro!$E187</f>
        <v>EX114CFTV02</v>
      </c>
      <c r="F187" s="104" t="str">
        <f>Cadastro!$F187</f>
        <v>ET Praça da Ucrânia&gt; Centenario</v>
      </c>
      <c r="G187" s="104" t="str">
        <f>Cadastro!$G187</f>
        <v>-25.430416</v>
      </c>
      <c r="H187" s="104" t="str">
        <f>Cadastro!$H187</f>
        <v>-49.292591</v>
      </c>
      <c r="I187" s="104" t="str">
        <f>Cadastro!$I187</f>
        <v>copom_DDTQ</v>
      </c>
      <c r="J187" s="104" t="str">
        <f>Cadastro!$J187</f>
        <v>DDTQcopom</v>
      </c>
      <c r="K187" s="104" t="s">
        <v>4536</v>
      </c>
      <c r="L187" s="104" t="s">
        <v>26</v>
      </c>
      <c r="M187" s="104" t="s">
        <v>27</v>
      </c>
      <c r="N187" s="108" t="str">
        <f t="shared" si="1"/>
        <v>URBS 2</v>
      </c>
      <c r="O187" s="109" t="str">
        <f>Cadastro!$O187</f>
        <v>https://monitoramento.pm.pr.gov.br/proxy_image_2/Interface/Cameras/GetJPEGStream?Camera=EX114CFTV02&amp;AuthUser=copom_DDTQ&amp;AuthPass=DDTQcopom&amp;Width=1024&amp;Height=768&amp;Quality=70&amp;FPS=10&amp;ResponseFormat=Text</v>
      </c>
      <c r="P187" s="106">
        <f>Cadastro!$P187</f>
        <v>1</v>
      </c>
    </row>
    <row r="188">
      <c r="A188" s="104" t="str">
        <f>Cadastro!$A188</f>
        <v>URBS 2</v>
      </c>
      <c r="B188" s="104" t="str">
        <f>Cadastro!$B188</f>
        <v>CURITIBA</v>
      </c>
      <c r="C188" s="107" t="str">
        <f>Cadastro!$C188</f>
        <v>https://monitoramento.pm.pr.gov.br/proxy_image_2/</v>
      </c>
      <c r="D188" s="105">
        <f>Cadastro!$D188</f>
        <v>28601</v>
      </c>
      <c r="E188" s="104" t="str">
        <f>Cadastro!$E188</f>
        <v>EX115CFTV01</v>
      </c>
      <c r="F188" s="104" t="str">
        <f>Cadastro!$F188</f>
        <v>PANE ET Bruno Figueira&gt; Campo Cumprido</v>
      </c>
      <c r="G188" s="104" t="str">
        <f>Cadastro!$G188</f>
        <v>-25.431870</v>
      </c>
      <c r="H188" s="104" t="str">
        <f>Cadastro!$H188</f>
        <v>-49.296547</v>
      </c>
      <c r="I188" s="104" t="str">
        <f>Cadastro!$I188</f>
        <v>copom_DDTQ</v>
      </c>
      <c r="J188" s="104" t="str">
        <f>Cadastro!$J188</f>
        <v>DDTQcopom</v>
      </c>
      <c r="K188" s="104" t="s">
        <v>4536</v>
      </c>
      <c r="L188" s="104" t="s">
        <v>26</v>
      </c>
      <c r="M188" s="104" t="s">
        <v>27</v>
      </c>
      <c r="N188" s="108" t="str">
        <f t="shared" si="1"/>
        <v>URBS 2</v>
      </c>
      <c r="O188" s="109" t="str">
        <f>Cadastro!$O188</f>
        <v>https://monitoramento.pm.pr.gov.br/proxy_image_2/Interface/Cameras/GetJPEGStream?Camera=EX115CFTV01&amp;AuthUser=copom_DDTQ&amp;AuthPass=DDTQcopom&amp;Width=1024&amp;Height=768&amp;Quality=70&amp;FPS=10&amp;ResponseFormat=Text</v>
      </c>
      <c r="P188" s="106">
        <f>Cadastro!$P188</f>
        <v>1</v>
      </c>
    </row>
    <row r="189">
      <c r="A189" s="104" t="str">
        <f>Cadastro!$A189</f>
        <v>URBS 2</v>
      </c>
      <c r="B189" s="104" t="str">
        <f>Cadastro!$B189</f>
        <v>CURITIBA</v>
      </c>
      <c r="C189" s="107" t="str">
        <f>Cadastro!$C189</f>
        <v>https://monitoramento.pm.pr.gov.br/proxy_image_2/</v>
      </c>
      <c r="D189" s="105">
        <f>Cadastro!$D189</f>
        <v>28601</v>
      </c>
      <c r="E189" s="104" t="str">
        <f>Cadastro!$E189</f>
        <v>EX115CFTV02</v>
      </c>
      <c r="F189" s="104" t="str">
        <f>Cadastro!$F189</f>
        <v>PANE ET Bruno Figueira&gt; Centenario</v>
      </c>
      <c r="G189" s="104" t="str">
        <f>Cadastro!$G189</f>
        <v>-25.431967</v>
      </c>
      <c r="H189" s="104" t="str">
        <f>Cadastro!$H189</f>
        <v>-49.296494</v>
      </c>
      <c r="I189" s="104" t="str">
        <f>Cadastro!$I189</f>
        <v>copom_DDTQ</v>
      </c>
      <c r="J189" s="104" t="str">
        <f>Cadastro!$J189</f>
        <v>DDTQcopom</v>
      </c>
      <c r="K189" s="104" t="s">
        <v>4536</v>
      </c>
      <c r="L189" s="104" t="s">
        <v>26</v>
      </c>
      <c r="M189" s="104" t="s">
        <v>27</v>
      </c>
      <c r="N189" s="108" t="str">
        <f t="shared" si="1"/>
        <v>URBS 2</v>
      </c>
      <c r="O189" s="109" t="str">
        <f>Cadastro!$O189</f>
        <v>https://monitoramento.pm.pr.gov.br/proxy_image_2/Interface/Cameras/GetJPEGStream?Camera=EX115CFTV02&amp;AuthUser=copom_DDTQ&amp;AuthPass=DDTQcopom&amp;Width=1024&amp;Height=768&amp;Quality=70&amp;FPS=10&amp;ResponseFormat=Text</v>
      </c>
      <c r="P189" s="106">
        <f>Cadastro!$P189</f>
        <v>1</v>
      </c>
    </row>
    <row r="190">
      <c r="A190" s="104" t="str">
        <f>Cadastro!$A190</f>
        <v>URBS 2</v>
      </c>
      <c r="B190" s="104" t="str">
        <f>Cadastro!$B190</f>
        <v>CURITIBA</v>
      </c>
      <c r="C190" s="107" t="str">
        <f>Cadastro!$C190</f>
        <v>https://monitoramento.pm.pr.gov.br/proxy_image_2/</v>
      </c>
      <c r="D190" s="105">
        <f>Cadastro!$D190</f>
        <v>28601</v>
      </c>
      <c r="E190" s="104" t="str">
        <f>Cadastro!$E190</f>
        <v>EX116CFTV01</v>
      </c>
      <c r="F190" s="104" t="str">
        <f>Cadastro!$F190</f>
        <v>ET Bigorrilho &gt; Campo Cumprido</v>
      </c>
      <c r="G190" s="104" t="str">
        <f>Cadastro!$G190</f>
        <v>-25.433238</v>
      </c>
      <c r="H190" s="104" t="str">
        <f>Cadastro!$H190</f>
        <v>-49.299968</v>
      </c>
      <c r="I190" s="104" t="str">
        <f>Cadastro!$I190</f>
        <v>copom_DDTQ</v>
      </c>
      <c r="J190" s="104" t="str">
        <f>Cadastro!$J190</f>
        <v>DDTQcopom</v>
      </c>
      <c r="K190" s="104" t="s">
        <v>4536</v>
      </c>
      <c r="L190" s="104" t="s">
        <v>26</v>
      </c>
      <c r="M190" s="104" t="s">
        <v>27</v>
      </c>
      <c r="N190" s="108" t="str">
        <f t="shared" si="1"/>
        <v>URBS 2</v>
      </c>
      <c r="O190" s="109" t="str">
        <f>Cadastro!$O190</f>
        <v>https://monitoramento.pm.pr.gov.br/proxy_image_2/Interface/Cameras/GetJPEGStream?Camera=EX116CFTV01&amp;AuthUser=copom_DDTQ&amp;AuthPass=DDTQcopom&amp;Width=1024&amp;Height=768&amp;Quality=70&amp;FPS=10&amp;ResponseFormat=Text</v>
      </c>
      <c r="P190" s="106">
        <f>Cadastro!$P190</f>
        <v>1</v>
      </c>
    </row>
    <row r="191">
      <c r="A191" s="104" t="str">
        <f>Cadastro!$A191</f>
        <v>URBS 2</v>
      </c>
      <c r="B191" s="104" t="str">
        <f>Cadastro!$B191</f>
        <v>CURITIBA</v>
      </c>
      <c r="C191" s="107" t="str">
        <f>Cadastro!$C191</f>
        <v>https://monitoramento.pm.pr.gov.br/proxy_image_2/</v>
      </c>
      <c r="D191" s="105">
        <f>Cadastro!$D191</f>
        <v>28601</v>
      </c>
      <c r="E191" s="104" t="str">
        <f>Cadastro!$E191</f>
        <v>EX116CFTV02</v>
      </c>
      <c r="F191" s="104" t="str">
        <f>Cadastro!$F191</f>
        <v>ET Bigorrilho &gt; Centenario</v>
      </c>
      <c r="G191" s="104" t="str">
        <f>Cadastro!$G191</f>
        <v>-25.433325</v>
      </c>
      <c r="H191" s="104" t="str">
        <f>Cadastro!$H191</f>
        <v>-49.299921</v>
      </c>
      <c r="I191" s="104" t="str">
        <f>Cadastro!$I191</f>
        <v>copom_DDTQ</v>
      </c>
      <c r="J191" s="104" t="str">
        <f>Cadastro!$J191</f>
        <v>DDTQcopom</v>
      </c>
      <c r="K191" s="104" t="s">
        <v>4536</v>
      </c>
      <c r="L191" s="104" t="s">
        <v>26</v>
      </c>
      <c r="M191" s="104" t="s">
        <v>27</v>
      </c>
      <c r="N191" s="108" t="str">
        <f t="shared" si="1"/>
        <v>URBS 2</v>
      </c>
      <c r="O191" s="109" t="str">
        <f>Cadastro!$O191</f>
        <v>https://monitoramento.pm.pr.gov.br/proxy_image_2/Interface/Cameras/GetJPEGStream?Camera=EX116CFTV02&amp;AuthUser=copom_DDTQ&amp;AuthPass=DDTQcopom&amp;Width=1024&amp;Height=768&amp;Quality=70&amp;FPS=10&amp;ResponseFormat=Text</v>
      </c>
      <c r="P191" s="106">
        <f>Cadastro!$P191</f>
        <v>1</v>
      </c>
    </row>
    <row r="192">
      <c r="A192" s="104" t="str">
        <f>Cadastro!$A192</f>
        <v>URBS 2</v>
      </c>
      <c r="B192" s="104" t="str">
        <f>Cadastro!$B192</f>
        <v>CURITIBA</v>
      </c>
      <c r="C192" s="107" t="str">
        <f>Cadastro!$C192</f>
        <v>https://monitoramento.pm.pr.gov.br/proxy_image_2/</v>
      </c>
      <c r="D192" s="105">
        <f>Cadastro!$D192</f>
        <v>28601</v>
      </c>
      <c r="E192" s="104" t="str">
        <f>Cadastro!$E192</f>
        <v>EX117CFTV01</v>
      </c>
      <c r="F192" s="104" t="str">
        <f>Cadastro!$F192</f>
        <v>ET Gastão Câmara &gt; C. Cumprido</v>
      </c>
      <c r="G192" s="104" t="str">
        <f>Cadastro!$G192</f>
        <v>-25.434959</v>
      </c>
      <c r="H192" s="104" t="str">
        <f>Cadastro!$H192</f>
        <v>-49.304371</v>
      </c>
      <c r="I192" s="104" t="str">
        <f>Cadastro!$I192</f>
        <v>copom_DDTQ</v>
      </c>
      <c r="J192" s="104" t="str">
        <f>Cadastro!$J192</f>
        <v>DDTQcopom</v>
      </c>
      <c r="K192" s="104" t="s">
        <v>4536</v>
      </c>
      <c r="L192" s="104" t="s">
        <v>26</v>
      </c>
      <c r="M192" s="104" t="s">
        <v>27</v>
      </c>
      <c r="N192" s="108" t="str">
        <f t="shared" si="1"/>
        <v>URBS 2</v>
      </c>
      <c r="O192" s="109" t="str">
        <f>Cadastro!$O192</f>
        <v>https://monitoramento.pm.pr.gov.br/proxy_image_2/Interface/Cameras/GetJPEGStream?Camera=EX117CFTV01&amp;AuthUser=copom_DDTQ&amp;AuthPass=DDTQcopom&amp;Width=1024&amp;Height=768&amp;Quality=70&amp;FPS=10&amp;ResponseFormat=Text</v>
      </c>
      <c r="P192" s="106">
        <f>Cadastro!$P192</f>
        <v>1</v>
      </c>
    </row>
    <row r="193">
      <c r="A193" s="104" t="str">
        <f>Cadastro!$A193</f>
        <v>URBS 2</v>
      </c>
      <c r="B193" s="104" t="str">
        <f>Cadastro!$B193</f>
        <v>CURITIBA</v>
      </c>
      <c r="C193" s="107" t="str">
        <f>Cadastro!$C193</f>
        <v>https://monitoramento.pm.pr.gov.br/proxy_image_2/</v>
      </c>
      <c r="D193" s="105">
        <f>Cadastro!$D193</f>
        <v>28601</v>
      </c>
      <c r="E193" s="104" t="str">
        <f>Cadastro!$E193</f>
        <v>EX117CFTV02</v>
      </c>
      <c r="F193" s="104" t="str">
        <f>Cadastro!$F193</f>
        <v>ET Gastão Câmara &gt; Centenario</v>
      </c>
      <c r="G193" s="104" t="str">
        <f>Cadastro!$G193</f>
        <v>-25.435046</v>
      </c>
      <c r="H193" s="104" t="str">
        <f>Cadastro!$H193</f>
        <v>-49.304302</v>
      </c>
      <c r="I193" s="104" t="str">
        <f>Cadastro!$I193</f>
        <v>copom_DDTQ</v>
      </c>
      <c r="J193" s="104" t="str">
        <f>Cadastro!$J193</f>
        <v>DDTQcopom</v>
      </c>
      <c r="K193" s="104" t="s">
        <v>4536</v>
      </c>
      <c r="L193" s="104" t="s">
        <v>26</v>
      </c>
      <c r="M193" s="104" t="s">
        <v>27</v>
      </c>
      <c r="N193" s="108" t="str">
        <f t="shared" si="1"/>
        <v>URBS 2</v>
      </c>
      <c r="O193" s="109" t="str">
        <f>Cadastro!$O193</f>
        <v>https://monitoramento.pm.pr.gov.br/proxy_image_2/Interface/Cameras/GetJPEGStream?Camera=EX117CFTV02&amp;AuthUser=copom_DDTQ&amp;AuthPass=DDTQcopom&amp;Width=1024&amp;Height=768&amp;Quality=70&amp;FPS=10&amp;ResponseFormat=Text</v>
      </c>
      <c r="P193" s="106">
        <f>Cadastro!$P193</f>
        <v>1</v>
      </c>
    </row>
    <row r="194">
      <c r="A194" s="104" t="str">
        <f>Cadastro!$A194</f>
        <v>URBS 2</v>
      </c>
      <c r="B194" s="104" t="str">
        <f>Cadastro!$B194</f>
        <v>CURITIBA</v>
      </c>
      <c r="C194" s="107" t="str">
        <f>Cadastro!$C194</f>
        <v>https://monitoramento.pm.pr.gov.br/proxy_image_2/</v>
      </c>
      <c r="D194" s="105">
        <f>Cadastro!$D194</f>
        <v>28601</v>
      </c>
      <c r="E194" s="104" t="str">
        <f>Cadastro!$E194</f>
        <v>EX125CFTV01</v>
      </c>
      <c r="F194" s="104" t="str">
        <f>Cadastro!$F194</f>
        <v>ET Vila São Pedro &gt; Centro</v>
      </c>
      <c r="G194" s="104" t="str">
        <f>Cadastro!$G194</f>
        <v>-25.506868</v>
      </c>
      <c r="H194" s="104" t="str">
        <f>Cadastro!$H194</f>
        <v>-49.284316</v>
      </c>
      <c r="I194" s="104" t="str">
        <f>Cadastro!$I194</f>
        <v>copom_DDTQ</v>
      </c>
      <c r="J194" s="104" t="str">
        <f>Cadastro!$J194</f>
        <v>DDTQcopom</v>
      </c>
      <c r="K194" s="104" t="s">
        <v>4536</v>
      </c>
      <c r="L194" s="104" t="s">
        <v>26</v>
      </c>
      <c r="M194" s="104" t="s">
        <v>27</v>
      </c>
      <c r="N194" s="108" t="str">
        <f t="shared" si="1"/>
        <v>URBS 2</v>
      </c>
      <c r="O194" s="109" t="str">
        <f>Cadastro!$O194</f>
        <v>https://monitoramento.pm.pr.gov.br/proxy_image_2/Interface/Cameras/GetJPEGStream?Camera=EX125CFTV01&amp;AuthUser=copom_DDTQ&amp;AuthPass=DDTQcopom&amp;Width=1024&amp;Height=768&amp;Quality=70&amp;FPS=10&amp;ResponseFormat=Text</v>
      </c>
      <c r="P194" s="106">
        <f>Cadastro!$P194</f>
        <v>1</v>
      </c>
    </row>
    <row r="195">
      <c r="A195" s="104" t="str">
        <f>Cadastro!$A195</f>
        <v>URBS 2</v>
      </c>
      <c r="B195" s="104" t="str">
        <f>Cadastro!$B195</f>
        <v>CURITIBA</v>
      </c>
      <c r="C195" s="107" t="str">
        <f>Cadastro!$C195</f>
        <v>https://monitoramento.pm.pr.gov.br/proxy_image_2/</v>
      </c>
      <c r="D195" s="105">
        <f>Cadastro!$D195</f>
        <v>28601</v>
      </c>
      <c r="E195" s="104" t="str">
        <f>Cadastro!$E195</f>
        <v>EX125CFTV02</v>
      </c>
      <c r="F195" s="104" t="str">
        <f>Cadastro!$F195</f>
        <v>ET Vila São Pedro &gt; Centro</v>
      </c>
      <c r="G195" s="104" t="str">
        <f>Cadastro!$G195</f>
        <v>-25.506769</v>
      </c>
      <c r="H195" s="104" t="str">
        <f>Cadastro!$H195</f>
        <v>-49.284221</v>
      </c>
      <c r="I195" s="104" t="str">
        <f>Cadastro!$I195</f>
        <v>copom_DDTQ</v>
      </c>
      <c r="J195" s="104" t="str">
        <f>Cadastro!$J195</f>
        <v>DDTQcopom</v>
      </c>
      <c r="K195" s="104" t="s">
        <v>4536</v>
      </c>
      <c r="L195" s="104" t="s">
        <v>26</v>
      </c>
      <c r="M195" s="104" t="s">
        <v>27</v>
      </c>
      <c r="N195" s="108" t="str">
        <f t="shared" si="1"/>
        <v>URBS 2</v>
      </c>
      <c r="O195" s="109" t="str">
        <f>Cadastro!$O195</f>
        <v>https://monitoramento.pm.pr.gov.br/proxy_image_2/Interface/Cameras/GetJPEGStream?Camera=EX125CFTV02&amp;AuthUser=copom_DDTQ&amp;AuthPass=DDTQcopom&amp;Width=1024&amp;Height=768&amp;Quality=70&amp;FPS=10&amp;ResponseFormat=Text</v>
      </c>
      <c r="P195" s="106">
        <f>Cadastro!$P195</f>
        <v>1</v>
      </c>
    </row>
    <row r="196">
      <c r="A196" s="104" t="str">
        <f>Cadastro!$A196</f>
        <v>URBS 2</v>
      </c>
      <c r="B196" s="104" t="str">
        <f>Cadastro!$B196</f>
        <v>CURITIBA</v>
      </c>
      <c r="C196" s="107" t="str">
        <f>Cadastro!$C196</f>
        <v>https://monitoramento.pm.pr.gov.br/proxy_image_2/</v>
      </c>
      <c r="D196" s="105">
        <f>Cadastro!$D196</f>
        <v>28601</v>
      </c>
      <c r="E196" s="104" t="str">
        <f>Cadastro!$E196</f>
        <v>EX125CFTV03</v>
      </c>
      <c r="F196" s="104" t="str">
        <f>Cadastro!$F196</f>
        <v>ET Vila São Pedro &gt; Centro</v>
      </c>
      <c r="G196" s="104" t="str">
        <f>Cadastro!$G196</f>
        <v>-25.506823</v>
      </c>
      <c r="H196" s="104" t="str">
        <f>Cadastro!$H196</f>
        <v>-49.284310</v>
      </c>
      <c r="I196" s="104" t="str">
        <f>Cadastro!$I196</f>
        <v>copom_DDTQ</v>
      </c>
      <c r="J196" s="104" t="str">
        <f>Cadastro!$J196</f>
        <v>DDTQcopom</v>
      </c>
      <c r="K196" s="104" t="s">
        <v>4536</v>
      </c>
      <c r="L196" s="104" t="s">
        <v>26</v>
      </c>
      <c r="M196" s="104" t="s">
        <v>27</v>
      </c>
      <c r="N196" s="108" t="str">
        <f t="shared" si="1"/>
        <v>URBS 2</v>
      </c>
      <c r="O196" s="109" t="str">
        <f>Cadastro!$O196</f>
        <v>https://monitoramento.pm.pr.gov.br/proxy_image_2/Interface/Cameras/GetJPEGStream?Camera=EX125CFTV03&amp;AuthUser=copom_DDTQ&amp;AuthPass=DDTQcopom&amp;Width=1024&amp;Height=768&amp;Quality=70&amp;FPS=10&amp;ResponseFormat=Text</v>
      </c>
      <c r="P196" s="106">
        <f>Cadastro!$P196</f>
        <v>1</v>
      </c>
    </row>
    <row r="197">
      <c r="A197" s="104" t="str">
        <f>Cadastro!$A197</f>
        <v>URBS 2</v>
      </c>
      <c r="B197" s="104" t="str">
        <f>Cadastro!$B197</f>
        <v>CURITIBA</v>
      </c>
      <c r="C197" s="107" t="str">
        <f>Cadastro!$C197</f>
        <v>https://monitoramento.pm.pr.gov.br/proxy_image_2/</v>
      </c>
      <c r="D197" s="105">
        <f>Cadastro!$D197</f>
        <v>28601</v>
      </c>
      <c r="E197" s="104" t="str">
        <f>Cadastro!$E197</f>
        <v>EX125CFTV04</v>
      </c>
      <c r="F197" s="104" t="str">
        <f>Cadastro!$F197</f>
        <v>ET Vila São Pedro &gt; Centro</v>
      </c>
      <c r="G197" s="104" t="str">
        <f>Cadastro!$G197</f>
        <v>-25.506702</v>
      </c>
      <c r="H197" s="104" t="str">
        <f>Cadastro!$H197</f>
        <v>-49.284211</v>
      </c>
      <c r="I197" s="104" t="str">
        <f>Cadastro!$I197</f>
        <v>copom_DDTQ</v>
      </c>
      <c r="J197" s="104" t="str">
        <f>Cadastro!$J197</f>
        <v>DDTQcopom</v>
      </c>
      <c r="K197" s="104" t="s">
        <v>4536</v>
      </c>
      <c r="L197" s="104" t="s">
        <v>26</v>
      </c>
      <c r="M197" s="104" t="s">
        <v>27</v>
      </c>
      <c r="N197" s="108" t="str">
        <f t="shared" si="1"/>
        <v>URBS 2</v>
      </c>
      <c r="O197" s="109" t="str">
        <f>Cadastro!$O197</f>
        <v>https://monitoramento.pm.pr.gov.br/proxy_image_2/Interface/Cameras/GetJPEGStream?Camera=EX125CFTV04&amp;AuthUser=copom_DDTQ&amp;AuthPass=DDTQcopom&amp;Width=1024&amp;Height=768&amp;Quality=70&amp;FPS=10&amp;ResponseFormat=Text</v>
      </c>
      <c r="P197" s="106">
        <f>Cadastro!$P197</f>
        <v>1</v>
      </c>
    </row>
    <row r="198">
      <c r="A198" s="104" t="str">
        <f>Cadastro!$A198</f>
        <v>URBS 2</v>
      </c>
      <c r="B198" s="104" t="str">
        <f>Cadastro!$B198</f>
        <v>CURITIBA</v>
      </c>
      <c r="C198" s="107" t="str">
        <f>Cadastro!$C198</f>
        <v>https://monitoramento.pm.pr.gov.br/proxy_image_2/</v>
      </c>
      <c r="D198" s="105">
        <f>Cadastro!$D198</f>
        <v>28601</v>
      </c>
      <c r="E198" s="104" t="str">
        <f>Cadastro!$E198</f>
        <v>EX126CFTV01</v>
      </c>
      <c r="F198" s="104" t="str">
        <f>Cadastro!$F198</f>
        <v>ET Vila São Pedro &gt; Pinheirinho</v>
      </c>
      <c r="G198" s="104" t="str">
        <f>Cadastro!$G198</f>
        <v>-25.506744</v>
      </c>
      <c r="H198" s="104" t="str">
        <f>Cadastro!$H198</f>
        <v>-49.284467</v>
      </c>
      <c r="I198" s="104" t="str">
        <f>Cadastro!$I198</f>
        <v>copom_DDTQ</v>
      </c>
      <c r="J198" s="104" t="str">
        <f>Cadastro!$J198</f>
        <v>DDTQcopom</v>
      </c>
      <c r="K198" s="104" t="s">
        <v>4536</v>
      </c>
      <c r="L198" s="104" t="s">
        <v>26</v>
      </c>
      <c r="M198" s="104" t="s">
        <v>27</v>
      </c>
      <c r="N198" s="108" t="str">
        <f t="shared" si="1"/>
        <v>URBS 2</v>
      </c>
      <c r="O198" s="109" t="str">
        <f>Cadastro!$O198</f>
        <v>https://monitoramento.pm.pr.gov.br/proxy_image_2/Interface/Cameras/GetJPEGStream?Camera=EX126CFTV01&amp;AuthUser=copom_DDTQ&amp;AuthPass=DDTQcopom&amp;Width=1024&amp;Height=768&amp;Quality=70&amp;FPS=10&amp;ResponseFormat=Text</v>
      </c>
      <c r="P198" s="106">
        <f>Cadastro!$P198</f>
        <v>1</v>
      </c>
    </row>
    <row r="199">
      <c r="A199" s="104" t="str">
        <f>Cadastro!$A199</f>
        <v>URBS 2</v>
      </c>
      <c r="B199" s="104" t="str">
        <f>Cadastro!$B199</f>
        <v>CURITIBA</v>
      </c>
      <c r="C199" s="107" t="str">
        <f>Cadastro!$C199</f>
        <v>https://monitoramento.pm.pr.gov.br/proxy_image_2/</v>
      </c>
      <c r="D199" s="105">
        <f>Cadastro!$D199</f>
        <v>28601</v>
      </c>
      <c r="E199" s="104" t="str">
        <f>Cadastro!$E199</f>
        <v>EX126CFTV02</v>
      </c>
      <c r="F199" s="104" t="str">
        <f>Cadastro!$F199</f>
        <v>ET Vila São Pedro &gt; Pinheirinho</v>
      </c>
      <c r="G199" s="104" t="str">
        <f>Cadastro!$G199</f>
        <v>-25.506631</v>
      </c>
      <c r="H199" s="104" t="str">
        <f>Cadastro!$H199</f>
        <v>-49.284380</v>
      </c>
      <c r="I199" s="104" t="str">
        <f>Cadastro!$I199</f>
        <v>copom_DDTQ</v>
      </c>
      <c r="J199" s="104" t="str">
        <f>Cadastro!$J199</f>
        <v>DDTQcopom</v>
      </c>
      <c r="K199" s="104" t="s">
        <v>4536</v>
      </c>
      <c r="L199" s="104" t="s">
        <v>26</v>
      </c>
      <c r="M199" s="104" t="s">
        <v>27</v>
      </c>
      <c r="N199" s="108" t="str">
        <f t="shared" si="1"/>
        <v>URBS 2</v>
      </c>
      <c r="O199" s="109" t="str">
        <f>Cadastro!$O199</f>
        <v>https://monitoramento.pm.pr.gov.br/proxy_image_2/Interface/Cameras/GetJPEGStream?Camera=EX126CFTV02&amp;AuthUser=copom_DDTQ&amp;AuthPass=DDTQcopom&amp;Width=1024&amp;Height=768&amp;Quality=70&amp;FPS=10&amp;ResponseFormat=Text</v>
      </c>
      <c r="P199" s="106">
        <f>Cadastro!$P199</f>
        <v>1</v>
      </c>
    </row>
    <row r="200">
      <c r="A200" s="104" t="str">
        <f>Cadastro!$A200</f>
        <v>URBS 2</v>
      </c>
      <c r="B200" s="104" t="str">
        <f>Cadastro!$B200</f>
        <v>CURITIBA</v>
      </c>
      <c r="C200" s="107" t="str">
        <f>Cadastro!$C200</f>
        <v>https://monitoramento.pm.pr.gov.br/proxy_image_2/</v>
      </c>
      <c r="D200" s="105">
        <f>Cadastro!$D200</f>
        <v>28601</v>
      </c>
      <c r="E200" s="104" t="str">
        <f>Cadastro!$E200</f>
        <v>EX126CFTV03</v>
      </c>
      <c r="F200" s="104" t="str">
        <f>Cadastro!$F200</f>
        <v>ET Vila São Pedro &gt; Pinheirinho</v>
      </c>
      <c r="G200" s="104" t="str">
        <f>Cadastro!$G200</f>
        <v>-25.506745</v>
      </c>
      <c r="H200" s="104" t="str">
        <f>Cadastro!$H200</f>
        <v>-49.284515</v>
      </c>
      <c r="I200" s="104" t="str">
        <f>Cadastro!$I200</f>
        <v>copom_DDTQ</v>
      </c>
      <c r="J200" s="104" t="str">
        <f>Cadastro!$J200</f>
        <v>DDTQcopom</v>
      </c>
      <c r="K200" s="104" t="s">
        <v>4536</v>
      </c>
      <c r="L200" s="104" t="s">
        <v>26</v>
      </c>
      <c r="M200" s="104" t="s">
        <v>27</v>
      </c>
      <c r="N200" s="108" t="str">
        <f t="shared" si="1"/>
        <v>URBS 2</v>
      </c>
      <c r="O200" s="109" t="str">
        <f>Cadastro!$O200</f>
        <v>https://monitoramento.pm.pr.gov.br/proxy_image_2/Interface/Cameras/GetJPEGStream?Camera=EX126CFTV03&amp;AuthUser=copom_DDTQ&amp;AuthPass=DDTQcopom&amp;Width=1024&amp;Height=768&amp;Quality=70&amp;FPS=10&amp;ResponseFormat=Text</v>
      </c>
      <c r="P200" s="106">
        <f>Cadastro!$P200</f>
        <v>1</v>
      </c>
    </row>
    <row r="201">
      <c r="A201" s="104" t="str">
        <f>Cadastro!$A201</f>
        <v>URBS 2</v>
      </c>
      <c r="B201" s="104" t="str">
        <f>Cadastro!$B201</f>
        <v>CURITIBA</v>
      </c>
      <c r="C201" s="107" t="str">
        <f>Cadastro!$C201</f>
        <v>https://monitoramento.pm.pr.gov.br/proxy_image_2/</v>
      </c>
      <c r="D201" s="105">
        <f>Cadastro!$D201</f>
        <v>28601</v>
      </c>
      <c r="E201" s="104" t="str">
        <f>Cadastro!$E201</f>
        <v>EX126CFTV04</v>
      </c>
      <c r="F201" s="104" t="str">
        <f>Cadastro!$F201</f>
        <v>ET Vila São Pedro &gt; Pinheirinho</v>
      </c>
      <c r="G201" s="104" t="str">
        <f>Cadastro!$G201</f>
        <v>-25.506628</v>
      </c>
      <c r="H201" s="104" t="str">
        <f>Cadastro!$H201</f>
        <v>-49.284419</v>
      </c>
      <c r="I201" s="104" t="str">
        <f>Cadastro!$I201</f>
        <v>copom_DDTQ</v>
      </c>
      <c r="J201" s="104" t="str">
        <f>Cadastro!$J201</f>
        <v>DDTQcopom</v>
      </c>
      <c r="K201" s="104" t="s">
        <v>4536</v>
      </c>
      <c r="L201" s="104" t="s">
        <v>26</v>
      </c>
      <c r="M201" s="104" t="s">
        <v>27</v>
      </c>
      <c r="N201" s="108" t="str">
        <f t="shared" si="1"/>
        <v>URBS 2</v>
      </c>
      <c r="O201" s="109" t="str">
        <f>Cadastro!$O201</f>
        <v>https://monitoramento.pm.pr.gov.br/proxy_image_2/Interface/Cameras/GetJPEGStream?Camera=EX126CFTV04&amp;AuthUser=copom_DDTQ&amp;AuthPass=DDTQcopom&amp;Width=1024&amp;Height=768&amp;Quality=70&amp;FPS=10&amp;ResponseFormat=Text</v>
      </c>
      <c r="P201" s="106">
        <f>Cadastro!$P201</f>
        <v>1</v>
      </c>
    </row>
    <row r="202">
      <c r="A202" s="104" t="str">
        <f>Cadastro!$A202</f>
        <v>URBS 2</v>
      </c>
      <c r="B202" s="104" t="str">
        <f>Cadastro!$B202</f>
        <v>CURITIBA</v>
      </c>
      <c r="C202" s="107" t="str">
        <f>Cadastro!$C202</f>
        <v>https://monitoramento.pm.pr.gov.br/proxy_image_2/</v>
      </c>
      <c r="D202" s="105">
        <f>Cadastro!$D202</f>
        <v>28601</v>
      </c>
      <c r="E202" s="104" t="str">
        <f>Cadastro!$E202</f>
        <v>EX127CFTV01</v>
      </c>
      <c r="F202" s="104" t="str">
        <f>Cadastro!$F202</f>
        <v>ET Xaxim &gt; Centro</v>
      </c>
      <c r="G202" s="104" t="str">
        <f>Cadastro!$G202</f>
        <v>-25.496770</v>
      </c>
      <c r="H202" s="104" t="str">
        <f>Cadastro!$H202</f>
        <v>-49.276235</v>
      </c>
      <c r="I202" s="104" t="str">
        <f>Cadastro!$I202</f>
        <v>copom_DDTQ</v>
      </c>
      <c r="J202" s="104" t="str">
        <f>Cadastro!$J202</f>
        <v>DDTQcopom</v>
      </c>
      <c r="K202" s="104" t="s">
        <v>4536</v>
      </c>
      <c r="L202" s="104" t="s">
        <v>26</v>
      </c>
      <c r="M202" s="104" t="s">
        <v>27</v>
      </c>
      <c r="N202" s="108" t="str">
        <f t="shared" si="1"/>
        <v>URBS 2</v>
      </c>
      <c r="O202" s="109" t="str">
        <f>Cadastro!$O202</f>
        <v>https://monitoramento.pm.pr.gov.br/proxy_image_2/Interface/Cameras/GetJPEGStream?Camera=EX127CFTV01&amp;AuthUser=copom_DDTQ&amp;AuthPass=DDTQcopom&amp;Width=1024&amp;Height=768&amp;Quality=70&amp;FPS=10&amp;ResponseFormat=Text</v>
      </c>
      <c r="P202" s="106">
        <f>Cadastro!$P202</f>
        <v>1</v>
      </c>
    </row>
    <row r="203">
      <c r="A203" s="104" t="str">
        <f>Cadastro!$A203</f>
        <v>URBS 2</v>
      </c>
      <c r="B203" s="104" t="str">
        <f>Cadastro!$B203</f>
        <v>CURITIBA</v>
      </c>
      <c r="C203" s="107" t="str">
        <f>Cadastro!$C203</f>
        <v>https://monitoramento.pm.pr.gov.br/proxy_image_2/</v>
      </c>
      <c r="D203" s="105">
        <f>Cadastro!$D203</f>
        <v>28601</v>
      </c>
      <c r="E203" s="104" t="str">
        <f>Cadastro!$E203</f>
        <v>EX127CFTV02</v>
      </c>
      <c r="F203" s="104" t="str">
        <f>Cadastro!$F203</f>
        <v>ET Xaxim &gt; Centro</v>
      </c>
      <c r="G203" s="104" t="str">
        <f>Cadastro!$G203</f>
        <v>-25.496667</v>
      </c>
      <c r="H203" s="104" t="str">
        <f>Cadastro!$H203</f>
        <v>-49.276114</v>
      </c>
      <c r="I203" s="104" t="str">
        <f>Cadastro!$I203</f>
        <v>copom_DDTQ</v>
      </c>
      <c r="J203" s="104" t="str">
        <f>Cadastro!$J203</f>
        <v>DDTQcopom</v>
      </c>
      <c r="K203" s="104" t="s">
        <v>4536</v>
      </c>
      <c r="L203" s="104" t="s">
        <v>26</v>
      </c>
      <c r="M203" s="104" t="s">
        <v>27</v>
      </c>
      <c r="N203" s="108" t="str">
        <f t="shared" si="1"/>
        <v>URBS 2</v>
      </c>
      <c r="O203" s="109" t="str">
        <f>Cadastro!$O203</f>
        <v>https://monitoramento.pm.pr.gov.br/proxy_image_2/Interface/Cameras/GetJPEGStream?Camera=EX127CFTV02&amp;AuthUser=copom_DDTQ&amp;AuthPass=DDTQcopom&amp;Width=1024&amp;Height=768&amp;Quality=70&amp;FPS=10&amp;ResponseFormat=Text</v>
      </c>
      <c r="P203" s="106">
        <f>Cadastro!$P203</f>
        <v>1</v>
      </c>
    </row>
    <row r="204">
      <c r="A204" s="104" t="str">
        <f>Cadastro!$A204</f>
        <v>URBS 2</v>
      </c>
      <c r="B204" s="104" t="str">
        <f>Cadastro!$B204</f>
        <v>CURITIBA</v>
      </c>
      <c r="C204" s="107" t="str">
        <f>Cadastro!$C204</f>
        <v>https://monitoramento.pm.pr.gov.br/proxy_image_2/</v>
      </c>
      <c r="D204" s="105">
        <f>Cadastro!$D204</f>
        <v>28601</v>
      </c>
      <c r="E204" s="104" t="str">
        <f>Cadastro!$E204</f>
        <v>EX127CFTV03</v>
      </c>
      <c r="F204" s="104" t="str">
        <f>Cadastro!$F204</f>
        <v>ET Xaxim &gt; Centro</v>
      </c>
      <c r="G204" s="104" t="str">
        <f>Cadastro!$G204</f>
        <v>-25.496667</v>
      </c>
      <c r="H204" s="104" t="str">
        <f>Cadastro!$H204</f>
        <v>-49.276160</v>
      </c>
      <c r="I204" s="104" t="str">
        <f>Cadastro!$I204</f>
        <v>copom_DDTQ</v>
      </c>
      <c r="J204" s="104" t="str">
        <f>Cadastro!$J204</f>
        <v>DDTQcopom</v>
      </c>
      <c r="K204" s="104" t="s">
        <v>4536</v>
      </c>
      <c r="L204" s="104" t="s">
        <v>26</v>
      </c>
      <c r="M204" s="104" t="s">
        <v>27</v>
      </c>
      <c r="N204" s="108" t="str">
        <f t="shared" si="1"/>
        <v>URBS 2</v>
      </c>
      <c r="O204" s="109" t="str">
        <f>Cadastro!$O204</f>
        <v>https://monitoramento.pm.pr.gov.br/proxy_image_2/Interface/Cameras/GetJPEGStream?Camera=EX127CFTV03&amp;AuthUser=copom_DDTQ&amp;AuthPass=DDTQcopom&amp;Width=1024&amp;Height=768&amp;Quality=70&amp;FPS=10&amp;ResponseFormat=Text</v>
      </c>
      <c r="P204" s="106">
        <f>Cadastro!$P204</f>
        <v>1</v>
      </c>
    </row>
    <row r="205">
      <c r="A205" s="104" t="str">
        <f>Cadastro!$A205</f>
        <v>URBS 2</v>
      </c>
      <c r="B205" s="104" t="str">
        <f>Cadastro!$B205</f>
        <v>CURITIBA</v>
      </c>
      <c r="C205" s="107" t="str">
        <f>Cadastro!$C205</f>
        <v>https://monitoramento.pm.pr.gov.br/proxy_image_2/</v>
      </c>
      <c r="D205" s="105">
        <f>Cadastro!$D205</f>
        <v>28601</v>
      </c>
      <c r="E205" s="104" t="str">
        <f>Cadastro!$E205</f>
        <v>EX127CFTV04</v>
      </c>
      <c r="F205" s="104" t="str">
        <f>Cadastro!$F205</f>
        <v>PANE ET Xaxim &gt; Centro</v>
      </c>
      <c r="G205" s="104" t="str">
        <f>Cadastro!$G205</f>
        <v>-25.496667</v>
      </c>
      <c r="H205" s="104" t="str">
        <f>Cadastro!$H205</f>
        <v>-49.276161</v>
      </c>
      <c r="I205" s="104" t="str">
        <f>Cadastro!$I205</f>
        <v>copom_DDTQ</v>
      </c>
      <c r="J205" s="104" t="str">
        <f>Cadastro!$J205</f>
        <v>DDTQcopom</v>
      </c>
      <c r="K205" s="104" t="s">
        <v>4536</v>
      </c>
      <c r="L205" s="104" t="s">
        <v>26</v>
      </c>
      <c r="M205" s="104" t="s">
        <v>27</v>
      </c>
      <c r="N205" s="108" t="str">
        <f t="shared" si="1"/>
        <v>URBS 2</v>
      </c>
      <c r="O205" s="109" t="str">
        <f>Cadastro!$O205</f>
        <v>https://monitoramento.pm.pr.gov.br/proxy_image_2/Interface/Cameras/GetJPEGStream?Camera=EX127CFTV04&amp;AuthUser=copom_DDTQ&amp;AuthPass=DDTQcopom&amp;Width=1024&amp;Height=768&amp;Quality=70&amp;FPS=10&amp;ResponseFormat=Text</v>
      </c>
      <c r="P205" s="106">
        <f>Cadastro!$P205</f>
        <v>1</v>
      </c>
    </row>
    <row r="206">
      <c r="A206" s="104" t="str">
        <f>Cadastro!$A206</f>
        <v>URBS 2</v>
      </c>
      <c r="B206" s="104" t="str">
        <f>Cadastro!$B206</f>
        <v>CURITIBA</v>
      </c>
      <c r="C206" s="107" t="str">
        <f>Cadastro!$C206</f>
        <v>https://monitoramento.pm.pr.gov.br/proxy_image_2/</v>
      </c>
      <c r="D206" s="105">
        <f>Cadastro!$D206</f>
        <v>28601</v>
      </c>
      <c r="E206" s="104" t="str">
        <f>Cadastro!$E206</f>
        <v>EX128CFTV01</v>
      </c>
      <c r="F206" s="104" t="str">
        <f>Cadastro!$F206</f>
        <v>ET Xaxim &gt; Pinheirinho</v>
      </c>
      <c r="G206" s="104" t="str">
        <f>Cadastro!$G206</f>
        <v>-25.496561</v>
      </c>
      <c r="H206" s="104" t="str">
        <f>Cadastro!$H206</f>
        <v>-49.276298</v>
      </c>
      <c r="I206" s="104" t="str">
        <f>Cadastro!$I206</f>
        <v>copom_DDTQ</v>
      </c>
      <c r="J206" s="104" t="str">
        <f>Cadastro!$J206</f>
        <v>DDTQcopom</v>
      </c>
      <c r="K206" s="104" t="s">
        <v>4536</v>
      </c>
      <c r="L206" s="104" t="s">
        <v>26</v>
      </c>
      <c r="M206" s="104" t="s">
        <v>27</v>
      </c>
      <c r="N206" s="108" t="str">
        <f t="shared" si="1"/>
        <v>URBS 2</v>
      </c>
      <c r="O206" s="109" t="str">
        <f>Cadastro!$O206</f>
        <v>https://monitoramento.pm.pr.gov.br/proxy_image_2/Interface/Cameras/GetJPEGStream?Camera=EX128CFTV01&amp;AuthUser=copom_DDTQ&amp;AuthPass=DDTQcopom&amp;Width=1024&amp;Height=768&amp;Quality=70&amp;FPS=10&amp;ResponseFormat=Text</v>
      </c>
      <c r="P206" s="106">
        <f>Cadastro!$P206</f>
        <v>1</v>
      </c>
    </row>
    <row r="207">
      <c r="A207" s="104" t="str">
        <f>Cadastro!$A207</f>
        <v>URBS 2</v>
      </c>
      <c r="B207" s="104" t="str">
        <f>Cadastro!$B207</f>
        <v>CURITIBA</v>
      </c>
      <c r="C207" s="107" t="str">
        <f>Cadastro!$C207</f>
        <v>https://monitoramento.pm.pr.gov.br/proxy_image_2/</v>
      </c>
      <c r="D207" s="105">
        <f>Cadastro!$D207</f>
        <v>28601</v>
      </c>
      <c r="E207" s="104" t="str">
        <f>Cadastro!$E207</f>
        <v>EX128CFTV02</v>
      </c>
      <c r="F207" s="104" t="str">
        <f>Cadastro!$F207</f>
        <v>ET Xaxim &gt; Pinheirinho</v>
      </c>
      <c r="G207" s="104" t="str">
        <f>Cadastro!$G207</f>
        <v>-25.496644</v>
      </c>
      <c r="H207" s="104" t="str">
        <f>Cadastro!$H207</f>
        <v>-49.276367</v>
      </c>
      <c r="I207" s="104" t="str">
        <f>Cadastro!$I207</f>
        <v>copom_DDTQ</v>
      </c>
      <c r="J207" s="104" t="str">
        <f>Cadastro!$J207</f>
        <v>DDTQcopom</v>
      </c>
      <c r="K207" s="104" t="s">
        <v>4536</v>
      </c>
      <c r="L207" s="104" t="s">
        <v>26</v>
      </c>
      <c r="M207" s="104" t="s">
        <v>27</v>
      </c>
      <c r="N207" s="108" t="str">
        <f t="shared" si="1"/>
        <v>URBS 2</v>
      </c>
      <c r="O207" s="109" t="str">
        <f>Cadastro!$O207</f>
        <v>https://monitoramento.pm.pr.gov.br/proxy_image_2/Interface/Cameras/GetJPEGStream?Camera=EX128CFTV02&amp;AuthUser=copom_DDTQ&amp;AuthPass=DDTQcopom&amp;Width=1024&amp;Height=768&amp;Quality=70&amp;FPS=10&amp;ResponseFormat=Text</v>
      </c>
      <c r="P207" s="106">
        <f>Cadastro!$P207</f>
        <v>1</v>
      </c>
    </row>
    <row r="208">
      <c r="A208" s="104" t="str">
        <f>Cadastro!$A208</f>
        <v>URBS 2</v>
      </c>
      <c r="B208" s="104" t="str">
        <f>Cadastro!$B208</f>
        <v>CURITIBA</v>
      </c>
      <c r="C208" s="107" t="str">
        <f>Cadastro!$C208</f>
        <v>https://monitoramento.pm.pr.gov.br/proxy_image_2/</v>
      </c>
      <c r="D208" s="105">
        <f>Cadastro!$D208</f>
        <v>28601</v>
      </c>
      <c r="E208" s="104" t="str">
        <f>Cadastro!$E208</f>
        <v>EX128CFTV03</v>
      </c>
      <c r="F208" s="104" t="str">
        <f>Cadastro!$F208</f>
        <v>ET Xaxim &gt; Pinheirinho</v>
      </c>
      <c r="G208" s="104" t="str">
        <f>Cadastro!$G208</f>
        <v>-25.496605</v>
      </c>
      <c r="H208" s="104" t="str">
        <f>Cadastro!$H208</f>
        <v>-49.276376</v>
      </c>
      <c r="I208" s="104" t="str">
        <f>Cadastro!$I208</f>
        <v>copom_DDTQ</v>
      </c>
      <c r="J208" s="104" t="str">
        <f>Cadastro!$J208</f>
        <v>DDTQcopom</v>
      </c>
      <c r="K208" s="104" t="s">
        <v>4536</v>
      </c>
      <c r="L208" s="104" t="s">
        <v>26</v>
      </c>
      <c r="M208" s="104" t="s">
        <v>27</v>
      </c>
      <c r="N208" s="108" t="str">
        <f t="shared" si="1"/>
        <v>URBS 2</v>
      </c>
      <c r="O208" s="109" t="str">
        <f>Cadastro!$O208</f>
        <v>https://monitoramento.pm.pr.gov.br/proxy_image_2/Interface/Cameras/GetJPEGStream?Camera=EX128CFTV03&amp;AuthUser=copom_DDTQ&amp;AuthPass=DDTQcopom&amp;Width=1024&amp;Height=768&amp;Quality=70&amp;FPS=10&amp;ResponseFormat=Text</v>
      </c>
      <c r="P208" s="106">
        <f>Cadastro!$P208</f>
        <v>1</v>
      </c>
    </row>
    <row r="209">
      <c r="A209" s="104" t="str">
        <f>Cadastro!$A209</f>
        <v>URBS 2</v>
      </c>
      <c r="B209" s="104" t="str">
        <f>Cadastro!$B209</f>
        <v>CURITIBA</v>
      </c>
      <c r="C209" s="107" t="str">
        <f>Cadastro!$C209</f>
        <v>https://monitoramento.pm.pr.gov.br/proxy_image_2/</v>
      </c>
      <c r="D209" s="105">
        <f>Cadastro!$D209</f>
        <v>28601</v>
      </c>
      <c r="E209" s="104" t="str">
        <f>Cadastro!$E209</f>
        <v>EX128CFTV04</v>
      </c>
      <c r="F209" s="104" t="str">
        <f>Cadastro!$F209</f>
        <v>ET Xaxim &gt; Pinheirinho</v>
      </c>
      <c r="G209" s="104" t="str">
        <f>Cadastro!$G209</f>
        <v>-25.496525</v>
      </c>
      <c r="H209" s="104" t="str">
        <f>Cadastro!$H209</f>
        <v>-49.276306</v>
      </c>
      <c r="I209" s="104" t="str">
        <f>Cadastro!$I209</f>
        <v>copom_DDTQ</v>
      </c>
      <c r="J209" s="104" t="str">
        <f>Cadastro!$J209</f>
        <v>DDTQcopom</v>
      </c>
      <c r="K209" s="104" t="s">
        <v>4536</v>
      </c>
      <c r="L209" s="104" t="s">
        <v>26</v>
      </c>
      <c r="M209" s="104" t="s">
        <v>27</v>
      </c>
      <c r="N209" s="108" t="str">
        <f t="shared" si="1"/>
        <v>URBS 2</v>
      </c>
      <c r="O209" s="109" t="str">
        <f>Cadastro!$O209</f>
        <v>https://monitoramento.pm.pr.gov.br/proxy_image_2/Interface/Cameras/GetJPEGStream?Camera=EX128CFTV04&amp;AuthUser=copom_DDTQ&amp;AuthPass=DDTQcopom&amp;Width=1024&amp;Height=768&amp;Quality=70&amp;FPS=10&amp;ResponseFormat=Text</v>
      </c>
      <c r="P209" s="106">
        <f>Cadastro!$P209</f>
        <v>1</v>
      </c>
    </row>
    <row r="210">
      <c r="A210" s="104" t="str">
        <f>Cadastro!$A210</f>
        <v>URBS 2</v>
      </c>
      <c r="B210" s="104" t="str">
        <f>Cadastro!$B210</f>
        <v>CURITIBA</v>
      </c>
      <c r="C210" s="107" t="str">
        <f>Cadastro!$C210</f>
        <v>https://monitoramento.pm.pr.gov.br/proxy_image_2/</v>
      </c>
      <c r="D210" s="105">
        <f>Cadastro!$D210</f>
        <v>28601</v>
      </c>
      <c r="E210" s="104" t="str">
        <f>Cadastro!$E210</f>
        <v>EX129CFTV01</v>
      </c>
      <c r="F210" s="104" t="str">
        <f>Cadastro!$F210</f>
        <v>ET Santa Bernadete &gt; Centro</v>
      </c>
      <c r="G210" s="104" t="str">
        <f>Cadastro!$G210</f>
        <v>-25.485275</v>
      </c>
      <c r="H210" s="104" t="str">
        <f>Cadastro!$H210</f>
        <v>-49.266865</v>
      </c>
      <c r="I210" s="104" t="str">
        <f>Cadastro!$I210</f>
        <v>copom_DDTQ</v>
      </c>
      <c r="J210" s="104" t="str">
        <f>Cadastro!$J210</f>
        <v>DDTQcopom</v>
      </c>
      <c r="K210" s="104" t="s">
        <v>4536</v>
      </c>
      <c r="L210" s="104" t="s">
        <v>26</v>
      </c>
      <c r="M210" s="104" t="s">
        <v>27</v>
      </c>
      <c r="N210" s="108" t="str">
        <f t="shared" si="1"/>
        <v>URBS 2</v>
      </c>
      <c r="O210" s="109" t="str">
        <f>Cadastro!$O210</f>
        <v>https://monitoramento.pm.pr.gov.br/proxy_image_2/Interface/Cameras/GetJPEGStream?Camera=EX129CFTV01&amp;AuthUser=copom_DDTQ&amp;AuthPass=DDTQcopom&amp;Width=1024&amp;Height=768&amp;Quality=70&amp;FPS=10&amp;ResponseFormat=Text</v>
      </c>
      <c r="P210" s="106">
        <f>Cadastro!$P210</f>
        <v>1</v>
      </c>
    </row>
    <row r="211">
      <c r="A211" s="104" t="str">
        <f>Cadastro!$A211</f>
        <v>URBS 2</v>
      </c>
      <c r="B211" s="104" t="str">
        <f>Cadastro!$B211</f>
        <v>CURITIBA</v>
      </c>
      <c r="C211" s="107" t="str">
        <f>Cadastro!$C211</f>
        <v>https://monitoramento.pm.pr.gov.br/proxy_image_2/</v>
      </c>
      <c r="D211" s="105">
        <f>Cadastro!$D211</f>
        <v>28601</v>
      </c>
      <c r="E211" s="104" t="str">
        <f>Cadastro!$E211</f>
        <v>EX129CFTV02</v>
      </c>
      <c r="F211" s="104" t="str">
        <f>Cadastro!$F211</f>
        <v>ET Santa Bernadete &gt; Centro</v>
      </c>
      <c r="G211" s="104" t="str">
        <f>Cadastro!$G211</f>
        <v>-25.485184</v>
      </c>
      <c r="H211" s="104" t="str">
        <f>Cadastro!$H211</f>
        <v>-49.266794</v>
      </c>
      <c r="I211" s="104" t="str">
        <f>Cadastro!$I211</f>
        <v>copom_DDTQ</v>
      </c>
      <c r="J211" s="104" t="str">
        <f>Cadastro!$J211</f>
        <v>DDTQcopom</v>
      </c>
      <c r="K211" s="104" t="s">
        <v>4536</v>
      </c>
      <c r="L211" s="104" t="s">
        <v>26</v>
      </c>
      <c r="M211" s="104" t="s">
        <v>27</v>
      </c>
      <c r="N211" s="108" t="str">
        <f t="shared" si="1"/>
        <v>URBS 2</v>
      </c>
      <c r="O211" s="109" t="str">
        <f>Cadastro!$O211</f>
        <v>https://monitoramento.pm.pr.gov.br/proxy_image_2/Interface/Cameras/GetJPEGStream?Camera=EX129CFTV02&amp;AuthUser=copom_DDTQ&amp;AuthPass=DDTQcopom&amp;Width=1024&amp;Height=768&amp;Quality=70&amp;FPS=10&amp;ResponseFormat=Text</v>
      </c>
      <c r="P211" s="106">
        <f>Cadastro!$P211</f>
        <v>1</v>
      </c>
    </row>
    <row r="212">
      <c r="A212" s="104" t="str">
        <f>Cadastro!$A212</f>
        <v>URBS 2</v>
      </c>
      <c r="B212" s="104" t="str">
        <f>Cadastro!$B212</f>
        <v>CURITIBA</v>
      </c>
      <c r="C212" s="107" t="str">
        <f>Cadastro!$C212</f>
        <v>https://monitoramento.pm.pr.gov.br/proxy_image_2/</v>
      </c>
      <c r="D212" s="105">
        <f>Cadastro!$D212</f>
        <v>28601</v>
      </c>
      <c r="E212" s="104" t="str">
        <f>Cadastro!$E212</f>
        <v>EX129CFTV03</v>
      </c>
      <c r="F212" s="104" t="str">
        <f>Cadastro!$F212</f>
        <v>ET Santa Bernadete &gt; Centro</v>
      </c>
      <c r="G212" s="104" t="str">
        <f>Cadastro!$G212</f>
        <v>-25.485202</v>
      </c>
      <c r="H212" s="104" t="str">
        <f>Cadastro!$H212</f>
        <v>-49.266760</v>
      </c>
      <c r="I212" s="104" t="str">
        <f>Cadastro!$I212</f>
        <v>copom_DDTQ</v>
      </c>
      <c r="J212" s="104" t="str">
        <f>Cadastro!$J212</f>
        <v>DDTQcopom</v>
      </c>
      <c r="K212" s="104" t="s">
        <v>4536</v>
      </c>
      <c r="L212" s="104" t="s">
        <v>26</v>
      </c>
      <c r="M212" s="104" t="s">
        <v>27</v>
      </c>
      <c r="N212" s="108" t="str">
        <f t="shared" si="1"/>
        <v>URBS 2</v>
      </c>
      <c r="O212" s="109" t="str">
        <f>Cadastro!$O212</f>
        <v>https://monitoramento.pm.pr.gov.br/proxy_image_2/Interface/Cameras/GetJPEGStream?Camera=EX129CFTV03&amp;AuthUser=copom_DDTQ&amp;AuthPass=DDTQcopom&amp;Width=1024&amp;Height=768&amp;Quality=70&amp;FPS=10&amp;ResponseFormat=Text</v>
      </c>
      <c r="P212" s="106">
        <f>Cadastro!$P212</f>
        <v>1</v>
      </c>
    </row>
    <row r="213">
      <c r="A213" s="104" t="str">
        <f>Cadastro!$A213</f>
        <v>URBS 2</v>
      </c>
      <c r="B213" s="104" t="str">
        <f>Cadastro!$B213</f>
        <v>CURITIBA</v>
      </c>
      <c r="C213" s="107" t="str">
        <f>Cadastro!$C213</f>
        <v>https://monitoramento.pm.pr.gov.br/proxy_image_2/</v>
      </c>
      <c r="D213" s="105">
        <f>Cadastro!$D213</f>
        <v>28601</v>
      </c>
      <c r="E213" s="104" t="str">
        <f>Cadastro!$E213</f>
        <v>EX129CFTV04</v>
      </c>
      <c r="F213" s="104" t="str">
        <f>Cadastro!$F213</f>
        <v>ET Santa Bernadete &gt; Centro</v>
      </c>
      <c r="G213" s="104" t="str">
        <f>Cadastro!$G213</f>
        <v>-25.485311</v>
      </c>
      <c r="H213" s="104" t="str">
        <f>Cadastro!$H213</f>
        <v>-49.266847</v>
      </c>
      <c r="I213" s="104" t="str">
        <f>Cadastro!$I213</f>
        <v>copom_DDTQ</v>
      </c>
      <c r="J213" s="104" t="str">
        <f>Cadastro!$J213</f>
        <v>DDTQcopom</v>
      </c>
      <c r="K213" s="104" t="s">
        <v>4536</v>
      </c>
      <c r="L213" s="104" t="s">
        <v>26</v>
      </c>
      <c r="M213" s="104" t="s">
        <v>27</v>
      </c>
      <c r="N213" s="108" t="str">
        <f t="shared" si="1"/>
        <v>URBS 2</v>
      </c>
      <c r="O213" s="109" t="str">
        <f>Cadastro!$O213</f>
        <v>https://monitoramento.pm.pr.gov.br/proxy_image_2/Interface/Cameras/GetJPEGStream?Camera=EX129CFTV04&amp;AuthUser=copom_DDTQ&amp;AuthPass=DDTQcopom&amp;Width=1024&amp;Height=768&amp;Quality=70&amp;FPS=10&amp;ResponseFormat=Text</v>
      </c>
      <c r="P213" s="106">
        <f>Cadastro!$P213</f>
        <v>1</v>
      </c>
    </row>
    <row r="214">
      <c r="A214" s="104" t="str">
        <f>Cadastro!$A214</f>
        <v>URBS 2</v>
      </c>
      <c r="B214" s="104" t="str">
        <f>Cadastro!$B214</f>
        <v>CURITIBA</v>
      </c>
      <c r="C214" s="107" t="str">
        <f>Cadastro!$C214</f>
        <v>https://monitoramento.pm.pr.gov.br/proxy_image_2/</v>
      </c>
      <c r="D214" s="105">
        <f>Cadastro!$D214</f>
        <v>28601</v>
      </c>
      <c r="E214" s="104" t="str">
        <f>Cadastro!$E214</f>
        <v>EX130CFTV01</v>
      </c>
      <c r="F214" s="104" t="str">
        <f>Cadastro!$F214</f>
        <v>ET Santa Bernadete &gt; Pinheirinho</v>
      </c>
      <c r="G214" s="104" t="str">
        <f>Cadastro!$G214</f>
        <v>-25.485170</v>
      </c>
      <c r="H214" s="104" t="str">
        <f>Cadastro!$H214</f>
        <v>-49.267050</v>
      </c>
      <c r="I214" s="104" t="str">
        <f>Cadastro!$I214</f>
        <v>copom_DDTQ</v>
      </c>
      <c r="J214" s="104" t="str">
        <f>Cadastro!$J214</f>
        <v>DDTQcopom</v>
      </c>
      <c r="K214" s="104" t="s">
        <v>4536</v>
      </c>
      <c r="L214" s="104" t="s">
        <v>26</v>
      </c>
      <c r="M214" s="104" t="s">
        <v>27</v>
      </c>
      <c r="N214" s="108" t="str">
        <f t="shared" si="1"/>
        <v>URBS 2</v>
      </c>
      <c r="O214" s="109" t="str">
        <f>Cadastro!$O214</f>
        <v>https://monitoramento.pm.pr.gov.br/proxy_image_2/Interface/Cameras/GetJPEGStream?Camera=EX130CFTV01&amp;AuthUser=copom_DDTQ&amp;AuthPass=DDTQcopom&amp;Width=1024&amp;Height=768&amp;Quality=70&amp;FPS=10&amp;ResponseFormat=Text</v>
      </c>
      <c r="P214" s="106">
        <f>Cadastro!$P214</f>
        <v>1</v>
      </c>
    </row>
    <row r="215">
      <c r="A215" s="104" t="str">
        <f>Cadastro!$A215</f>
        <v>URBS 2</v>
      </c>
      <c r="B215" s="104" t="str">
        <f>Cadastro!$B215</f>
        <v>CURITIBA</v>
      </c>
      <c r="C215" s="107" t="str">
        <f>Cadastro!$C215</f>
        <v>https://monitoramento.pm.pr.gov.br/proxy_image_2/</v>
      </c>
      <c r="D215" s="105">
        <f>Cadastro!$D215</f>
        <v>28601</v>
      </c>
      <c r="E215" s="104" t="str">
        <f>Cadastro!$E215</f>
        <v>EX130CFTV02</v>
      </c>
      <c r="F215" s="104" t="str">
        <f>Cadastro!$F215</f>
        <v>ET Santa Bernadete &gt; Pinheirinho</v>
      </c>
      <c r="G215" s="104" t="str">
        <f>Cadastro!$G215</f>
        <v>-25.485078</v>
      </c>
      <c r="H215" s="104" t="str">
        <f>Cadastro!$H215</f>
        <v>-49.266960</v>
      </c>
      <c r="I215" s="104" t="str">
        <f>Cadastro!$I215</f>
        <v>copom_DDTQ</v>
      </c>
      <c r="J215" s="104" t="str">
        <f>Cadastro!$J215</f>
        <v>DDTQcopom</v>
      </c>
      <c r="K215" s="104" t="s">
        <v>4536</v>
      </c>
      <c r="L215" s="104" t="s">
        <v>26</v>
      </c>
      <c r="M215" s="104" t="s">
        <v>27</v>
      </c>
      <c r="N215" s="108" t="str">
        <f t="shared" si="1"/>
        <v>URBS 2</v>
      </c>
      <c r="O215" s="109" t="str">
        <f>Cadastro!$O215</f>
        <v>https://monitoramento.pm.pr.gov.br/proxy_image_2/Interface/Cameras/GetJPEGStream?Camera=EX130CFTV02&amp;AuthUser=copom_DDTQ&amp;AuthPass=DDTQcopom&amp;Width=1024&amp;Height=768&amp;Quality=70&amp;FPS=10&amp;ResponseFormat=Text</v>
      </c>
      <c r="P215" s="106">
        <f>Cadastro!$P215</f>
        <v>1</v>
      </c>
    </row>
    <row r="216">
      <c r="A216" s="104" t="str">
        <f>Cadastro!$A216</f>
        <v>URBS 2</v>
      </c>
      <c r="B216" s="104" t="str">
        <f>Cadastro!$B216</f>
        <v>CURITIBA</v>
      </c>
      <c r="C216" s="107" t="str">
        <f>Cadastro!$C216</f>
        <v>https://monitoramento.pm.pr.gov.br/proxy_image_2/</v>
      </c>
      <c r="D216" s="105">
        <f>Cadastro!$D216</f>
        <v>28601</v>
      </c>
      <c r="E216" s="104" t="str">
        <f>Cadastro!$E216</f>
        <v>EX130CFTV03</v>
      </c>
      <c r="F216" s="104" t="str">
        <f>Cadastro!$F216</f>
        <v>ET Santa Bernadete &gt; Pinheirinho</v>
      </c>
      <c r="G216" s="104" t="str">
        <f>Cadastro!$G216</f>
        <v>-25.485127</v>
      </c>
      <c r="H216" s="104" t="str">
        <f>Cadastro!$H216</f>
        <v>-49.266967</v>
      </c>
      <c r="I216" s="104" t="str">
        <f>Cadastro!$I216</f>
        <v>copom_DDTQ</v>
      </c>
      <c r="J216" s="104" t="str">
        <f>Cadastro!$J216</f>
        <v>DDTQcopom</v>
      </c>
      <c r="K216" s="104" t="s">
        <v>4536</v>
      </c>
      <c r="L216" s="104" t="s">
        <v>26</v>
      </c>
      <c r="M216" s="104" t="s">
        <v>27</v>
      </c>
      <c r="N216" s="108" t="str">
        <f t="shared" si="1"/>
        <v>URBS 2</v>
      </c>
      <c r="O216" s="109" t="str">
        <f>Cadastro!$O216</f>
        <v>https://monitoramento.pm.pr.gov.br/proxy_image_2/Interface/Cameras/GetJPEGStream?Camera=EX130CFTV03&amp;AuthUser=copom_DDTQ&amp;AuthPass=DDTQcopom&amp;Width=1024&amp;Height=768&amp;Quality=70&amp;FPS=10&amp;ResponseFormat=Text</v>
      </c>
      <c r="P216" s="106">
        <f>Cadastro!$P216</f>
        <v>1</v>
      </c>
    </row>
    <row r="217">
      <c r="A217" s="104" t="str">
        <f>Cadastro!$A217</f>
        <v>URBS 2</v>
      </c>
      <c r="B217" s="104" t="str">
        <f>Cadastro!$B217</f>
        <v>CURITIBA</v>
      </c>
      <c r="C217" s="107" t="str">
        <f>Cadastro!$C217</f>
        <v>https://monitoramento.pm.pr.gov.br/proxy_image_2/</v>
      </c>
      <c r="D217" s="105">
        <f>Cadastro!$D217</f>
        <v>28601</v>
      </c>
      <c r="E217" s="104" t="str">
        <f>Cadastro!$E217</f>
        <v>EX130CFTV04</v>
      </c>
      <c r="F217" s="104" t="str">
        <f>Cadastro!$F217</f>
        <v>ET Santa Bernadete &gt; Pinheirinho</v>
      </c>
      <c r="G217" s="104" t="str">
        <f>Cadastro!$G217</f>
        <v>-25.485177</v>
      </c>
      <c r="H217" s="104" t="str">
        <f>Cadastro!$H217</f>
        <v>-49.267013</v>
      </c>
      <c r="I217" s="104" t="str">
        <f>Cadastro!$I217</f>
        <v>copom_DDTQ</v>
      </c>
      <c r="J217" s="104" t="str">
        <f>Cadastro!$J217</f>
        <v>DDTQcopom</v>
      </c>
      <c r="K217" s="104" t="s">
        <v>4536</v>
      </c>
      <c r="L217" s="104" t="s">
        <v>26</v>
      </c>
      <c r="M217" s="104" t="s">
        <v>27</v>
      </c>
      <c r="N217" s="108" t="str">
        <f t="shared" si="1"/>
        <v>URBS 2</v>
      </c>
      <c r="O217" s="109" t="str">
        <f>Cadastro!$O217</f>
        <v>https://monitoramento.pm.pr.gov.br/proxy_image_2/Interface/Cameras/GetJPEGStream?Camera=EX130CFTV04&amp;AuthUser=copom_DDTQ&amp;AuthPass=DDTQcopom&amp;Width=1024&amp;Height=768&amp;Quality=70&amp;FPS=10&amp;ResponseFormat=Text</v>
      </c>
      <c r="P217" s="106">
        <f>Cadastro!$P217</f>
        <v>1</v>
      </c>
    </row>
    <row r="218">
      <c r="A218" s="104" t="str">
        <f>Cadastro!$A218</f>
        <v>URBS 2</v>
      </c>
      <c r="B218" s="104" t="str">
        <f>Cadastro!$B218</f>
        <v>CURITIBA</v>
      </c>
      <c r="C218" s="107" t="str">
        <f>Cadastro!$C218</f>
        <v>https://monitoramento.pm.pr.gov.br/proxy_image_2/</v>
      </c>
      <c r="D218" s="105">
        <f>Cadastro!$D218</f>
        <v>28601</v>
      </c>
      <c r="E218" s="104" t="str">
        <f>Cadastro!$E218</f>
        <v>EX131CFTV01</v>
      </c>
      <c r="F218" s="104" t="str">
        <f>Cadastro!$F218</f>
        <v>ET Vila Fanny &gt; Centro</v>
      </c>
      <c r="G218" s="104" t="str">
        <f>Cadastro!$G218</f>
        <v>-25.475008</v>
      </c>
      <c r="H218" s="104" t="str">
        <f>Cadastro!$H218</f>
        <v>-49.258563</v>
      </c>
      <c r="I218" s="104" t="str">
        <f>Cadastro!$I218</f>
        <v>copom_DDTQ</v>
      </c>
      <c r="J218" s="104" t="str">
        <f>Cadastro!$J218</f>
        <v>DDTQcopom</v>
      </c>
      <c r="K218" s="104" t="s">
        <v>4536</v>
      </c>
      <c r="L218" s="104" t="s">
        <v>26</v>
      </c>
      <c r="M218" s="104" t="s">
        <v>27</v>
      </c>
      <c r="N218" s="108" t="str">
        <f t="shared" si="1"/>
        <v>URBS 2</v>
      </c>
      <c r="O218" s="109" t="str">
        <f>Cadastro!$O218</f>
        <v>https://monitoramento.pm.pr.gov.br/proxy_image_2/Interface/Cameras/GetJPEGStream?Camera=EX131CFTV01&amp;AuthUser=copom_DDTQ&amp;AuthPass=DDTQcopom&amp;Width=1024&amp;Height=768&amp;Quality=70&amp;FPS=10&amp;ResponseFormat=Text</v>
      </c>
      <c r="P218" s="106">
        <f>Cadastro!$P218</f>
        <v>1</v>
      </c>
    </row>
    <row r="219">
      <c r="A219" s="104" t="str">
        <f>Cadastro!$A219</f>
        <v>URBS 2</v>
      </c>
      <c r="B219" s="104" t="str">
        <f>Cadastro!$B219</f>
        <v>CURITIBA</v>
      </c>
      <c r="C219" s="107" t="str">
        <f>Cadastro!$C219</f>
        <v>https://monitoramento.pm.pr.gov.br/proxy_image_2/</v>
      </c>
      <c r="D219" s="105">
        <f>Cadastro!$D219</f>
        <v>28601</v>
      </c>
      <c r="E219" s="104" t="str">
        <f>Cadastro!$E219</f>
        <v>EX131CFTV02</v>
      </c>
      <c r="F219" s="104" t="str">
        <f>Cadastro!$F219</f>
        <v>ET Vila Fanny &gt; Centro</v>
      </c>
      <c r="G219" s="104" t="str">
        <f>Cadastro!$G219</f>
        <v>-25.474905</v>
      </c>
      <c r="H219" s="104" t="str">
        <f>Cadastro!$H219</f>
        <v>-49.258493</v>
      </c>
      <c r="I219" s="104" t="str">
        <f>Cadastro!$I219</f>
        <v>copom_DDTQ</v>
      </c>
      <c r="J219" s="104" t="str">
        <f>Cadastro!$J219</f>
        <v>DDTQcopom</v>
      </c>
      <c r="K219" s="104" t="s">
        <v>4536</v>
      </c>
      <c r="L219" s="104" t="s">
        <v>26</v>
      </c>
      <c r="M219" s="104" t="s">
        <v>27</v>
      </c>
      <c r="N219" s="108" t="str">
        <f t="shared" si="1"/>
        <v>URBS 2</v>
      </c>
      <c r="O219" s="109" t="str">
        <f>Cadastro!$O219</f>
        <v>https://monitoramento.pm.pr.gov.br/proxy_image_2/Interface/Cameras/GetJPEGStream?Camera=EX131CFTV02&amp;AuthUser=copom_DDTQ&amp;AuthPass=DDTQcopom&amp;Width=1024&amp;Height=768&amp;Quality=70&amp;FPS=10&amp;ResponseFormat=Text</v>
      </c>
      <c r="P219" s="106">
        <f>Cadastro!$P219</f>
        <v>1</v>
      </c>
    </row>
    <row r="220">
      <c r="A220" s="104" t="str">
        <f>Cadastro!$A220</f>
        <v>URBS 2</v>
      </c>
      <c r="B220" s="104" t="str">
        <f>Cadastro!$B220</f>
        <v>CURITIBA</v>
      </c>
      <c r="C220" s="107" t="str">
        <f>Cadastro!$C220</f>
        <v>https://monitoramento.pm.pr.gov.br/proxy_image_2/</v>
      </c>
      <c r="D220" s="105">
        <f>Cadastro!$D220</f>
        <v>28601</v>
      </c>
      <c r="E220" s="104" t="str">
        <f>Cadastro!$E220</f>
        <v>EX131CFTV03</v>
      </c>
      <c r="F220" s="104" t="str">
        <f>Cadastro!$F220</f>
        <v>ET Vila Fanny &gt; Centro</v>
      </c>
      <c r="G220" s="104" t="str">
        <f>Cadastro!$G220</f>
        <v>-25.474921</v>
      </c>
      <c r="H220" s="104" t="str">
        <f>Cadastro!$H220</f>
        <v>-49.258483</v>
      </c>
      <c r="I220" s="104" t="str">
        <f>Cadastro!$I220</f>
        <v>copom_DDTQ</v>
      </c>
      <c r="J220" s="104" t="str">
        <f>Cadastro!$J220</f>
        <v>DDTQcopom</v>
      </c>
      <c r="K220" s="104" t="s">
        <v>4536</v>
      </c>
      <c r="L220" s="104" t="s">
        <v>26</v>
      </c>
      <c r="M220" s="104" t="s">
        <v>27</v>
      </c>
      <c r="N220" s="108" t="str">
        <f t="shared" si="1"/>
        <v>URBS 2</v>
      </c>
      <c r="O220" s="109" t="str">
        <f>Cadastro!$O220</f>
        <v>https://monitoramento.pm.pr.gov.br/proxy_image_2/Interface/Cameras/GetJPEGStream?Camera=EX131CFTV03&amp;AuthUser=copom_DDTQ&amp;AuthPass=DDTQcopom&amp;Width=1024&amp;Height=768&amp;Quality=70&amp;FPS=10&amp;ResponseFormat=Text</v>
      </c>
      <c r="P220" s="106">
        <f>Cadastro!$P220</f>
        <v>1</v>
      </c>
    </row>
    <row r="221">
      <c r="A221" s="104" t="str">
        <f>Cadastro!$A221</f>
        <v>URBS 2</v>
      </c>
      <c r="B221" s="104" t="str">
        <f>Cadastro!$B221</f>
        <v>CURITIBA</v>
      </c>
      <c r="C221" s="107" t="str">
        <f>Cadastro!$C221</f>
        <v>https://monitoramento.pm.pr.gov.br/proxy_image_2/</v>
      </c>
      <c r="D221" s="105">
        <f>Cadastro!$D221</f>
        <v>28601</v>
      </c>
      <c r="E221" s="104" t="str">
        <f>Cadastro!$E221</f>
        <v>EX131CFTV04</v>
      </c>
      <c r="F221" s="104" t="str">
        <f>Cadastro!$F221</f>
        <v>ET Vila Fanny &gt; Centro</v>
      </c>
      <c r="G221" s="104" t="str">
        <f>Cadastro!$G221</f>
        <v>-25.474987</v>
      </c>
      <c r="H221" s="104" t="str">
        <f>Cadastro!$H221</f>
        <v>-49.258570</v>
      </c>
      <c r="I221" s="104" t="str">
        <f>Cadastro!$I221</f>
        <v>copom_DDTQ</v>
      </c>
      <c r="J221" s="104" t="str">
        <f>Cadastro!$J221</f>
        <v>DDTQcopom</v>
      </c>
      <c r="K221" s="104" t="s">
        <v>4536</v>
      </c>
      <c r="L221" s="104" t="s">
        <v>26</v>
      </c>
      <c r="M221" s="104" t="s">
        <v>27</v>
      </c>
      <c r="N221" s="108" t="str">
        <f t="shared" si="1"/>
        <v>URBS 2</v>
      </c>
      <c r="O221" s="109" t="str">
        <f>Cadastro!$O221</f>
        <v>https://monitoramento.pm.pr.gov.br/proxy_image_2/Interface/Cameras/GetJPEGStream?Camera=EX131CFTV04&amp;AuthUser=copom_DDTQ&amp;AuthPass=DDTQcopom&amp;Width=1024&amp;Height=768&amp;Quality=70&amp;FPS=10&amp;ResponseFormat=Text</v>
      </c>
      <c r="P221" s="106">
        <f>Cadastro!$P221</f>
        <v>1</v>
      </c>
    </row>
    <row r="222">
      <c r="A222" s="104" t="str">
        <f>Cadastro!$A222</f>
        <v>URBS 2</v>
      </c>
      <c r="B222" s="104" t="str">
        <f>Cadastro!$B222</f>
        <v>CURITIBA</v>
      </c>
      <c r="C222" s="107" t="str">
        <f>Cadastro!$C222</f>
        <v>https://monitoramento.pm.pr.gov.br/proxy_image_2/</v>
      </c>
      <c r="D222" s="105">
        <f>Cadastro!$D222</f>
        <v>28601</v>
      </c>
      <c r="E222" s="104" t="str">
        <f>Cadastro!$E222</f>
        <v>EX132CFTV01</v>
      </c>
      <c r="F222" s="104" t="str">
        <f>Cadastro!$F222</f>
        <v>ET Vila Fanny &gt; Pinheirinho</v>
      </c>
      <c r="G222" s="104" t="str">
        <f>Cadastro!$G222</f>
        <v>-25.474777</v>
      </c>
      <c r="H222" s="104" t="str">
        <f>Cadastro!$H222</f>
        <v>-49.258640</v>
      </c>
      <c r="I222" s="104" t="str">
        <f>Cadastro!$I222</f>
        <v>copom_DDTQ</v>
      </c>
      <c r="J222" s="104" t="str">
        <f>Cadastro!$J222</f>
        <v>DDTQcopom</v>
      </c>
      <c r="K222" s="104" t="s">
        <v>4536</v>
      </c>
      <c r="L222" s="104" t="s">
        <v>26</v>
      </c>
      <c r="M222" s="104" t="s">
        <v>27</v>
      </c>
      <c r="N222" s="108" t="str">
        <f t="shared" si="1"/>
        <v>URBS 2</v>
      </c>
      <c r="O222" s="109" t="str">
        <f>Cadastro!$O222</f>
        <v>https://monitoramento.pm.pr.gov.br/proxy_image_2/Interface/Cameras/GetJPEGStream?Camera=EX132CFTV01&amp;AuthUser=copom_DDTQ&amp;AuthPass=DDTQcopom&amp;Width=1024&amp;Height=768&amp;Quality=70&amp;FPS=10&amp;ResponseFormat=Text</v>
      </c>
      <c r="P222" s="106">
        <f>Cadastro!$P222</f>
        <v>1</v>
      </c>
    </row>
    <row r="223">
      <c r="A223" s="104" t="str">
        <f>Cadastro!$A223</f>
        <v>URBS 2</v>
      </c>
      <c r="B223" s="104" t="str">
        <f>Cadastro!$B223</f>
        <v>CURITIBA</v>
      </c>
      <c r="C223" s="107" t="str">
        <f>Cadastro!$C223</f>
        <v>https://monitoramento.pm.pr.gov.br/proxy_image_2/</v>
      </c>
      <c r="D223" s="105">
        <f>Cadastro!$D223</f>
        <v>28601</v>
      </c>
      <c r="E223" s="104" t="str">
        <f>Cadastro!$E223</f>
        <v>EX132CFTV02</v>
      </c>
      <c r="F223" s="104" t="str">
        <f>Cadastro!$F223</f>
        <v>ET Vila Fanny &gt; Pinheirinho</v>
      </c>
      <c r="G223" s="104" t="str">
        <f>Cadastro!$G223</f>
        <v>-25.474871</v>
      </c>
      <c r="H223" s="104" t="str">
        <f>Cadastro!$H223</f>
        <v>-49.258738</v>
      </c>
      <c r="I223" s="104" t="str">
        <f>Cadastro!$I223</f>
        <v>copom_DDTQ</v>
      </c>
      <c r="J223" s="104" t="str">
        <f>Cadastro!$J223</f>
        <v>DDTQcopom</v>
      </c>
      <c r="K223" s="104" t="s">
        <v>4536</v>
      </c>
      <c r="L223" s="104" t="s">
        <v>26</v>
      </c>
      <c r="M223" s="104" t="s">
        <v>27</v>
      </c>
      <c r="N223" s="108" t="str">
        <f t="shared" si="1"/>
        <v>URBS 2</v>
      </c>
      <c r="O223" s="109" t="str">
        <f>Cadastro!$O223</f>
        <v>https://monitoramento.pm.pr.gov.br/proxy_image_2/Interface/Cameras/GetJPEGStream?Camera=EX132CFTV02&amp;AuthUser=copom_DDTQ&amp;AuthPass=DDTQcopom&amp;Width=1024&amp;Height=768&amp;Quality=70&amp;FPS=10&amp;ResponseFormat=Text</v>
      </c>
      <c r="P223" s="106">
        <f>Cadastro!$P223</f>
        <v>1</v>
      </c>
    </row>
    <row r="224">
      <c r="A224" s="104" t="str">
        <f>Cadastro!$A224</f>
        <v>URBS 2</v>
      </c>
      <c r="B224" s="104" t="str">
        <f>Cadastro!$B224</f>
        <v>CURITIBA</v>
      </c>
      <c r="C224" s="107" t="str">
        <f>Cadastro!$C224</f>
        <v>https://monitoramento.pm.pr.gov.br/proxy_image_2/</v>
      </c>
      <c r="D224" s="105">
        <f>Cadastro!$D224</f>
        <v>28601</v>
      </c>
      <c r="E224" s="104" t="str">
        <f>Cadastro!$E224</f>
        <v>LD050CFTV01</v>
      </c>
      <c r="F224" s="104" t="str">
        <f>Cadastro!$F224</f>
        <v>ET Nestor de Castro &gt; Santa Fdelicidade</v>
      </c>
      <c r="G224" s="104" t="str">
        <f>Cadastro!$G224</f>
        <v>-25.428383</v>
      </c>
      <c r="H224" s="104" t="str">
        <f>Cadastro!$H224</f>
        <v>-49.272369</v>
      </c>
      <c r="I224" s="104" t="str">
        <f>Cadastro!$I224</f>
        <v>copom_DDTQ</v>
      </c>
      <c r="J224" s="104" t="str">
        <f>Cadastro!$J224</f>
        <v>DDTQcopom</v>
      </c>
      <c r="K224" s="104" t="s">
        <v>4536</v>
      </c>
      <c r="L224" s="104" t="s">
        <v>26</v>
      </c>
      <c r="M224" s="104" t="s">
        <v>27</v>
      </c>
      <c r="N224" s="108" t="str">
        <f t="shared" si="1"/>
        <v>URBS 2</v>
      </c>
      <c r="O224" s="109" t="str">
        <f>Cadastro!$O224</f>
        <v>https://monitoramento.pm.pr.gov.br/proxy_image_2/Interface/Cameras/GetJPEGStream?Camera=LD050CFTV01&amp;AuthUser=copom_DDTQ&amp;AuthPass=DDTQcopom&amp;Width=1024&amp;Height=768&amp;Quality=70&amp;FPS=10&amp;ResponseFormat=Text</v>
      </c>
      <c r="P224" s="106">
        <f>Cadastro!$P224</f>
        <v>1</v>
      </c>
    </row>
    <row r="225">
      <c r="A225" s="104" t="str">
        <f>Cadastro!$A225</f>
        <v>URBS 2</v>
      </c>
      <c r="B225" s="104" t="str">
        <f>Cadastro!$B225</f>
        <v>CURITIBA</v>
      </c>
      <c r="C225" s="107" t="str">
        <f>Cadastro!$C225</f>
        <v>https://monitoramento.pm.pr.gov.br/proxy_image_2/</v>
      </c>
      <c r="D225" s="105">
        <f>Cadastro!$D225</f>
        <v>28601</v>
      </c>
      <c r="E225" s="104" t="str">
        <f>Cadastro!$E225</f>
        <v>LD050CFTV02</v>
      </c>
      <c r="F225" s="104" t="str">
        <f>Cadastro!$F225</f>
        <v>ET Nestor de Castro &gt; Campo Cumprido</v>
      </c>
      <c r="G225" s="104" t="str">
        <f>Cadastro!$G225</f>
        <v>-25.428294</v>
      </c>
      <c r="H225" s="104" t="str">
        <f>Cadastro!$H225</f>
        <v>-49.272073</v>
      </c>
      <c r="I225" s="104" t="str">
        <f>Cadastro!$I225</f>
        <v>copom_DDTQ</v>
      </c>
      <c r="J225" s="104" t="str">
        <f>Cadastro!$J225</f>
        <v>DDTQcopom</v>
      </c>
      <c r="K225" s="104" t="s">
        <v>4536</v>
      </c>
      <c r="L225" s="104" t="s">
        <v>26</v>
      </c>
      <c r="M225" s="104" t="s">
        <v>27</v>
      </c>
      <c r="N225" s="108" t="str">
        <f t="shared" si="1"/>
        <v>URBS 2</v>
      </c>
      <c r="O225" s="109" t="str">
        <f>Cadastro!$O225</f>
        <v>https://monitoramento.pm.pr.gov.br/proxy_image_2/Interface/Cameras/GetJPEGStream?Camera=LD050CFTV02&amp;AuthUser=copom_DDTQ&amp;AuthPass=DDTQcopom&amp;Width=1024&amp;Height=768&amp;Quality=70&amp;FPS=10&amp;ResponseFormat=Text</v>
      </c>
      <c r="P225" s="106">
        <f>Cadastro!$P225</f>
        <v>1</v>
      </c>
    </row>
    <row r="226">
      <c r="A226" s="104" t="str">
        <f>Cadastro!$A226</f>
        <v>URBS 2</v>
      </c>
      <c r="B226" s="104" t="str">
        <f>Cadastro!$B226</f>
        <v>CURITIBA</v>
      </c>
      <c r="C226" s="107" t="str">
        <f>Cadastro!$C226</f>
        <v>https://monitoramento.pm.pr.gov.br/proxy_image_2/</v>
      </c>
      <c r="D226" s="105">
        <f>Cadastro!$D226</f>
        <v>28601</v>
      </c>
      <c r="E226" s="104" t="str">
        <f>Cadastro!$E226</f>
        <v>LD050CFTV03</v>
      </c>
      <c r="F226" s="104" t="str">
        <f>Cadastro!$F226</f>
        <v>ET Nestor de Castro &gt; CIC</v>
      </c>
      <c r="G226" s="104" t="str">
        <f>Cadastro!$G226</f>
        <v>-25.428533</v>
      </c>
      <c r="H226" s="104" t="str">
        <f>Cadastro!$H226</f>
        <v>-49.272834</v>
      </c>
      <c r="I226" s="104" t="str">
        <f>Cadastro!$I226</f>
        <v>copom_DDTQ</v>
      </c>
      <c r="J226" s="104" t="str">
        <f>Cadastro!$J226</f>
        <v>DDTQcopom</v>
      </c>
      <c r="K226" s="104" t="s">
        <v>4536</v>
      </c>
      <c r="L226" s="104" t="s">
        <v>26</v>
      </c>
      <c r="M226" s="104" t="s">
        <v>27</v>
      </c>
      <c r="N226" s="108" t="str">
        <f t="shared" si="1"/>
        <v>URBS 2</v>
      </c>
      <c r="O226" s="109" t="str">
        <f>Cadastro!$O226</f>
        <v>https://monitoramento.pm.pr.gov.br/proxy_image_2/Interface/Cameras/GetJPEGStream?Camera=LD050CFTV03&amp;AuthUser=copom_DDTQ&amp;AuthPass=DDTQcopom&amp;Width=1024&amp;Height=768&amp;Quality=70&amp;FPS=10&amp;ResponseFormat=Text</v>
      </c>
      <c r="P226" s="106">
        <f>Cadastro!$P226</f>
        <v>1</v>
      </c>
    </row>
    <row r="227">
      <c r="A227" s="104" t="str">
        <f>Cadastro!$A227</f>
        <v>URBS 2</v>
      </c>
      <c r="B227" s="104" t="str">
        <f>Cadastro!$B227</f>
        <v>CURITIBA</v>
      </c>
      <c r="C227" s="107" t="str">
        <f>Cadastro!$C227</f>
        <v>https://monitoramento.pm.pr.gov.br/proxy_image_2/</v>
      </c>
      <c r="D227" s="105">
        <f>Cadastro!$D227</f>
        <v>28601</v>
      </c>
      <c r="E227" s="104" t="str">
        <f>Cadastro!$E227</f>
        <v>LD052CFTV01</v>
      </c>
      <c r="F227" s="104" t="str">
        <f>Cadastro!$F227</f>
        <v>ET Guadalupe &gt; Boqueirão</v>
      </c>
      <c r="G227" s="104" t="str">
        <f>Cadastro!$G227</f>
        <v>-25.433080</v>
      </c>
      <c r="H227" s="104" t="str">
        <f>Cadastro!$H227</f>
        <v>-49.265152</v>
      </c>
      <c r="I227" s="104" t="str">
        <f>Cadastro!$I227</f>
        <v>copom_DDTQ</v>
      </c>
      <c r="J227" s="104" t="str">
        <f>Cadastro!$J227</f>
        <v>DDTQcopom</v>
      </c>
      <c r="K227" s="104" t="s">
        <v>4536</v>
      </c>
      <c r="L227" s="104" t="s">
        <v>26</v>
      </c>
      <c r="M227" s="104" t="s">
        <v>27</v>
      </c>
      <c r="N227" s="108" t="str">
        <f t="shared" si="1"/>
        <v>URBS 2</v>
      </c>
      <c r="O227" s="109" t="str">
        <f>Cadastro!$O227</f>
        <v>https://monitoramento.pm.pr.gov.br/proxy_image_2/Interface/Cameras/GetJPEGStream?Camera=LD052CFTV01&amp;AuthUser=copom_DDTQ&amp;AuthPass=DDTQcopom&amp;Width=1024&amp;Height=768&amp;Quality=70&amp;FPS=10&amp;ResponseFormat=Text</v>
      </c>
      <c r="P227" s="106">
        <f>Cadastro!$P227</f>
        <v>1</v>
      </c>
    </row>
    <row r="228">
      <c r="A228" s="104" t="str">
        <f>Cadastro!$A228</f>
        <v>URBS 2</v>
      </c>
      <c r="B228" s="104" t="str">
        <f>Cadastro!$B228</f>
        <v>CURITIBA</v>
      </c>
      <c r="C228" s="107" t="str">
        <f>Cadastro!$C228</f>
        <v>https://monitoramento.pm.pr.gov.br/proxy_image_2/</v>
      </c>
      <c r="D228" s="105">
        <f>Cadastro!$D228</f>
        <v>28601</v>
      </c>
      <c r="E228" s="104" t="str">
        <f>Cadastro!$E228</f>
        <v>LD052CFTV02</v>
      </c>
      <c r="F228" s="104" t="str">
        <f>Cadastro!$F228</f>
        <v>ET Guadalupe &gt; Sitio Cercado</v>
      </c>
      <c r="G228" s="104" t="str">
        <f>Cadastro!$G228</f>
        <v>-25.432296</v>
      </c>
      <c r="H228" s="104" t="str">
        <f>Cadastro!$H228</f>
        <v>-49.265544</v>
      </c>
      <c r="I228" s="104" t="str">
        <f>Cadastro!$I228</f>
        <v>copom_DDTQ</v>
      </c>
      <c r="J228" s="104" t="str">
        <f>Cadastro!$J228</f>
        <v>DDTQcopom</v>
      </c>
      <c r="K228" s="104" t="s">
        <v>4536</v>
      </c>
      <c r="L228" s="104" t="s">
        <v>26</v>
      </c>
      <c r="M228" s="104" t="s">
        <v>27</v>
      </c>
      <c r="N228" s="108" t="str">
        <f t="shared" si="1"/>
        <v>URBS 2</v>
      </c>
      <c r="O228" s="109" t="str">
        <f>Cadastro!$O228</f>
        <v>https://monitoramento.pm.pr.gov.br/proxy_image_2/Interface/Cameras/GetJPEGStream?Camera=LD052CFTV02&amp;AuthUser=copom_DDTQ&amp;AuthPass=DDTQcopom&amp;Width=1024&amp;Height=768&amp;Quality=70&amp;FPS=10&amp;ResponseFormat=Text</v>
      </c>
      <c r="P228" s="106">
        <f>Cadastro!$P228</f>
        <v>1</v>
      </c>
    </row>
    <row r="229">
      <c r="A229" s="104" t="str">
        <f>Cadastro!$A229</f>
        <v>URBS 2</v>
      </c>
      <c r="B229" s="104" t="str">
        <f>Cadastro!$B229</f>
        <v>CURITIBA</v>
      </c>
      <c r="C229" s="107" t="str">
        <f>Cadastro!$C229</f>
        <v>https://monitoramento.pm.pr.gov.br/proxy_image_2/</v>
      </c>
      <c r="D229" s="105">
        <f>Cadastro!$D229</f>
        <v>28601</v>
      </c>
      <c r="E229" s="104" t="str">
        <f>Cadastro!$E229</f>
        <v>TE001CFTV01</v>
      </c>
      <c r="F229" s="104" t="str">
        <f>Cadastro!$F229</f>
        <v>Terminal Bairro alto</v>
      </c>
      <c r="G229" s="104" t="str">
        <f>Cadastro!$G229</f>
        <v>-25.413030</v>
      </c>
      <c r="H229" s="104" t="str">
        <f>Cadastro!$H229</f>
        <v>-49.205610</v>
      </c>
      <c r="I229" s="104" t="str">
        <f>Cadastro!$I229</f>
        <v>copom_DDTQ</v>
      </c>
      <c r="J229" s="104" t="str">
        <f>Cadastro!$J229</f>
        <v>DDTQcopom</v>
      </c>
      <c r="K229" s="104" t="s">
        <v>4536</v>
      </c>
      <c r="L229" s="104" t="s">
        <v>26</v>
      </c>
      <c r="M229" s="104" t="s">
        <v>27</v>
      </c>
      <c r="N229" s="108" t="str">
        <f t="shared" si="1"/>
        <v>URBS 2</v>
      </c>
      <c r="O229" s="109" t="str">
        <f>Cadastro!$O229</f>
        <v>https://monitoramento.pm.pr.gov.br/proxy_image_2/Interface/Cameras/GetJPEGStream?Camera=TE001CFTV01&amp;AuthUser=copom_DDTQ&amp;AuthPass=DDTQcopom&amp;Width=1024&amp;Height=768&amp;Quality=70&amp;FPS=10&amp;ResponseFormat=Text</v>
      </c>
      <c r="P229" s="106">
        <f>Cadastro!$P229</f>
        <v>1</v>
      </c>
    </row>
    <row r="230">
      <c r="A230" s="104" t="str">
        <f>Cadastro!$A230</f>
        <v>URBS 2</v>
      </c>
      <c r="B230" s="104" t="str">
        <f>Cadastro!$B230</f>
        <v>CURITIBA</v>
      </c>
      <c r="C230" s="107" t="str">
        <f>Cadastro!$C230</f>
        <v>https://monitoramento.pm.pr.gov.br/proxy_image_2/</v>
      </c>
      <c r="D230" s="105">
        <f>Cadastro!$D230</f>
        <v>28601</v>
      </c>
      <c r="E230" s="104" t="str">
        <f>Cadastro!$E230</f>
        <v>TE001CFTV02</v>
      </c>
      <c r="F230" s="104" t="str">
        <f>Cadastro!$F230</f>
        <v>Terminal Bairro alto &gt; Santa Cândida</v>
      </c>
      <c r="G230" s="104" t="str">
        <f>Cadastro!$G230</f>
        <v>-25.412822</v>
      </c>
      <c r="H230" s="104" t="str">
        <f>Cadastro!$H230</f>
        <v>-49.205057</v>
      </c>
      <c r="I230" s="104" t="str">
        <f>Cadastro!$I230</f>
        <v>copom_DDTQ</v>
      </c>
      <c r="J230" s="104" t="str">
        <f>Cadastro!$J230</f>
        <v>DDTQcopom</v>
      </c>
      <c r="K230" s="104" t="s">
        <v>4536</v>
      </c>
      <c r="L230" s="104" t="s">
        <v>26</v>
      </c>
      <c r="M230" s="104" t="s">
        <v>27</v>
      </c>
      <c r="N230" s="108" t="str">
        <f t="shared" si="1"/>
        <v>URBS 2</v>
      </c>
      <c r="O230" s="109" t="str">
        <f>Cadastro!$O230</f>
        <v>https://monitoramento.pm.pr.gov.br/proxy_image_2/Interface/Cameras/GetJPEGStream?Camera=TE001CFTV02&amp;AuthUser=copom_DDTQ&amp;AuthPass=DDTQcopom&amp;Width=1024&amp;Height=768&amp;Quality=70&amp;FPS=10&amp;ResponseFormat=Text</v>
      </c>
      <c r="P230" s="106">
        <f>Cadastro!$P230</f>
        <v>1</v>
      </c>
    </row>
    <row r="231">
      <c r="A231" s="104" t="str">
        <f>Cadastro!$A231</f>
        <v>URBS 2</v>
      </c>
      <c r="B231" s="104" t="str">
        <f>Cadastro!$B231</f>
        <v>CURITIBA</v>
      </c>
      <c r="C231" s="107" t="str">
        <f>Cadastro!$C231</f>
        <v>https://monitoramento.pm.pr.gov.br/proxy_image_2/</v>
      </c>
      <c r="D231" s="105">
        <f>Cadastro!$D231</f>
        <v>28601</v>
      </c>
      <c r="E231" s="104" t="str">
        <f>Cadastro!$E231</f>
        <v>TE001CFTV03</v>
      </c>
      <c r="F231" s="104" t="str">
        <f>Cadastro!$F231</f>
        <v>Terminal Bairro alto &gt; Vila Oficinas</v>
      </c>
      <c r="G231" s="104" t="str">
        <f>Cadastro!$G231</f>
        <v>-25.413047</v>
      </c>
      <c r="H231" s="104" t="str">
        <f>Cadastro!$H231</f>
        <v>-49.205458</v>
      </c>
      <c r="I231" s="104" t="str">
        <f>Cadastro!$I231</f>
        <v>copom_DDTQ</v>
      </c>
      <c r="J231" s="104" t="str">
        <f>Cadastro!$J231</f>
        <v>DDTQcopom</v>
      </c>
      <c r="K231" s="104" t="s">
        <v>4536</v>
      </c>
      <c r="L231" s="104" t="s">
        <v>26</v>
      </c>
      <c r="M231" s="104" t="s">
        <v>27</v>
      </c>
      <c r="N231" s="108" t="str">
        <f t="shared" si="1"/>
        <v>URBS 2</v>
      </c>
      <c r="O231" s="109" t="str">
        <f>Cadastro!$O231</f>
        <v>https://monitoramento.pm.pr.gov.br/proxy_image_2/Interface/Cameras/GetJPEGStream?Camera=TE001CFTV03&amp;AuthUser=copom_DDTQ&amp;AuthPass=DDTQcopom&amp;Width=1024&amp;Height=768&amp;Quality=70&amp;FPS=10&amp;ResponseFormat=Text</v>
      </c>
      <c r="P231" s="106">
        <f>Cadastro!$P231</f>
        <v>1</v>
      </c>
    </row>
    <row r="232">
      <c r="A232" s="104" t="str">
        <f>Cadastro!$A232</f>
        <v>URBS 2</v>
      </c>
      <c r="B232" s="104" t="str">
        <f>Cadastro!$B232</f>
        <v>CURITIBA</v>
      </c>
      <c r="C232" s="107" t="str">
        <f>Cadastro!$C232</f>
        <v>https://monitoramento.pm.pr.gov.br/proxy_image_2/</v>
      </c>
      <c r="D232" s="105">
        <f>Cadastro!$D232</f>
        <v>28601</v>
      </c>
      <c r="E232" s="104" t="str">
        <f>Cadastro!$E232</f>
        <v>TE001CFTV06</v>
      </c>
      <c r="F232" s="104" t="str">
        <f>Cadastro!$F232</f>
        <v>Terminal Bairro alto &gt; Entrada</v>
      </c>
      <c r="G232" s="104" t="str">
        <f>Cadastro!$G232</f>
        <v>-25.413104</v>
      </c>
      <c r="H232" s="104" t="str">
        <f>Cadastro!$H232</f>
        <v>-49.205738</v>
      </c>
      <c r="I232" s="104" t="str">
        <f>Cadastro!$I232</f>
        <v>copom_DDTQ</v>
      </c>
      <c r="J232" s="104" t="str">
        <f>Cadastro!$J232</f>
        <v>DDTQcopom</v>
      </c>
      <c r="K232" s="104" t="s">
        <v>4536</v>
      </c>
      <c r="L232" s="104" t="s">
        <v>26</v>
      </c>
      <c r="M232" s="104" t="s">
        <v>27</v>
      </c>
      <c r="N232" s="108" t="str">
        <f t="shared" si="1"/>
        <v>URBS 2</v>
      </c>
      <c r="O232" s="109" t="str">
        <f>Cadastro!$O232</f>
        <v>https://monitoramento.pm.pr.gov.br/proxy_image_2/Interface/Cameras/GetJPEGStream?Camera=TE001CFTV06&amp;AuthUser=copom_DDTQ&amp;AuthPass=DDTQcopom&amp;Width=1024&amp;Height=768&amp;Quality=70&amp;FPS=10&amp;ResponseFormat=Text</v>
      </c>
      <c r="P232" s="106">
        <f>Cadastro!$P232</f>
        <v>1</v>
      </c>
    </row>
    <row r="233">
      <c r="A233" s="104" t="str">
        <f>Cadastro!$A233</f>
        <v>URBS 2</v>
      </c>
      <c r="B233" s="104" t="str">
        <f>Cadastro!$B233</f>
        <v>CURITIBA</v>
      </c>
      <c r="C233" s="107" t="str">
        <f>Cadastro!$C233</f>
        <v>https://monitoramento.pm.pr.gov.br/proxy_image_2/</v>
      </c>
      <c r="D233" s="105">
        <f>Cadastro!$D233</f>
        <v>28601</v>
      </c>
      <c r="E233" s="104" t="str">
        <f>Cadastro!$E233</f>
        <v>TE001CFTV07</v>
      </c>
      <c r="F233" s="104" t="str">
        <f>Cadastro!$F233</f>
        <v>Terminal Bairro alto &gt; Entrada 2</v>
      </c>
      <c r="G233" s="104" t="str">
        <f>Cadastro!$G233</f>
        <v>-25.412834</v>
      </c>
      <c r="H233" s="104" t="str">
        <f>Cadastro!$H233</f>
        <v>-49.204977</v>
      </c>
      <c r="I233" s="104" t="str">
        <f>Cadastro!$I233</f>
        <v>copom_DDTQ</v>
      </c>
      <c r="J233" s="104" t="str">
        <f>Cadastro!$J233</f>
        <v>DDTQcopom</v>
      </c>
      <c r="K233" s="104" t="s">
        <v>4536</v>
      </c>
      <c r="L233" s="104" t="s">
        <v>26</v>
      </c>
      <c r="M233" s="104" t="s">
        <v>27</v>
      </c>
      <c r="N233" s="108" t="str">
        <f t="shared" si="1"/>
        <v>URBS 2</v>
      </c>
      <c r="O233" s="109" t="str">
        <f>Cadastro!$O233</f>
        <v>https://monitoramento.pm.pr.gov.br/proxy_image_2/Interface/Cameras/GetJPEGStream?Camera=TE001CFTV07&amp;AuthUser=copom_DDTQ&amp;AuthPass=DDTQcopom&amp;Width=1024&amp;Height=768&amp;Quality=70&amp;FPS=10&amp;ResponseFormat=Text</v>
      </c>
      <c r="P233" s="106">
        <f>Cadastro!$P233</f>
        <v>1</v>
      </c>
    </row>
    <row r="234">
      <c r="A234" s="104" t="str">
        <f>Cadastro!$A234</f>
        <v>URBS 2</v>
      </c>
      <c r="B234" s="104" t="str">
        <f>Cadastro!$B234</f>
        <v>CURITIBA</v>
      </c>
      <c r="C234" s="107" t="str">
        <f>Cadastro!$C234</f>
        <v>https://monitoramento.pm.pr.gov.br/proxy_image_2/</v>
      </c>
      <c r="D234" s="105">
        <f>Cadastro!$D234</f>
        <v>28601</v>
      </c>
      <c r="E234" s="104" t="str">
        <f>Cadastro!$E234</f>
        <v>TE001CFTV08</v>
      </c>
      <c r="F234" s="104" t="str">
        <f>Cadastro!$F234</f>
        <v>Terminal Bairro alto &gt; Boa Vista</v>
      </c>
      <c r="G234" s="104" t="str">
        <f>Cadastro!$G234</f>
        <v>-25.412893</v>
      </c>
      <c r="H234" s="104" t="str">
        <f>Cadastro!$H234</f>
        <v>-49.205068</v>
      </c>
      <c r="I234" s="104" t="str">
        <f>Cadastro!$I234</f>
        <v>copom_DDTQ</v>
      </c>
      <c r="J234" s="104" t="str">
        <f>Cadastro!$J234</f>
        <v>DDTQcopom</v>
      </c>
      <c r="K234" s="104" t="s">
        <v>4536</v>
      </c>
      <c r="L234" s="104" t="s">
        <v>26</v>
      </c>
      <c r="M234" s="104" t="s">
        <v>27</v>
      </c>
      <c r="N234" s="108" t="str">
        <f t="shared" si="1"/>
        <v>URBS 2</v>
      </c>
      <c r="O234" s="109" t="str">
        <f>Cadastro!$O234</f>
        <v>https://monitoramento.pm.pr.gov.br/proxy_image_2/Interface/Cameras/GetJPEGStream?Camera=TE001CFTV08&amp;AuthUser=copom_DDTQ&amp;AuthPass=DDTQcopom&amp;Width=1024&amp;Height=768&amp;Quality=70&amp;FPS=10&amp;ResponseFormat=Text</v>
      </c>
      <c r="P234" s="106">
        <f>Cadastro!$P234</f>
        <v>1</v>
      </c>
    </row>
    <row r="235">
      <c r="A235" s="104" t="str">
        <f>Cadastro!$A235</f>
        <v>URBS 2</v>
      </c>
      <c r="B235" s="104" t="str">
        <f>Cadastro!$B235</f>
        <v>CURITIBA</v>
      </c>
      <c r="C235" s="107" t="str">
        <f>Cadastro!$C235</f>
        <v>https://monitoramento.pm.pr.gov.br/proxy_image_2/</v>
      </c>
      <c r="D235" s="105">
        <f>Cadastro!$D235</f>
        <v>28601</v>
      </c>
      <c r="E235" s="104" t="str">
        <f>Cadastro!$E235</f>
        <v>TE002CFTV07</v>
      </c>
      <c r="F235" s="104" t="str">
        <f>Cadastro!$F235</f>
        <v>Terminal Barreirinha &gt; Entrada</v>
      </c>
      <c r="G235" s="104" t="str">
        <f>Cadastro!$G235</f>
        <v>-25.377757</v>
      </c>
      <c r="H235" s="104" t="str">
        <f>Cadastro!$H235</f>
        <v>-49.262433</v>
      </c>
      <c r="I235" s="104" t="str">
        <f>Cadastro!$I235</f>
        <v>copom_DDTQ</v>
      </c>
      <c r="J235" s="104" t="str">
        <f>Cadastro!$J235</f>
        <v>DDTQcopom</v>
      </c>
      <c r="K235" s="104" t="s">
        <v>4536</v>
      </c>
      <c r="L235" s="104" t="s">
        <v>26</v>
      </c>
      <c r="M235" s="104" t="s">
        <v>27</v>
      </c>
      <c r="N235" s="108" t="str">
        <f t="shared" si="1"/>
        <v>URBS 2</v>
      </c>
      <c r="O235" s="109" t="str">
        <f>Cadastro!$O235</f>
        <v>https://monitoramento.pm.pr.gov.br/proxy_image_2/Interface/Cameras/GetJPEGStream?Camera=TE002CFTV07&amp;AuthUser=copom_DDTQ&amp;AuthPass=DDTQcopom&amp;Width=1024&amp;Height=768&amp;Quality=70&amp;FPS=10&amp;ResponseFormat=Text</v>
      </c>
      <c r="P235" s="106">
        <f>Cadastro!$P235</f>
        <v>1</v>
      </c>
    </row>
    <row r="236">
      <c r="A236" s="104" t="str">
        <f>Cadastro!$A236</f>
        <v>URBS 2</v>
      </c>
      <c r="B236" s="104" t="str">
        <f>Cadastro!$B236</f>
        <v>CURITIBA</v>
      </c>
      <c r="C236" s="107" t="str">
        <f>Cadastro!$C236</f>
        <v>https://monitoramento.pm.pr.gov.br/proxy_image_2/</v>
      </c>
      <c r="D236" s="105">
        <f>Cadastro!$D236</f>
        <v>28601</v>
      </c>
      <c r="E236" s="104" t="str">
        <f>Cadastro!$E236</f>
        <v>TE002CFTV08</v>
      </c>
      <c r="F236" s="104" t="str">
        <f>Cadastro!$F236</f>
        <v>Terminal Barreirinha &gt; Entrada 2</v>
      </c>
      <c r="G236" s="104" t="str">
        <f>Cadastro!$G236</f>
        <v>-25.377175</v>
      </c>
      <c r="H236" s="104" t="str">
        <f>Cadastro!$H236</f>
        <v>-49.262462</v>
      </c>
      <c r="I236" s="104" t="str">
        <f>Cadastro!$I236</f>
        <v>copom_DDTQ</v>
      </c>
      <c r="J236" s="104" t="str">
        <f>Cadastro!$J236</f>
        <v>DDTQcopom</v>
      </c>
      <c r="K236" s="104" t="s">
        <v>4536</v>
      </c>
      <c r="L236" s="104" t="s">
        <v>26</v>
      </c>
      <c r="M236" s="104" t="s">
        <v>27</v>
      </c>
      <c r="N236" s="108" t="str">
        <f t="shared" si="1"/>
        <v>URBS 2</v>
      </c>
      <c r="O236" s="109" t="str">
        <f>Cadastro!$O236</f>
        <v>https://monitoramento.pm.pr.gov.br/proxy_image_2/Interface/Cameras/GetJPEGStream?Camera=TE002CFTV08&amp;AuthUser=copom_DDTQ&amp;AuthPass=DDTQcopom&amp;Width=1024&amp;Height=768&amp;Quality=70&amp;FPS=10&amp;ResponseFormat=Text</v>
      </c>
      <c r="P236" s="106">
        <f>Cadastro!$P236</f>
        <v>1</v>
      </c>
    </row>
    <row r="237">
      <c r="A237" s="104" t="str">
        <f>Cadastro!$A237</f>
        <v>URBS 2</v>
      </c>
      <c r="B237" s="104" t="str">
        <f>Cadastro!$B237</f>
        <v>CURITIBA</v>
      </c>
      <c r="C237" s="107" t="str">
        <f>Cadastro!$C237</f>
        <v>https://monitoramento.pm.pr.gov.br/proxy_image_2/</v>
      </c>
      <c r="D237" s="105">
        <f>Cadastro!$D237</f>
        <v>28601</v>
      </c>
      <c r="E237" s="104" t="str">
        <f>Cadastro!$E237</f>
        <v>TE005CFTV14</v>
      </c>
      <c r="F237" s="104" t="str">
        <f>Cadastro!$F237</f>
        <v>Terminal Cabral&gt; Entrada</v>
      </c>
      <c r="G237" s="104" t="str">
        <f>Cadastro!$G237</f>
        <v>-25.406793</v>
      </c>
      <c r="H237" s="104" t="str">
        <f>Cadastro!$H237</f>
        <v>-49.253177</v>
      </c>
      <c r="I237" s="104" t="str">
        <f>Cadastro!$I237</f>
        <v>copom_DDTQ</v>
      </c>
      <c r="J237" s="104" t="str">
        <f>Cadastro!$J237</f>
        <v>DDTQcopom</v>
      </c>
      <c r="K237" s="104" t="s">
        <v>4536</v>
      </c>
      <c r="L237" s="104" t="s">
        <v>26</v>
      </c>
      <c r="M237" s="104" t="s">
        <v>27</v>
      </c>
      <c r="N237" s="108" t="str">
        <f t="shared" si="1"/>
        <v>URBS 2</v>
      </c>
      <c r="O237" s="109" t="str">
        <f>Cadastro!$O237</f>
        <v>https://monitoramento.pm.pr.gov.br/proxy_image_2/Interface/Cameras/GetJPEGStream?Camera=TE005CFTV14&amp;AuthUser=copom_DDTQ&amp;AuthPass=DDTQcopom&amp;Width=1024&amp;Height=768&amp;Quality=70&amp;FPS=10&amp;ResponseFormat=Text</v>
      </c>
      <c r="P237" s="106">
        <f>Cadastro!$P237</f>
        <v>1</v>
      </c>
    </row>
    <row r="238">
      <c r="A238" s="104" t="str">
        <f>Cadastro!$A238</f>
        <v>URBS 2</v>
      </c>
      <c r="B238" s="104" t="str">
        <f>Cadastro!$B238</f>
        <v>CURITIBA</v>
      </c>
      <c r="C238" s="107" t="str">
        <f>Cadastro!$C238</f>
        <v>https://monitoramento.pm.pr.gov.br/proxy_image_2/</v>
      </c>
      <c r="D238" s="105">
        <f>Cadastro!$D238</f>
        <v>28601</v>
      </c>
      <c r="E238" s="104" t="str">
        <f>Cadastro!$E238</f>
        <v>TE005CFTV15</v>
      </c>
      <c r="F238" s="104" t="str">
        <f>Cadastro!$F238</f>
        <v>Terminal Cabral&gt; Plataforma expresso 2</v>
      </c>
      <c r="G238" s="104" t="str">
        <f>Cadastro!$G238</f>
        <v>-25.406560</v>
      </c>
      <c r="H238" s="104" t="str">
        <f>Cadastro!$H238</f>
        <v>-49.252330</v>
      </c>
      <c r="I238" s="104" t="str">
        <f>Cadastro!$I238</f>
        <v>copom_DDTQ</v>
      </c>
      <c r="J238" s="104" t="str">
        <f>Cadastro!$J238</f>
        <v>DDTQcopom</v>
      </c>
      <c r="K238" s="104" t="s">
        <v>4536</v>
      </c>
      <c r="L238" s="104" t="s">
        <v>26</v>
      </c>
      <c r="M238" s="104" t="s">
        <v>27</v>
      </c>
      <c r="N238" s="108" t="str">
        <f t="shared" si="1"/>
        <v>URBS 2</v>
      </c>
      <c r="O238" s="109" t="str">
        <f>Cadastro!$O238</f>
        <v>https://monitoramento.pm.pr.gov.br/proxy_image_2/Interface/Cameras/GetJPEGStream?Camera=TE005CFTV15&amp;AuthUser=copom_DDTQ&amp;AuthPass=DDTQcopom&amp;Width=1024&amp;Height=768&amp;Quality=70&amp;FPS=10&amp;ResponseFormat=Text</v>
      </c>
      <c r="P238" s="106">
        <f>Cadastro!$P238</f>
        <v>1</v>
      </c>
    </row>
    <row r="239">
      <c r="A239" s="104" t="str">
        <f>Cadastro!$A239</f>
        <v>URBS 2</v>
      </c>
      <c r="B239" s="104" t="str">
        <f>Cadastro!$B239</f>
        <v>CURITIBA</v>
      </c>
      <c r="C239" s="107" t="str">
        <f>Cadastro!$C239</f>
        <v>https://monitoramento.pm.pr.gov.br/proxy_image_2/</v>
      </c>
      <c r="D239" s="105">
        <f>Cadastro!$D239</f>
        <v>28601</v>
      </c>
      <c r="E239" s="104" t="str">
        <f>Cadastro!$E239</f>
        <v>TE005CFTV16</v>
      </c>
      <c r="F239" s="104" t="str">
        <f>Cadastro!$F239</f>
        <v>Terminal Cabral&gt; Plataforma expresso&gt; bairro</v>
      </c>
      <c r="G239" s="104" t="str">
        <f>Cadastro!$G239</f>
        <v>-25.406543</v>
      </c>
      <c r="H239" s="104" t="str">
        <f>Cadastro!$H239</f>
        <v>-49.252634</v>
      </c>
      <c r="I239" s="104" t="str">
        <f>Cadastro!$I239</f>
        <v>copom_DDTQ</v>
      </c>
      <c r="J239" s="104" t="str">
        <f>Cadastro!$J239</f>
        <v>DDTQcopom</v>
      </c>
      <c r="K239" s="104" t="s">
        <v>4536</v>
      </c>
      <c r="L239" s="104" t="s">
        <v>26</v>
      </c>
      <c r="M239" s="104" t="s">
        <v>27</v>
      </c>
      <c r="N239" s="108" t="str">
        <f t="shared" si="1"/>
        <v>URBS 2</v>
      </c>
      <c r="O239" s="109" t="str">
        <f>Cadastro!$O239</f>
        <v>https://monitoramento.pm.pr.gov.br/proxy_image_2/Interface/Cameras/GetJPEGStream?Camera=TE005CFTV16&amp;AuthUser=copom_DDTQ&amp;AuthPass=DDTQcopom&amp;Width=1024&amp;Height=768&amp;Quality=70&amp;FPS=10&amp;ResponseFormat=Text</v>
      </c>
      <c r="P239" s="106">
        <f>Cadastro!$P239</f>
        <v>1</v>
      </c>
    </row>
    <row r="240">
      <c r="A240" s="104" t="str">
        <f>Cadastro!$A240</f>
        <v>URBS 2</v>
      </c>
      <c r="B240" s="104" t="str">
        <f>Cadastro!$B240</f>
        <v>CURITIBA</v>
      </c>
      <c r="C240" s="107" t="str">
        <f>Cadastro!$C240</f>
        <v>https://monitoramento.pm.pr.gov.br/proxy_image_2/</v>
      </c>
      <c r="D240" s="105">
        <f>Cadastro!$D240</f>
        <v>28601</v>
      </c>
      <c r="E240" s="104" t="str">
        <f>Cadastro!$E240</f>
        <v>TE005CFTV17</v>
      </c>
      <c r="F240" s="104" t="str">
        <f>Cadastro!$F240</f>
        <v>Terminal Cabral&gt; Entrada 2</v>
      </c>
      <c r="G240" s="104" t="str">
        <f>Cadastro!$G240</f>
        <v>-25.406271</v>
      </c>
      <c r="H240" s="104" t="str">
        <f>Cadastro!$H240</f>
        <v>-49.252355</v>
      </c>
      <c r="I240" s="104" t="str">
        <f>Cadastro!$I240</f>
        <v>copom_DDTQ</v>
      </c>
      <c r="J240" s="104" t="str">
        <f>Cadastro!$J240</f>
        <v>DDTQcopom</v>
      </c>
      <c r="K240" s="104" t="s">
        <v>4536</v>
      </c>
      <c r="L240" s="104" t="s">
        <v>26</v>
      </c>
      <c r="M240" s="104" t="s">
        <v>27</v>
      </c>
      <c r="N240" s="108" t="str">
        <f t="shared" si="1"/>
        <v>URBS 2</v>
      </c>
      <c r="O240" s="109" t="str">
        <f>Cadastro!$O240</f>
        <v>https://monitoramento.pm.pr.gov.br/proxy_image_2/Interface/Cameras/GetJPEGStream?Camera=TE005CFTV17&amp;AuthUser=copom_DDTQ&amp;AuthPass=DDTQcopom&amp;Width=1024&amp;Height=768&amp;Quality=70&amp;FPS=10&amp;ResponseFormat=Text</v>
      </c>
      <c r="P240" s="106">
        <f>Cadastro!$P240</f>
        <v>1</v>
      </c>
    </row>
    <row r="241">
      <c r="A241" s="104" t="str">
        <f>Cadastro!$A241</f>
        <v>URBS 2</v>
      </c>
      <c r="B241" s="104" t="str">
        <f>Cadastro!$B241</f>
        <v>CURITIBA</v>
      </c>
      <c r="C241" s="107" t="str">
        <f>Cadastro!$C241</f>
        <v>https://monitoramento.pm.pr.gov.br/proxy_image_2/</v>
      </c>
      <c r="D241" s="105">
        <f>Cadastro!$D241</f>
        <v>28601</v>
      </c>
      <c r="E241" s="104" t="str">
        <f>Cadastro!$E241</f>
        <v>TE005CFTV18</v>
      </c>
      <c r="F241" s="104" t="str">
        <f>Cadastro!$F241</f>
        <v>Terminal Cabral&gt; Entrada 3</v>
      </c>
      <c r="G241" s="104" t="str">
        <f>Cadastro!$G241</f>
        <v>-25.407155</v>
      </c>
      <c r="H241" s="104" t="str">
        <f>Cadastro!$H241</f>
        <v>-49.252836</v>
      </c>
      <c r="I241" s="104" t="str">
        <f>Cadastro!$I241</f>
        <v>copom_DDTQ</v>
      </c>
      <c r="J241" s="104" t="str">
        <f>Cadastro!$J241</f>
        <v>DDTQcopom</v>
      </c>
      <c r="K241" s="104" t="s">
        <v>4536</v>
      </c>
      <c r="L241" s="104" t="s">
        <v>26</v>
      </c>
      <c r="M241" s="104" t="s">
        <v>27</v>
      </c>
      <c r="N241" s="108" t="str">
        <f t="shared" si="1"/>
        <v>URBS 2</v>
      </c>
      <c r="O241" s="109" t="str">
        <f>Cadastro!$O241</f>
        <v>https://monitoramento.pm.pr.gov.br/proxy_image_2/Interface/Cameras/GetJPEGStream?Camera=TE005CFTV18&amp;AuthUser=copom_DDTQ&amp;AuthPass=DDTQcopom&amp;Width=1024&amp;Height=768&amp;Quality=70&amp;FPS=10&amp;ResponseFormat=Text</v>
      </c>
      <c r="P241" s="106">
        <f>Cadastro!$P241</f>
        <v>1</v>
      </c>
    </row>
    <row r="242">
      <c r="A242" s="104" t="str">
        <f>Cadastro!$A242</f>
        <v>URBS 2</v>
      </c>
      <c r="B242" s="104" t="str">
        <f>Cadastro!$B242</f>
        <v>CURITIBA</v>
      </c>
      <c r="C242" s="107" t="str">
        <f>Cadastro!$C242</f>
        <v>https://monitoramento.pm.pr.gov.br/proxy_image_2/</v>
      </c>
      <c r="D242" s="105">
        <f>Cadastro!$D242</f>
        <v>28601</v>
      </c>
      <c r="E242" s="104" t="str">
        <f>Cadastro!$E242</f>
        <v>TE006CFTV05</v>
      </c>
      <c r="F242" s="104" t="str">
        <f>Cadastro!$F242</f>
        <v>Terminal Cauia &gt; Entrada 1</v>
      </c>
      <c r="G242" s="104" t="str">
        <f>Cadastro!$G242</f>
        <v>-25.483933</v>
      </c>
      <c r="H242" s="104" t="str">
        <f>Cadastro!$H242</f>
        <v>-49.350076</v>
      </c>
      <c r="I242" s="104" t="str">
        <f>Cadastro!$I242</f>
        <v>copom_DDTQ</v>
      </c>
      <c r="J242" s="104" t="str">
        <f>Cadastro!$J242</f>
        <v>DDTQcopom</v>
      </c>
      <c r="K242" s="104" t="s">
        <v>4536</v>
      </c>
      <c r="L242" s="104" t="s">
        <v>26</v>
      </c>
      <c r="M242" s="104" t="s">
        <v>27</v>
      </c>
      <c r="N242" s="108" t="str">
        <f t="shared" si="1"/>
        <v>URBS 2</v>
      </c>
      <c r="O242" s="109" t="str">
        <f>Cadastro!$O242</f>
        <v>https://monitoramento.pm.pr.gov.br/proxy_image_2/Interface/Cameras/GetJPEGStream?Camera=TE006CFTV05&amp;AuthUser=copom_DDTQ&amp;AuthPass=DDTQcopom&amp;Width=1024&amp;Height=768&amp;Quality=70&amp;FPS=10&amp;ResponseFormat=Text</v>
      </c>
      <c r="P242" s="106">
        <f>Cadastro!$P242</f>
        <v>1</v>
      </c>
    </row>
    <row r="243">
      <c r="A243" s="104" t="str">
        <f>Cadastro!$A243</f>
        <v>URBS 2</v>
      </c>
      <c r="B243" s="104" t="str">
        <f>Cadastro!$B243</f>
        <v>CURITIBA</v>
      </c>
      <c r="C243" s="107" t="str">
        <f>Cadastro!$C243</f>
        <v>https://monitoramento.pm.pr.gov.br/proxy_image_2/</v>
      </c>
      <c r="D243" s="105">
        <f>Cadastro!$D243</f>
        <v>28601</v>
      </c>
      <c r="E243" s="104" t="str">
        <f>Cadastro!$E243</f>
        <v>TE006CFTV06</v>
      </c>
      <c r="F243" s="104" t="str">
        <f>Cadastro!$F243</f>
        <v>Terminal Cauia &gt; V.Marisa</v>
      </c>
      <c r="G243" s="104" t="str">
        <f>Cadastro!$G243</f>
        <v>-25.483570</v>
      </c>
      <c r="H243" s="104" t="str">
        <f>Cadastro!$H243</f>
        <v>-49.350229</v>
      </c>
      <c r="I243" s="104" t="str">
        <f>Cadastro!$I243</f>
        <v>copom_DDTQ</v>
      </c>
      <c r="J243" s="104" t="str">
        <f>Cadastro!$J243</f>
        <v>DDTQcopom</v>
      </c>
      <c r="K243" s="104" t="s">
        <v>4536</v>
      </c>
      <c r="L243" s="104" t="s">
        <v>26</v>
      </c>
      <c r="M243" s="104" t="s">
        <v>27</v>
      </c>
      <c r="N243" s="108" t="str">
        <f t="shared" si="1"/>
        <v>URBS 2</v>
      </c>
      <c r="O243" s="109" t="str">
        <f>Cadastro!$O243</f>
        <v>https://monitoramento.pm.pr.gov.br/proxy_image_2/Interface/Cameras/GetJPEGStream?Camera=TE006CFTV06&amp;AuthUser=copom_DDTQ&amp;AuthPass=DDTQcopom&amp;Width=1024&amp;Height=768&amp;Quality=70&amp;FPS=10&amp;ResponseFormat=Text</v>
      </c>
      <c r="P243" s="106">
        <f>Cadastro!$P243</f>
        <v>1</v>
      </c>
    </row>
    <row r="244">
      <c r="A244" s="104" t="str">
        <f>Cadastro!$A244</f>
        <v>URBS 2</v>
      </c>
      <c r="B244" s="104" t="str">
        <f>Cadastro!$B244</f>
        <v>CURITIBA</v>
      </c>
      <c r="C244" s="107" t="str">
        <f>Cadastro!$C244</f>
        <v>https://monitoramento.pm.pr.gov.br/proxy_image_2/</v>
      </c>
      <c r="D244" s="105">
        <f>Cadastro!$D244</f>
        <v>28601</v>
      </c>
      <c r="E244" s="104" t="str">
        <f>Cadastro!$E244</f>
        <v>TE006CFTV07</v>
      </c>
      <c r="F244" s="104" t="str">
        <f>Cadastro!$F244</f>
        <v>Terminal Cauia &gt; Mario Jorge</v>
      </c>
      <c r="G244" s="104" t="str">
        <f>Cadastro!$G244</f>
        <v>-25.483772</v>
      </c>
      <c r="H244" s="104" t="str">
        <f>Cadastro!$H244</f>
        <v>-49.350300</v>
      </c>
      <c r="I244" s="104" t="str">
        <f>Cadastro!$I244</f>
        <v>copom_DDTQ</v>
      </c>
      <c r="J244" s="104" t="str">
        <f>Cadastro!$J244</f>
        <v>DDTQcopom</v>
      </c>
      <c r="K244" s="104" t="s">
        <v>4536</v>
      </c>
      <c r="L244" s="104" t="s">
        <v>26</v>
      </c>
      <c r="M244" s="104" t="s">
        <v>27</v>
      </c>
      <c r="N244" s="108" t="str">
        <f t="shared" si="1"/>
        <v>URBS 2</v>
      </c>
      <c r="O244" s="109" t="str">
        <f>Cadastro!$O244</f>
        <v>https://monitoramento.pm.pr.gov.br/proxy_image_2/Interface/Cameras/GetJPEGStream?Camera=TE006CFTV07&amp;AuthUser=copom_DDTQ&amp;AuthPass=DDTQcopom&amp;Width=1024&amp;Height=768&amp;Quality=70&amp;FPS=10&amp;ResponseFormat=Text</v>
      </c>
      <c r="P244" s="106">
        <f>Cadastro!$P244</f>
        <v>1</v>
      </c>
    </row>
    <row r="245">
      <c r="A245" s="104" t="str">
        <f>Cadastro!$A245</f>
        <v>URBS 2</v>
      </c>
      <c r="B245" s="104" t="str">
        <f>Cadastro!$B245</f>
        <v>CURITIBA</v>
      </c>
      <c r="C245" s="107" t="str">
        <f>Cadastro!$C245</f>
        <v>https://monitoramento.pm.pr.gov.br/proxy_image_2/</v>
      </c>
      <c r="D245" s="105">
        <f>Cadastro!$D245</f>
        <v>28601</v>
      </c>
      <c r="E245" s="104" t="str">
        <f>Cadastro!$E245</f>
        <v>TE012CFTV08</v>
      </c>
      <c r="F245" s="104" t="str">
        <f>Cadastro!$F245</f>
        <v>Terminal Centenario &gt; Entrada</v>
      </c>
      <c r="G245" s="104" t="str">
        <f>Cadastro!$G245</f>
        <v>-25.468985</v>
      </c>
      <c r="H245" s="104" t="str">
        <f>Cadastro!$H245</f>
        <v>-49.208469</v>
      </c>
      <c r="I245" s="104" t="str">
        <f>Cadastro!$I245</f>
        <v>copom_DDTQ</v>
      </c>
      <c r="J245" s="104" t="str">
        <f>Cadastro!$J245</f>
        <v>DDTQcopom</v>
      </c>
      <c r="K245" s="104" t="s">
        <v>4536</v>
      </c>
      <c r="L245" s="104" t="s">
        <v>26</v>
      </c>
      <c r="M245" s="104" t="s">
        <v>27</v>
      </c>
      <c r="N245" s="108" t="str">
        <f t="shared" si="1"/>
        <v>URBS 2</v>
      </c>
      <c r="O245" s="109" t="str">
        <f>Cadastro!$O245</f>
        <v>https://monitoramento.pm.pr.gov.br/proxy_image_2/Interface/Cameras/GetJPEGStream?Camera=TE012CFTV08&amp;AuthUser=copom_DDTQ&amp;AuthPass=DDTQcopom&amp;Width=1024&amp;Height=768&amp;Quality=70&amp;FPS=10&amp;ResponseFormat=Text</v>
      </c>
      <c r="P245" s="106">
        <f>Cadastro!$P245</f>
        <v>1</v>
      </c>
    </row>
    <row r="246">
      <c r="A246" s="104" t="str">
        <f>Cadastro!$A246</f>
        <v>URBS 2</v>
      </c>
      <c r="B246" s="104" t="str">
        <f>Cadastro!$B246</f>
        <v>CURITIBA</v>
      </c>
      <c r="C246" s="107" t="str">
        <f>Cadastro!$C246</f>
        <v>https://monitoramento.pm.pr.gov.br/proxy_image_2/</v>
      </c>
      <c r="D246" s="105">
        <f>Cadastro!$D246</f>
        <v>28601</v>
      </c>
      <c r="E246" s="104" t="str">
        <f>Cadastro!$E246</f>
        <v>TE006CFTV09</v>
      </c>
      <c r="F246" s="104" t="str">
        <f>Cadastro!$F246</f>
        <v>Terminal Centenario &gt; Expresso &gt; Centro</v>
      </c>
      <c r="G246" s="104" t="str">
        <f>Cadastro!$G246</f>
        <v>-25.468945</v>
      </c>
      <c r="H246" s="104" t="str">
        <f>Cadastro!$H246</f>
        <v>-49.208118</v>
      </c>
      <c r="I246" s="104" t="str">
        <f>Cadastro!$I246</f>
        <v>copom_DDTQ</v>
      </c>
      <c r="J246" s="104" t="str">
        <f>Cadastro!$J246</f>
        <v>DDTQcopom</v>
      </c>
      <c r="K246" s="104" t="s">
        <v>4536</v>
      </c>
      <c r="L246" s="104" t="s">
        <v>26</v>
      </c>
      <c r="M246" s="104" t="s">
        <v>27</v>
      </c>
      <c r="N246" s="108" t="str">
        <f t="shared" si="1"/>
        <v>URBS 2</v>
      </c>
      <c r="O246" s="109" t="str">
        <f>Cadastro!$O246</f>
        <v>https://monitoramento.pm.pr.gov.br/proxy_image_2/Interface/Cameras/GetJPEGStream?Camera=TE006CFTV09&amp;AuthUser=copom_DDTQ&amp;AuthPass=DDTQcopom&amp;Width=1024&amp;Height=768&amp;Quality=70&amp;FPS=10&amp;ResponseFormat=Text</v>
      </c>
      <c r="P246" s="106">
        <f>Cadastro!$P246</f>
        <v>1</v>
      </c>
    </row>
    <row r="247">
      <c r="A247" s="104" t="str">
        <f>Cadastro!$A247</f>
        <v>URBS 2</v>
      </c>
      <c r="B247" s="104" t="str">
        <f>Cadastro!$B247</f>
        <v>CURITIBA</v>
      </c>
      <c r="C247" s="107" t="str">
        <f>Cadastro!$C247</f>
        <v>https://monitoramento.pm.pr.gov.br/proxy_image_2/</v>
      </c>
      <c r="D247" s="105">
        <f>Cadastro!$D247</f>
        <v>28601</v>
      </c>
      <c r="E247" s="104" t="str">
        <f>Cadastro!$E247</f>
        <v>TE016CFTV05</v>
      </c>
      <c r="F247" s="104" t="str">
        <f>Cadastro!$F247</f>
        <v>Terminal Oficinas&gt; Entrada</v>
      </c>
      <c r="G247" s="104" t="str">
        <f>Cadastro!$G247</f>
        <v>-25.452168</v>
      </c>
      <c r="H247" s="104" t="str">
        <f>Cadastro!$H247</f>
        <v>-49.214676</v>
      </c>
      <c r="I247" s="104" t="str">
        <f>Cadastro!$I247</f>
        <v>copom_DDTQ</v>
      </c>
      <c r="J247" s="104" t="str">
        <f>Cadastro!$J247</f>
        <v>DDTQcopom</v>
      </c>
      <c r="K247" s="104" t="s">
        <v>4536</v>
      </c>
      <c r="L247" s="104" t="s">
        <v>26</v>
      </c>
      <c r="M247" s="104" t="s">
        <v>27</v>
      </c>
      <c r="N247" s="108" t="str">
        <f t="shared" si="1"/>
        <v>URBS 2</v>
      </c>
      <c r="O247" s="109" t="str">
        <f>Cadastro!$O247</f>
        <v>https://monitoramento.pm.pr.gov.br/proxy_image_2/Interface/Cameras/GetJPEGStream?Camera=TE016CFTV05&amp;AuthUser=copom_DDTQ&amp;AuthPass=DDTQcopom&amp;Width=1024&amp;Height=768&amp;Quality=70&amp;FPS=10&amp;ResponseFormat=Text</v>
      </c>
      <c r="P247" s="106">
        <f>Cadastro!$P247</f>
        <v>1</v>
      </c>
    </row>
    <row r="248">
      <c r="A248" s="104" t="str">
        <f>Cadastro!$A248</f>
        <v>URBS 2</v>
      </c>
      <c r="B248" s="104" t="str">
        <f>Cadastro!$B248</f>
        <v>CURITIBA</v>
      </c>
      <c r="C248" s="107" t="str">
        <f>Cadastro!$C248</f>
        <v>https://monitoramento.pm.pr.gov.br/proxy_image_2/</v>
      </c>
      <c r="D248" s="105">
        <f>Cadastro!$D248</f>
        <v>28601</v>
      </c>
      <c r="E248" s="104" t="str">
        <f>Cadastro!$E248</f>
        <v>TE016CFTV06</v>
      </c>
      <c r="F248" s="104" t="str">
        <f>Cadastro!$F248</f>
        <v>Terminal Oficinas&gt; Entrada 2</v>
      </c>
      <c r="G248" s="104" t="str">
        <f>Cadastro!$G248</f>
        <v>-25.451106</v>
      </c>
      <c r="H248" s="104" t="str">
        <f>Cadastro!$H248</f>
        <v>-49.215306</v>
      </c>
      <c r="I248" s="104" t="str">
        <f>Cadastro!$I248</f>
        <v>copom_DDTQ</v>
      </c>
      <c r="J248" s="104" t="str">
        <f>Cadastro!$J248</f>
        <v>DDTQcopom</v>
      </c>
      <c r="K248" s="104" t="s">
        <v>4536</v>
      </c>
      <c r="L248" s="104" t="s">
        <v>26</v>
      </c>
      <c r="M248" s="104" t="s">
        <v>27</v>
      </c>
      <c r="N248" s="108" t="str">
        <f t="shared" si="1"/>
        <v>URBS 2</v>
      </c>
      <c r="O248" s="109" t="str">
        <f>Cadastro!$O248</f>
        <v>https://monitoramento.pm.pr.gov.br/proxy_image_2/Interface/Cameras/GetJPEGStream?Camera=TE016CFTV06&amp;AuthUser=copom_DDTQ&amp;AuthPass=DDTQcopom&amp;Width=1024&amp;Height=768&amp;Quality=70&amp;FPS=10&amp;ResponseFormat=Text</v>
      </c>
      <c r="P248" s="106">
        <f>Cadastro!$P248</f>
        <v>1</v>
      </c>
    </row>
    <row r="249">
      <c r="A249" s="104" t="str">
        <f>Cadastro!$A249</f>
        <v>URBS 2</v>
      </c>
      <c r="B249" s="104" t="str">
        <f>Cadastro!$B249</f>
        <v>CURITIBA</v>
      </c>
      <c r="C249" s="107" t="str">
        <f>Cadastro!$C249</f>
        <v>https://monitoramento.pm.pr.gov.br/proxy_image_2/</v>
      </c>
      <c r="D249" s="105">
        <f>Cadastro!$D249</f>
        <v>28601</v>
      </c>
      <c r="E249" s="104" t="str">
        <f>Cadastro!$E249</f>
        <v>TE016CFTV07</v>
      </c>
      <c r="F249" s="104" t="str">
        <f>Cadastro!$F249</f>
        <v>Terminal Oficinas&gt; Interbairros V</v>
      </c>
      <c r="G249" s="104" t="str">
        <f>Cadastro!$G249</f>
        <v>-25.451188</v>
      </c>
      <c r="H249" s="104" t="str">
        <f>Cadastro!$H249</f>
        <v>-49.215059</v>
      </c>
      <c r="I249" s="104" t="str">
        <f>Cadastro!$I249</f>
        <v>copom_DDTQ</v>
      </c>
      <c r="J249" s="104" t="str">
        <f>Cadastro!$J249</f>
        <v>DDTQcopom</v>
      </c>
      <c r="K249" s="104" t="s">
        <v>4536</v>
      </c>
      <c r="L249" s="104" t="s">
        <v>26</v>
      </c>
      <c r="M249" s="104" t="s">
        <v>27</v>
      </c>
      <c r="N249" s="108" t="str">
        <f t="shared" si="1"/>
        <v>URBS 2</v>
      </c>
      <c r="O249" s="109" t="str">
        <f>Cadastro!$O249</f>
        <v>https://monitoramento.pm.pr.gov.br/proxy_image_2/Interface/Cameras/GetJPEGStream?Camera=TE016CFTV07&amp;AuthUser=copom_DDTQ&amp;AuthPass=DDTQcopom&amp;Width=1024&amp;Height=768&amp;Quality=70&amp;FPS=10&amp;ResponseFormat=Text</v>
      </c>
      <c r="P249" s="106">
        <f>Cadastro!$P249</f>
        <v>1</v>
      </c>
    </row>
    <row r="250">
      <c r="A250" s="104" t="str">
        <f>Cadastro!$A250</f>
        <v>URBS 2</v>
      </c>
      <c r="B250" s="104" t="str">
        <f>Cadastro!$B250</f>
        <v>CURITIBA</v>
      </c>
      <c r="C250" s="107" t="str">
        <f>Cadastro!$C250</f>
        <v>https://monitoramento.pm.pr.gov.br/proxy_image_2/</v>
      </c>
      <c r="D250" s="105">
        <f>Cadastro!$D250</f>
        <v>28601</v>
      </c>
      <c r="E250" s="104" t="str">
        <f>Cadastro!$E250</f>
        <v>TE020CFTV06</v>
      </c>
      <c r="F250" s="104" t="str">
        <f>Cadastro!$F250</f>
        <v>Terminal Santa Felicidade &gt; Entrada</v>
      </c>
      <c r="G250" s="104" t="str">
        <f>Cadastro!$G250</f>
        <v>-25.400510</v>
      </c>
      <c r="H250" s="104" t="str">
        <f>Cadastro!$H250</f>
        <v>-49.330854</v>
      </c>
      <c r="I250" s="104" t="str">
        <f>Cadastro!$I250</f>
        <v>copom_DDTQ</v>
      </c>
      <c r="J250" s="104" t="str">
        <f>Cadastro!$J250</f>
        <v>DDTQcopom</v>
      </c>
      <c r="K250" s="104" t="s">
        <v>4536</v>
      </c>
      <c r="L250" s="104" t="s">
        <v>26</v>
      </c>
      <c r="M250" s="104" t="s">
        <v>27</v>
      </c>
      <c r="N250" s="108" t="str">
        <f t="shared" si="1"/>
        <v>URBS 2</v>
      </c>
      <c r="O250" s="109" t="str">
        <f>Cadastro!$O250</f>
        <v>https://monitoramento.pm.pr.gov.br/proxy_image_2/Interface/Cameras/GetJPEGStream?Camera=TE020CFTV06&amp;AuthUser=copom_DDTQ&amp;AuthPass=DDTQcopom&amp;Width=1024&amp;Height=768&amp;Quality=70&amp;FPS=10&amp;ResponseFormat=Text</v>
      </c>
      <c r="P250" s="106">
        <f>Cadastro!$P250</f>
        <v>1</v>
      </c>
    </row>
    <row r="251">
      <c r="A251" s="104" t="str">
        <f>Cadastro!$A251</f>
        <v>URBS 2</v>
      </c>
      <c r="B251" s="104" t="str">
        <f>Cadastro!$B251</f>
        <v>CURITIBA</v>
      </c>
      <c r="C251" s="107" t="str">
        <f>Cadastro!$C251</f>
        <v>https://monitoramento.pm.pr.gov.br/proxy_image_2/</v>
      </c>
      <c r="D251" s="105">
        <f>Cadastro!$D251</f>
        <v>28601</v>
      </c>
      <c r="E251" s="104" t="str">
        <f>Cadastro!$E251</f>
        <v>TE020CFTV07</v>
      </c>
      <c r="F251" s="104" t="str">
        <f>Cadastro!$F251</f>
        <v>Terminal Santa Felicidade &gt; Jd. Italia</v>
      </c>
      <c r="G251" s="104" t="str">
        <f>Cadastro!$G251</f>
        <v>-25.401014</v>
      </c>
      <c r="H251" s="104" t="str">
        <f>Cadastro!$H251</f>
        <v>-49.330220</v>
      </c>
      <c r="I251" s="104" t="str">
        <f>Cadastro!$I251</f>
        <v>copom_DDTQ</v>
      </c>
      <c r="J251" s="104" t="str">
        <f>Cadastro!$J251</f>
        <v>DDTQcopom</v>
      </c>
      <c r="K251" s="104" t="s">
        <v>4536</v>
      </c>
      <c r="L251" s="104" t="s">
        <v>26</v>
      </c>
      <c r="M251" s="104" t="s">
        <v>27</v>
      </c>
      <c r="N251" s="108" t="str">
        <f t="shared" si="1"/>
        <v>URBS 2</v>
      </c>
      <c r="O251" s="109" t="str">
        <f>Cadastro!$O251</f>
        <v>https://monitoramento.pm.pr.gov.br/proxy_image_2/Interface/Cameras/GetJPEGStream?Camera=TE020CFTV07&amp;AuthUser=copom_DDTQ&amp;AuthPass=DDTQcopom&amp;Width=1024&amp;Height=768&amp;Quality=70&amp;FPS=10&amp;ResponseFormat=Text</v>
      </c>
      <c r="P251" s="106">
        <f>Cadastro!$P251</f>
        <v>1</v>
      </c>
    </row>
    <row r="252">
      <c r="A252" s="104" t="str">
        <f>Cadastro!$A252</f>
        <v>URBS 3</v>
      </c>
      <c r="B252" s="104" t="str">
        <f>Cadastro!$B252</f>
        <v>CURITIBA</v>
      </c>
      <c r="C252" s="107" t="str">
        <f>Cadastro!$C252</f>
        <v>https://monitoramento.pm.pr.gov.br/proxy_image_3/</v>
      </c>
      <c r="D252" s="105">
        <f>Cadastro!$D252</f>
        <v>38601</v>
      </c>
      <c r="E252" s="104" t="str">
        <f>Cadastro!$E252</f>
        <v>Camera101</v>
      </c>
      <c r="F252" s="104" t="str">
        <f>Cadastro!$F252</f>
        <v>Praça Rui Barbosa Frente Tubo Pinheirinho</v>
      </c>
      <c r="G252" s="104" t="str">
        <f>Cadastro!$G252</f>
        <v>-25.436096</v>
      </c>
      <c r="H252" s="104" t="str">
        <f>Cadastro!$H252</f>
        <v>-49.274365</v>
      </c>
      <c r="I252" s="104" t="str">
        <f>Cadastro!$I252</f>
        <v>copom_DDTQ</v>
      </c>
      <c r="J252" s="104" t="str">
        <f>Cadastro!$J252</f>
        <v>DDTQcopom</v>
      </c>
      <c r="K252" s="104" t="s">
        <v>4536</v>
      </c>
      <c r="L252" s="104" t="s">
        <v>26</v>
      </c>
      <c r="M252" s="104" t="s">
        <v>27</v>
      </c>
      <c r="N252" s="108" t="str">
        <f t="shared" si="1"/>
        <v>URBS 3</v>
      </c>
      <c r="O252" s="109" t="str">
        <f>Cadastro!$O252</f>
        <v>https://monitoramento.pm.pr.gov.br/proxy_image_3/Interface/Cameras/GetJPEGStream?Camera=Camera101&amp;AuthUser=copom_DDTQ&amp;AuthPass=DDTQcopom&amp;Width=1024&amp;Height=768&amp;Quality=70&amp;FPS=10&amp;ResponseFormat=Text</v>
      </c>
      <c r="P252" s="106">
        <f>Cadastro!$P252</f>
        <v>1</v>
      </c>
    </row>
    <row r="253">
      <c r="A253" s="104" t="str">
        <f>Cadastro!$A253</f>
        <v>URBS 3</v>
      </c>
      <c r="B253" s="104" t="str">
        <f>Cadastro!$B253</f>
        <v>CURITIBA</v>
      </c>
      <c r="C253" s="107" t="str">
        <f>Cadastro!$C253</f>
        <v>https://monitoramento.pm.pr.gov.br/proxy_image_3/</v>
      </c>
      <c r="D253" s="105">
        <f>Cadastro!$D253</f>
        <v>38601</v>
      </c>
      <c r="E253" s="104" t="str">
        <f>Cadastro!$E253</f>
        <v>Camera102</v>
      </c>
      <c r="F253" s="104" t="str">
        <f>Cadastro!$F253</f>
        <v>Praça Rui Barbosa Frente Colégio São José</v>
      </c>
      <c r="G253" s="104" t="str">
        <f>Cadastro!$G253</f>
        <v>-25.435968</v>
      </c>
      <c r="H253" s="104" t="str">
        <f>Cadastro!$H253</f>
        <v>-49.274647</v>
      </c>
      <c r="I253" s="104" t="str">
        <f>Cadastro!$I253</f>
        <v>copom_DDTQ</v>
      </c>
      <c r="J253" s="104" t="str">
        <f>Cadastro!$J253</f>
        <v>DDTQcopom</v>
      </c>
      <c r="K253" s="104" t="s">
        <v>4536</v>
      </c>
      <c r="L253" s="104" t="s">
        <v>26</v>
      </c>
      <c r="M253" s="104" t="s">
        <v>27</v>
      </c>
      <c r="N253" s="108" t="str">
        <f t="shared" si="1"/>
        <v>URBS 3</v>
      </c>
      <c r="O253" s="109" t="str">
        <f>Cadastro!$O253</f>
        <v>https://monitoramento.pm.pr.gov.br/proxy_image_3/Interface/Cameras/GetJPEGStream?Camera=Camera102&amp;AuthUser=copom_DDTQ&amp;AuthPass=DDTQcopom&amp;Width=1024&amp;Height=768&amp;Quality=70&amp;FPS=10&amp;ResponseFormat=Text</v>
      </c>
      <c r="P253" s="106">
        <f>Cadastro!$P253</f>
        <v>1</v>
      </c>
    </row>
    <row r="254">
      <c r="A254" s="104" t="str">
        <f>Cadastro!$A254</f>
        <v>URBS 3</v>
      </c>
      <c r="B254" s="104" t="str">
        <f>Cadastro!$B254</f>
        <v>CURITIBA</v>
      </c>
      <c r="C254" s="107" t="str">
        <f>Cadastro!$C254</f>
        <v>https://monitoramento.pm.pr.gov.br/proxy_image_3/</v>
      </c>
      <c r="D254" s="105">
        <f>Cadastro!$D254</f>
        <v>38601</v>
      </c>
      <c r="E254" s="104" t="str">
        <f>Cadastro!$E254</f>
        <v>Camera103</v>
      </c>
      <c r="F254" s="104" t="str">
        <f>Cadastro!$F254</f>
        <v>Praça Rui Barbosa Central 1</v>
      </c>
      <c r="G254" s="104" t="str">
        <f>Cadastro!$G254</f>
        <v>-25.435708</v>
      </c>
      <c r="H254" s="104" t="str">
        <f>Cadastro!$H254</f>
        <v>-49.273419</v>
      </c>
      <c r="I254" s="104" t="str">
        <f>Cadastro!$I254</f>
        <v>copom_DDTQ</v>
      </c>
      <c r="J254" s="104" t="str">
        <f>Cadastro!$J254</f>
        <v>DDTQcopom</v>
      </c>
      <c r="K254" s="104" t="s">
        <v>4536</v>
      </c>
      <c r="L254" s="104" t="s">
        <v>26</v>
      </c>
      <c r="M254" s="104" t="s">
        <v>27</v>
      </c>
      <c r="N254" s="108" t="str">
        <f t="shared" si="1"/>
        <v>URBS 3</v>
      </c>
      <c r="O254" s="109" t="str">
        <f>Cadastro!$O254</f>
        <v>https://monitoramento.pm.pr.gov.br/proxy_image_3/Interface/Cameras/GetJPEGStream?Camera=Camera103&amp;AuthUser=copom_DDTQ&amp;AuthPass=DDTQcopom&amp;Width=1024&amp;Height=768&amp;Quality=70&amp;FPS=10&amp;ResponseFormat=Text</v>
      </c>
      <c r="P254" s="106">
        <f>Cadastro!$P254</f>
        <v>1</v>
      </c>
    </row>
    <row r="255">
      <c r="A255" s="104" t="str">
        <f>Cadastro!$A255</f>
        <v>URBS 3</v>
      </c>
      <c r="B255" s="104" t="str">
        <f>Cadastro!$B255</f>
        <v>CURITIBA</v>
      </c>
      <c r="C255" s="107" t="str">
        <f>Cadastro!$C255</f>
        <v>https://monitoramento.pm.pr.gov.br/proxy_image_3/</v>
      </c>
      <c r="D255" s="105">
        <f>Cadastro!$D255</f>
        <v>38601</v>
      </c>
      <c r="E255" s="104" t="str">
        <f>Cadastro!$E255</f>
        <v>Camera104</v>
      </c>
      <c r="F255" s="104" t="str">
        <f>Cadastro!$F255</f>
        <v>Praça Rui Barbosa Central 2</v>
      </c>
      <c r="G255" s="104" t="str">
        <f>Cadastro!$G255</f>
        <v>-25.435732</v>
      </c>
      <c r="H255" s="104" t="str">
        <f>Cadastro!$H255</f>
        <v>-49.273692</v>
      </c>
      <c r="I255" s="104" t="str">
        <f>Cadastro!$I255</f>
        <v>copom_DDTQ</v>
      </c>
      <c r="J255" s="104" t="str">
        <f>Cadastro!$J255</f>
        <v>DDTQcopom</v>
      </c>
      <c r="K255" s="104" t="s">
        <v>4536</v>
      </c>
      <c r="L255" s="104" t="s">
        <v>26</v>
      </c>
      <c r="M255" s="104" t="s">
        <v>27</v>
      </c>
      <c r="N255" s="108" t="str">
        <f t="shared" si="1"/>
        <v>URBS 3</v>
      </c>
      <c r="O255" s="109" t="str">
        <f>Cadastro!$O255</f>
        <v>https://monitoramento.pm.pr.gov.br/proxy_image_3/Interface/Cameras/GetJPEGStream?Camera=Camera104&amp;AuthUser=copom_DDTQ&amp;AuthPass=DDTQcopom&amp;Width=1024&amp;Height=768&amp;Quality=70&amp;FPS=10&amp;ResponseFormat=Text</v>
      </c>
      <c r="P255" s="106">
        <f>Cadastro!$P255</f>
        <v>1</v>
      </c>
    </row>
    <row r="256">
      <c r="A256" s="104" t="str">
        <f>Cadastro!$A256</f>
        <v>URBS 3</v>
      </c>
      <c r="B256" s="104" t="str">
        <f>Cadastro!$B256</f>
        <v>CURITIBA</v>
      </c>
      <c r="C256" s="107" t="str">
        <f>Cadastro!$C256</f>
        <v>https://monitoramento.pm.pr.gov.br/proxy_image_3/</v>
      </c>
      <c r="D256" s="105">
        <f>Cadastro!$D256</f>
        <v>38601</v>
      </c>
      <c r="E256" s="104" t="str">
        <f>Cadastro!$E256</f>
        <v>Camera105</v>
      </c>
      <c r="F256" s="104" t="str">
        <f>Cadastro!$F256</f>
        <v>Praça Rui Barbosa Central 3</v>
      </c>
      <c r="G256" s="104" t="str">
        <f>Cadastro!$G256</f>
        <v>-25.435981</v>
      </c>
      <c r="H256" s="104" t="str">
        <f>Cadastro!$H256</f>
        <v>-49.273250</v>
      </c>
      <c r="I256" s="104" t="str">
        <f>Cadastro!$I256</f>
        <v>copom_DDTQ</v>
      </c>
      <c r="J256" s="104" t="str">
        <f>Cadastro!$J256</f>
        <v>DDTQcopom</v>
      </c>
      <c r="K256" s="104" t="s">
        <v>4536</v>
      </c>
      <c r="L256" s="104" t="s">
        <v>26</v>
      </c>
      <c r="M256" s="104" t="s">
        <v>27</v>
      </c>
      <c r="N256" s="108" t="str">
        <f t="shared" si="1"/>
        <v>URBS 3</v>
      </c>
      <c r="O256" s="109" t="str">
        <f>Cadastro!$O256</f>
        <v>https://monitoramento.pm.pr.gov.br/proxy_image_3/Interface/Cameras/GetJPEGStream?Camera=Camera105&amp;AuthUser=copom_DDTQ&amp;AuthPass=DDTQcopom&amp;Width=1024&amp;Height=768&amp;Quality=70&amp;FPS=10&amp;ResponseFormat=Text</v>
      </c>
      <c r="P256" s="106">
        <f>Cadastro!$P256</f>
        <v>1</v>
      </c>
    </row>
    <row r="257">
      <c r="A257" s="104" t="str">
        <f>Cadastro!$A257</f>
        <v>URBS 3</v>
      </c>
      <c r="B257" s="104" t="str">
        <f>Cadastro!$B257</f>
        <v>CURITIBA</v>
      </c>
      <c r="C257" s="107" t="str">
        <f>Cadastro!$C257</f>
        <v>https://monitoramento.pm.pr.gov.br/proxy_image_3/</v>
      </c>
      <c r="D257" s="105">
        <f>Cadastro!$D257</f>
        <v>38601</v>
      </c>
      <c r="E257" s="104" t="str">
        <f>Cadastro!$E257</f>
        <v>Camera106</v>
      </c>
      <c r="F257" s="104" t="str">
        <f>Cadastro!$F257</f>
        <v>Praça Rui Barbosa Central 4</v>
      </c>
      <c r="G257" s="104" t="str">
        <f>Cadastro!$G257</f>
        <v>-25.436034</v>
      </c>
      <c r="H257" s="104" t="str">
        <f>Cadastro!$H257</f>
        <v>-49.273650</v>
      </c>
      <c r="I257" s="104" t="str">
        <f>Cadastro!$I257</f>
        <v>copom_DDTQ</v>
      </c>
      <c r="J257" s="104" t="str">
        <f>Cadastro!$J257</f>
        <v>DDTQcopom</v>
      </c>
      <c r="K257" s="104" t="s">
        <v>4536</v>
      </c>
      <c r="L257" s="104" t="s">
        <v>26</v>
      </c>
      <c r="M257" s="104" t="s">
        <v>27</v>
      </c>
      <c r="N257" s="108" t="str">
        <f t="shared" si="1"/>
        <v>URBS 3</v>
      </c>
      <c r="O257" s="109" t="str">
        <f>Cadastro!$O257</f>
        <v>https://monitoramento.pm.pr.gov.br/proxy_image_3/Interface/Cameras/GetJPEGStream?Camera=Camera106&amp;AuthUser=copom_DDTQ&amp;AuthPass=DDTQcopom&amp;Width=1024&amp;Height=768&amp;Quality=70&amp;FPS=10&amp;ResponseFormat=Text</v>
      </c>
      <c r="P257" s="106">
        <f>Cadastro!$P257</f>
        <v>1</v>
      </c>
    </row>
    <row r="258">
      <c r="A258" s="104" t="str">
        <f>Cadastro!$A258</f>
        <v>URBS 3</v>
      </c>
      <c r="B258" s="104" t="str">
        <f>Cadastro!$B258</f>
        <v>CURITIBA</v>
      </c>
      <c r="C258" s="107" t="str">
        <f>Cadastro!$C258</f>
        <v>https://monitoramento.pm.pr.gov.br/proxy_image_3/</v>
      </c>
      <c r="D258" s="105">
        <f>Cadastro!$D258</f>
        <v>38601</v>
      </c>
      <c r="E258" s="104" t="str">
        <f>Cadastro!$E258</f>
        <v>Camera107</v>
      </c>
      <c r="F258" s="104" t="str">
        <f>Cadastro!$F258</f>
        <v>Praça Rui Barbosa - Pedro Ivo 1</v>
      </c>
      <c r="G258" s="104" t="str">
        <f>Cadastro!$G258</f>
        <v>-25.435311</v>
      </c>
      <c r="H258" s="104" t="str">
        <f>Cadastro!$H258</f>
        <v>-49.273257</v>
      </c>
      <c r="I258" s="104" t="str">
        <f>Cadastro!$I258</f>
        <v>copom_DDTQ</v>
      </c>
      <c r="J258" s="104" t="str">
        <f>Cadastro!$J258</f>
        <v>DDTQcopom</v>
      </c>
      <c r="K258" s="104" t="s">
        <v>4536</v>
      </c>
      <c r="L258" s="104" t="s">
        <v>26</v>
      </c>
      <c r="M258" s="104" t="s">
        <v>27</v>
      </c>
      <c r="N258" s="108" t="str">
        <f t="shared" si="1"/>
        <v>URBS 3</v>
      </c>
      <c r="O258" s="109" t="str">
        <f>Cadastro!$O258</f>
        <v>https://monitoramento.pm.pr.gov.br/proxy_image_3/Interface/Cameras/GetJPEGStream?Camera=Camera107&amp;AuthUser=copom_DDTQ&amp;AuthPass=DDTQcopom&amp;Width=1024&amp;Height=768&amp;Quality=70&amp;FPS=10&amp;ResponseFormat=Text</v>
      </c>
      <c r="P258" s="106">
        <f>Cadastro!$P258</f>
        <v>1</v>
      </c>
    </row>
    <row r="259">
      <c r="A259" s="104" t="str">
        <f>Cadastro!$A259</f>
        <v>URBS 3</v>
      </c>
      <c r="B259" s="104" t="str">
        <f>Cadastro!$B259</f>
        <v>CURITIBA</v>
      </c>
      <c r="C259" s="107" t="str">
        <f>Cadastro!$C259</f>
        <v>https://monitoramento.pm.pr.gov.br/proxy_image_3/</v>
      </c>
      <c r="D259" s="105">
        <f>Cadastro!$D259</f>
        <v>38601</v>
      </c>
      <c r="E259" s="104" t="str">
        <f>Cadastro!$E259</f>
        <v>Camera108</v>
      </c>
      <c r="F259" s="104" t="str">
        <f>Cadastro!$F259</f>
        <v>Praça Rui Barbosa- Pedro Ivo 2</v>
      </c>
      <c r="G259" s="104" t="str">
        <f>Cadastro!$G259</f>
        <v>-25.435143</v>
      </c>
      <c r="H259" s="104" t="str">
        <f>Cadastro!$H259</f>
        <v>-49.272914</v>
      </c>
      <c r="I259" s="104" t="str">
        <f>Cadastro!$I259</f>
        <v>copom_DDTQ</v>
      </c>
      <c r="J259" s="104" t="str">
        <f>Cadastro!$J259</f>
        <v>DDTQcopom</v>
      </c>
      <c r="K259" s="104" t="s">
        <v>4536</v>
      </c>
      <c r="L259" s="104" t="s">
        <v>26</v>
      </c>
      <c r="M259" s="104" t="s">
        <v>27</v>
      </c>
      <c r="N259" s="108" t="str">
        <f t="shared" si="1"/>
        <v>URBS 3</v>
      </c>
      <c r="O259" s="109" t="str">
        <f>Cadastro!$O259</f>
        <v>https://monitoramento.pm.pr.gov.br/proxy_image_3/Interface/Cameras/GetJPEGStream?Camera=Camera108&amp;AuthUser=copom_DDTQ&amp;AuthPass=DDTQcopom&amp;Width=1024&amp;Height=768&amp;Quality=70&amp;FPS=10&amp;ResponseFormat=Text</v>
      </c>
      <c r="P259" s="106">
        <f>Cadastro!$P259</f>
        <v>1</v>
      </c>
    </row>
    <row r="260">
      <c r="A260" s="104" t="str">
        <f>Cadastro!$A260</f>
        <v>URBS 3</v>
      </c>
      <c r="B260" s="104" t="str">
        <f>Cadastro!$B260</f>
        <v>CURITIBA</v>
      </c>
      <c r="C260" s="107" t="str">
        <f>Cadastro!$C260</f>
        <v>https://monitoramento.pm.pr.gov.br/proxy_image_3/</v>
      </c>
      <c r="D260" s="105">
        <f>Cadastro!$D260</f>
        <v>38601</v>
      </c>
      <c r="E260" s="104" t="str">
        <f>Cadastro!$E260</f>
        <v>Camera109</v>
      </c>
      <c r="F260" s="104" t="str">
        <f>Cadastro!$F260</f>
        <v>Praça Rui Barbosa - Pedro Ivo 3</v>
      </c>
      <c r="G260" s="104" t="str">
        <f>Cadastro!$G260</f>
        <v>-25.435182</v>
      </c>
      <c r="H260" s="104" t="str">
        <f>Cadastro!$H260</f>
        <v>-49.273015</v>
      </c>
      <c r="I260" s="104" t="str">
        <f>Cadastro!$I260</f>
        <v>copom_DDTQ</v>
      </c>
      <c r="J260" s="104" t="str">
        <f>Cadastro!$J260</f>
        <v>DDTQcopom</v>
      </c>
      <c r="K260" s="104" t="s">
        <v>4536</v>
      </c>
      <c r="L260" s="104" t="s">
        <v>26</v>
      </c>
      <c r="M260" s="104" t="s">
        <v>27</v>
      </c>
      <c r="N260" s="108" t="str">
        <f t="shared" si="1"/>
        <v>URBS 3</v>
      </c>
      <c r="O260" s="109" t="str">
        <f>Cadastro!$O260</f>
        <v>https://monitoramento.pm.pr.gov.br/proxy_image_3/Interface/Cameras/GetJPEGStream?Camera=Camera109&amp;AuthUser=copom_DDTQ&amp;AuthPass=DDTQcopom&amp;Width=1024&amp;Height=768&amp;Quality=70&amp;FPS=10&amp;ResponseFormat=Text</v>
      </c>
      <c r="P260" s="106">
        <f>Cadastro!$P260</f>
        <v>1</v>
      </c>
    </row>
    <row r="261">
      <c r="A261" s="104" t="str">
        <f>Cadastro!$A261</f>
        <v>URBS 3</v>
      </c>
      <c r="B261" s="104" t="str">
        <f>Cadastro!$B261</f>
        <v>CURITIBA</v>
      </c>
      <c r="C261" s="107" t="str">
        <f>Cadastro!$C261</f>
        <v>https://monitoramento.pm.pr.gov.br/proxy_image_3/</v>
      </c>
      <c r="D261" s="105">
        <f>Cadastro!$D261</f>
        <v>38601</v>
      </c>
      <c r="E261" s="104" t="str">
        <f>Cadastro!$E261</f>
        <v>Camera110</v>
      </c>
      <c r="F261" s="104" t="str">
        <f>Cadastro!$F261</f>
        <v>Praça Rui Barbosa - Portao 1</v>
      </c>
      <c r="G261" s="104" t="str">
        <f>Cadastro!$G261</f>
        <v>-25.435149</v>
      </c>
      <c r="H261" s="104" t="str">
        <f>Cadastro!$H261</f>
        <v>-49.272849</v>
      </c>
      <c r="I261" s="104" t="str">
        <f>Cadastro!$I261</f>
        <v>copom_DDTQ</v>
      </c>
      <c r="J261" s="104" t="str">
        <f>Cadastro!$J261</f>
        <v>DDTQcopom</v>
      </c>
      <c r="K261" s="104" t="s">
        <v>4536</v>
      </c>
      <c r="L261" s="104" t="s">
        <v>26</v>
      </c>
      <c r="M261" s="104" t="s">
        <v>27</v>
      </c>
      <c r="N261" s="108" t="str">
        <f t="shared" si="1"/>
        <v>URBS 3</v>
      </c>
      <c r="O261" s="109" t="str">
        <f>Cadastro!$O261</f>
        <v>https://monitoramento.pm.pr.gov.br/proxy_image_3/Interface/Cameras/GetJPEGStream?Camera=Camera110&amp;AuthUser=copom_DDTQ&amp;AuthPass=DDTQcopom&amp;Width=1024&amp;Height=768&amp;Quality=70&amp;FPS=10&amp;ResponseFormat=Text</v>
      </c>
      <c r="P261" s="106">
        <f>Cadastro!$P261</f>
        <v>1</v>
      </c>
    </row>
    <row r="262">
      <c r="A262" s="104" t="str">
        <f>Cadastro!$A262</f>
        <v>URBS 3</v>
      </c>
      <c r="B262" s="104" t="str">
        <f>Cadastro!$B262</f>
        <v>CURITIBA</v>
      </c>
      <c r="C262" s="107" t="str">
        <f>Cadastro!$C262</f>
        <v>https://monitoramento.pm.pr.gov.br/proxy_image_3/</v>
      </c>
      <c r="D262" s="105">
        <f>Cadastro!$D262</f>
        <v>38601</v>
      </c>
      <c r="E262" s="104" t="str">
        <f>Cadastro!$E262</f>
        <v>Camera111</v>
      </c>
      <c r="F262" s="104" t="str">
        <f>Cadastro!$F262</f>
        <v>Praça Rui Barbosa - Portao 2</v>
      </c>
      <c r="G262" s="104" t="str">
        <f>Cadastro!$G262</f>
        <v>-25.435652</v>
      </c>
      <c r="H262" s="104" t="str">
        <f>Cadastro!$H262</f>
        <v>-49.272849</v>
      </c>
      <c r="I262" s="104" t="str">
        <f>Cadastro!$I262</f>
        <v>copom_DDTQ</v>
      </c>
      <c r="J262" s="104" t="str">
        <f>Cadastro!$J262</f>
        <v>DDTQcopom</v>
      </c>
      <c r="K262" s="104" t="s">
        <v>4536</v>
      </c>
      <c r="L262" s="104" t="s">
        <v>26</v>
      </c>
      <c r="M262" s="104" t="s">
        <v>27</v>
      </c>
      <c r="N262" s="108" t="str">
        <f t="shared" si="1"/>
        <v>URBS 3</v>
      </c>
      <c r="O262" s="109" t="str">
        <f>Cadastro!$O262</f>
        <v>https://monitoramento.pm.pr.gov.br/proxy_image_3/Interface/Cameras/GetJPEGStream?Camera=Camera111&amp;AuthUser=copom_DDTQ&amp;AuthPass=DDTQcopom&amp;Width=1024&amp;Height=768&amp;Quality=70&amp;FPS=10&amp;ResponseFormat=Text</v>
      </c>
      <c r="P262" s="106">
        <f>Cadastro!$P262</f>
        <v>1</v>
      </c>
    </row>
    <row r="263">
      <c r="A263" s="104" t="str">
        <f>Cadastro!$A263</f>
        <v>URBS 3</v>
      </c>
      <c r="B263" s="104" t="str">
        <f>Cadastro!$B263</f>
        <v>CURITIBA</v>
      </c>
      <c r="C263" s="107" t="str">
        <f>Cadastro!$C263</f>
        <v>https://monitoramento.pm.pr.gov.br/proxy_image_3/</v>
      </c>
      <c r="D263" s="105">
        <f>Cadastro!$D263</f>
        <v>38601</v>
      </c>
      <c r="E263" s="104" t="str">
        <f>Cadastro!$E263</f>
        <v>Camera112</v>
      </c>
      <c r="F263" s="104" t="str">
        <f>Cadastro!$F263</f>
        <v>Praça Rui Barbosa - Portao 3</v>
      </c>
      <c r="G263" s="104" t="str">
        <f>Cadastro!$G263</f>
        <v>-25.434875</v>
      </c>
      <c r="H263" s="104" t="str">
        <f>Cadastro!$H263</f>
        <v>-49.272110</v>
      </c>
      <c r="I263" s="104" t="str">
        <f>Cadastro!$I263</f>
        <v>copom_DDTQ</v>
      </c>
      <c r="J263" s="104" t="str">
        <f>Cadastro!$J263</f>
        <v>DDTQcopom</v>
      </c>
      <c r="K263" s="104" t="s">
        <v>4536</v>
      </c>
      <c r="L263" s="104" t="s">
        <v>26</v>
      </c>
      <c r="M263" s="104" t="s">
        <v>27</v>
      </c>
      <c r="N263" s="108" t="str">
        <f t="shared" si="1"/>
        <v>URBS 3</v>
      </c>
      <c r="O263" s="109" t="str">
        <f>Cadastro!$O263</f>
        <v>https://monitoramento.pm.pr.gov.br/proxy_image_3/Interface/Cameras/GetJPEGStream?Camera=Camera112&amp;AuthUser=copom_DDTQ&amp;AuthPass=DDTQcopom&amp;Width=1024&amp;Height=768&amp;Quality=70&amp;FPS=10&amp;ResponseFormat=Text</v>
      </c>
      <c r="P263" s="106">
        <f>Cadastro!$P263</f>
        <v>1</v>
      </c>
    </row>
    <row r="264">
      <c r="A264" s="104" t="str">
        <f>Cadastro!$A264</f>
        <v>URBS 3</v>
      </c>
      <c r="B264" s="104" t="str">
        <f>Cadastro!$B264</f>
        <v>CURITIBA</v>
      </c>
      <c r="C264" s="107" t="str">
        <f>Cadastro!$C264</f>
        <v>https://monitoramento.pm.pr.gov.br/proxy_image_3/</v>
      </c>
      <c r="D264" s="105">
        <f>Cadastro!$D264</f>
        <v>38601</v>
      </c>
      <c r="E264" s="104" t="str">
        <f>Cadastro!$E264</f>
        <v>Camera113</v>
      </c>
      <c r="F264" s="104" t="str">
        <f>Cadastro!$F264</f>
        <v>Praça Rui Barbosa - Portao Matriz 1</v>
      </c>
      <c r="G264" s="104" t="str">
        <f>Cadastro!$G264</f>
        <v>-25.436002</v>
      </c>
      <c r="H264" s="104" t="str">
        <f>Cadastro!$H264</f>
        <v>-49.272679</v>
      </c>
      <c r="I264" s="104" t="str">
        <f>Cadastro!$I264</f>
        <v>copom_DDTQ</v>
      </c>
      <c r="J264" s="104" t="str">
        <f>Cadastro!$J264</f>
        <v>DDTQcopom</v>
      </c>
      <c r="K264" s="104" t="s">
        <v>4536</v>
      </c>
      <c r="L264" s="104" t="s">
        <v>26</v>
      </c>
      <c r="M264" s="104" t="s">
        <v>27</v>
      </c>
      <c r="N264" s="108" t="str">
        <f t="shared" si="1"/>
        <v>URBS 3</v>
      </c>
      <c r="O264" s="109" t="str">
        <f>Cadastro!$O264</f>
        <v>https://monitoramento.pm.pr.gov.br/proxy_image_3/Interface/Cameras/GetJPEGStream?Camera=Camera113&amp;AuthUser=copom_DDTQ&amp;AuthPass=DDTQcopom&amp;Width=1024&amp;Height=768&amp;Quality=70&amp;FPS=10&amp;ResponseFormat=Text</v>
      </c>
      <c r="P264" s="106">
        <f>Cadastro!$P264</f>
        <v>1</v>
      </c>
    </row>
    <row r="265">
      <c r="A265" s="104" t="str">
        <f>Cadastro!$A265</f>
        <v>URBS 3</v>
      </c>
      <c r="B265" s="104" t="str">
        <f>Cadastro!$B265</f>
        <v>CURITIBA</v>
      </c>
      <c r="C265" s="107" t="str">
        <f>Cadastro!$C265</f>
        <v>https://monitoramento.pm.pr.gov.br/proxy_image_3/</v>
      </c>
      <c r="D265" s="105">
        <f>Cadastro!$D265</f>
        <v>38601</v>
      </c>
      <c r="E265" s="104" t="str">
        <f>Cadastro!$E265</f>
        <v>Camera114</v>
      </c>
      <c r="F265" s="104" t="str">
        <f>Cadastro!$F265</f>
        <v>Praça Rui Barbosa - Portao Matriz 2</v>
      </c>
      <c r="G265" s="104" t="str">
        <f>Cadastro!$G265</f>
        <v>-25.435860</v>
      </c>
      <c r="H265" s="104" t="str">
        <f>Cadastro!$H265</f>
        <v>-49.272858</v>
      </c>
      <c r="I265" s="104" t="str">
        <f>Cadastro!$I265</f>
        <v>copom_DDTQ</v>
      </c>
      <c r="J265" s="104" t="str">
        <f>Cadastro!$J265</f>
        <v>DDTQcopom</v>
      </c>
      <c r="K265" s="104" t="s">
        <v>4536</v>
      </c>
      <c r="L265" s="104" t="s">
        <v>26</v>
      </c>
      <c r="M265" s="104" t="s">
        <v>27</v>
      </c>
      <c r="N265" s="108" t="str">
        <f t="shared" si="1"/>
        <v>URBS 3</v>
      </c>
      <c r="O265" s="109" t="str">
        <f>Cadastro!$O265</f>
        <v>https://monitoramento.pm.pr.gov.br/proxy_image_3/Interface/Cameras/GetJPEGStream?Camera=Camera114&amp;AuthUser=copom_DDTQ&amp;AuthPass=DDTQcopom&amp;Width=1024&amp;Height=768&amp;Quality=70&amp;FPS=10&amp;ResponseFormat=Text</v>
      </c>
      <c r="P265" s="106">
        <f>Cadastro!$P265</f>
        <v>1</v>
      </c>
    </row>
    <row r="266">
      <c r="A266" s="104" t="str">
        <f>Cadastro!$A266</f>
        <v>URBS 3</v>
      </c>
      <c r="B266" s="104" t="str">
        <f>Cadastro!$B266</f>
        <v>CURITIBA</v>
      </c>
      <c r="C266" s="107" t="str">
        <f>Cadastro!$C266</f>
        <v>https://monitoramento.pm.pr.gov.br/proxy_image_3/</v>
      </c>
      <c r="D266" s="105">
        <f>Cadastro!$D266</f>
        <v>38601</v>
      </c>
      <c r="E266" s="104" t="str">
        <f>Cadastro!$E266</f>
        <v>Camera115</v>
      </c>
      <c r="F266" s="104" t="str">
        <f>Cadastro!$F266</f>
        <v>Praça Rui Barbosa - Portao Matriz 3</v>
      </c>
      <c r="G266" s="104" t="str">
        <f>Cadastro!$G266</f>
        <v>-25.435656</v>
      </c>
      <c r="H266" s="104" t="str">
        <f>Cadastro!$H266</f>
        <v>-49.272883</v>
      </c>
      <c r="I266" s="104" t="str">
        <f>Cadastro!$I266</f>
        <v>copom_DDTQ</v>
      </c>
      <c r="J266" s="104" t="str">
        <f>Cadastro!$J266</f>
        <v>DDTQcopom</v>
      </c>
      <c r="K266" s="104" t="s">
        <v>4536</v>
      </c>
      <c r="L266" s="104" t="s">
        <v>26</v>
      </c>
      <c r="M266" s="104" t="s">
        <v>27</v>
      </c>
      <c r="N266" s="108" t="str">
        <f t="shared" si="1"/>
        <v>URBS 3</v>
      </c>
      <c r="O266" s="109" t="str">
        <f>Cadastro!$O266</f>
        <v>https://monitoramento.pm.pr.gov.br/proxy_image_3/Interface/Cameras/GetJPEGStream?Camera=Camera115&amp;AuthUser=copom_DDTQ&amp;AuthPass=DDTQcopom&amp;Width=1024&amp;Height=768&amp;Quality=70&amp;FPS=10&amp;ResponseFormat=Text</v>
      </c>
      <c r="P266" s="106">
        <f>Cadastro!$P266</f>
        <v>1</v>
      </c>
    </row>
    <row r="267">
      <c r="A267" s="104" t="str">
        <f>Cadastro!$A267</f>
        <v>URBS 3</v>
      </c>
      <c r="B267" s="104" t="str">
        <f>Cadastro!$B267</f>
        <v>CURITIBA</v>
      </c>
      <c r="C267" s="107" t="str">
        <f>Cadastro!$C267</f>
        <v>https://monitoramento.pm.pr.gov.br/proxy_image_3/</v>
      </c>
      <c r="D267" s="105">
        <f>Cadastro!$D267</f>
        <v>38601</v>
      </c>
      <c r="E267" s="104" t="str">
        <f>Cadastro!$E267</f>
        <v>Camera116</v>
      </c>
      <c r="F267" s="104" t="str">
        <f>Cadastro!$F267</f>
        <v>Praça Rui Barbosa - Portao Matriz 4</v>
      </c>
      <c r="G267" s="104" t="str">
        <f>Cadastro!$G267</f>
        <v>-25.435442</v>
      </c>
      <c r="H267" s="104" t="str">
        <f>Cadastro!$H267</f>
        <v>-49.272944</v>
      </c>
      <c r="I267" s="104" t="str">
        <f>Cadastro!$I267</f>
        <v>copom_DDTQ</v>
      </c>
      <c r="J267" s="104" t="str">
        <f>Cadastro!$J267</f>
        <v>DDTQcopom</v>
      </c>
      <c r="K267" s="104" t="s">
        <v>4536</v>
      </c>
      <c r="L267" s="104" t="s">
        <v>26</v>
      </c>
      <c r="M267" s="104" t="s">
        <v>27</v>
      </c>
      <c r="N267" s="108" t="str">
        <f t="shared" si="1"/>
        <v>URBS 3</v>
      </c>
      <c r="O267" s="109" t="str">
        <f>Cadastro!$O267</f>
        <v>https://monitoramento.pm.pr.gov.br/proxy_image_3/Interface/Cameras/GetJPEGStream?Camera=Camera116&amp;AuthUser=copom_DDTQ&amp;AuthPass=DDTQcopom&amp;Width=1024&amp;Height=768&amp;Quality=70&amp;FPS=10&amp;ResponseFormat=Text</v>
      </c>
      <c r="P267" s="106">
        <f>Cadastro!$P267</f>
        <v>1</v>
      </c>
    </row>
    <row r="268">
      <c r="A268" s="104" t="str">
        <f>Cadastro!$A268</f>
        <v>URBS 3</v>
      </c>
      <c r="B268" s="104" t="str">
        <f>Cadastro!$B268</f>
        <v>CURITIBA</v>
      </c>
      <c r="C268" s="107" t="str">
        <f>Cadastro!$C268</f>
        <v>https://monitoramento.pm.pr.gov.br/proxy_image_3/</v>
      </c>
      <c r="D268" s="105">
        <f>Cadastro!$D268</f>
        <v>38601</v>
      </c>
      <c r="E268" s="104" t="str">
        <f>Cadastro!$E268</f>
        <v>Camera117</v>
      </c>
      <c r="F268" s="104" t="str">
        <f>Cadastro!$F268</f>
        <v>Praça Rui Barbosa - Andre de Barros 1</v>
      </c>
      <c r="G268" s="104" t="str">
        <f>Cadastro!$G268</f>
        <v>-25.436220</v>
      </c>
      <c r="H268" s="104" t="str">
        <f>Cadastro!$H268</f>
        <v>-49.272407</v>
      </c>
      <c r="I268" s="104" t="str">
        <f>Cadastro!$I268</f>
        <v>copom_DDTQ</v>
      </c>
      <c r="J268" s="104" t="str">
        <f>Cadastro!$J268</f>
        <v>DDTQcopom</v>
      </c>
      <c r="K268" s="104" t="s">
        <v>4536</v>
      </c>
      <c r="L268" s="104" t="s">
        <v>26</v>
      </c>
      <c r="M268" s="104" t="s">
        <v>27</v>
      </c>
      <c r="N268" s="108" t="str">
        <f t="shared" si="1"/>
        <v>URBS 3</v>
      </c>
      <c r="O268" s="109" t="str">
        <f>Cadastro!$O268</f>
        <v>https://monitoramento.pm.pr.gov.br/proxy_image_3/Interface/Cameras/GetJPEGStream?Camera=Camera117&amp;AuthUser=copom_DDTQ&amp;AuthPass=DDTQcopom&amp;Width=1024&amp;Height=768&amp;Quality=70&amp;FPS=10&amp;ResponseFormat=Text</v>
      </c>
      <c r="P268" s="106">
        <f>Cadastro!$P268</f>
        <v>1</v>
      </c>
    </row>
    <row r="269">
      <c r="A269" s="104" t="str">
        <f>Cadastro!$A269</f>
        <v>URBS 3</v>
      </c>
      <c r="B269" s="104" t="str">
        <f>Cadastro!$B269</f>
        <v>CURITIBA</v>
      </c>
      <c r="C269" s="107" t="str">
        <f>Cadastro!$C269</f>
        <v>https://monitoramento.pm.pr.gov.br/proxy_image_3/</v>
      </c>
      <c r="D269" s="105">
        <f>Cadastro!$D269</f>
        <v>38601</v>
      </c>
      <c r="E269" s="104" t="str">
        <f>Cadastro!$E269</f>
        <v>Camera118</v>
      </c>
      <c r="F269" s="104" t="str">
        <f>Cadastro!$F269</f>
        <v>Praça Rui Barbosa - Andre de Barros 2</v>
      </c>
      <c r="G269" s="104" t="str">
        <f>Cadastro!$G269</f>
        <v>-25.436181</v>
      </c>
      <c r="H269" s="104" t="str">
        <f>Cadastro!$H269</f>
        <v>-49.272296</v>
      </c>
      <c r="I269" s="104" t="str">
        <f>Cadastro!$I269</f>
        <v>copom_DDTQ</v>
      </c>
      <c r="J269" s="104" t="str">
        <f>Cadastro!$J269</f>
        <v>DDTQcopom</v>
      </c>
      <c r="K269" s="104" t="s">
        <v>4536</v>
      </c>
      <c r="L269" s="104" t="s">
        <v>26</v>
      </c>
      <c r="M269" s="104" t="s">
        <v>27</v>
      </c>
      <c r="N269" s="108" t="str">
        <f t="shared" si="1"/>
        <v>URBS 3</v>
      </c>
      <c r="O269" s="109" t="str">
        <f>Cadastro!$O269</f>
        <v>https://monitoramento.pm.pr.gov.br/proxy_image_3/Interface/Cameras/GetJPEGStream?Camera=Camera118&amp;AuthUser=copom_DDTQ&amp;AuthPass=DDTQcopom&amp;Width=1024&amp;Height=768&amp;Quality=70&amp;FPS=10&amp;ResponseFormat=Text</v>
      </c>
      <c r="P269" s="106">
        <f>Cadastro!$P269</f>
        <v>1</v>
      </c>
    </row>
    <row r="270">
      <c r="A270" s="104" t="str">
        <f>Cadastro!$A270</f>
        <v>URBS 3</v>
      </c>
      <c r="B270" s="104" t="str">
        <f>Cadastro!$B270</f>
        <v>CURITIBA</v>
      </c>
      <c r="C270" s="107" t="str">
        <f>Cadastro!$C270</f>
        <v>https://monitoramento.pm.pr.gov.br/proxy_image_3/</v>
      </c>
      <c r="D270" s="105">
        <f>Cadastro!$D270</f>
        <v>38601</v>
      </c>
      <c r="E270" s="104" t="str">
        <f>Cadastro!$E270</f>
        <v>Camera119</v>
      </c>
      <c r="F270" s="104" t="str">
        <f>Cadastro!$F270</f>
        <v>Praça Rui Barbosa - Westephalen 1</v>
      </c>
      <c r="G270" s="104" t="str">
        <f>Cadastro!$G270</f>
        <v>-25.435892</v>
      </c>
      <c r="H270" s="104" t="str">
        <f>Cadastro!$H270</f>
        <v>-49.271614</v>
      </c>
      <c r="I270" s="104" t="str">
        <f>Cadastro!$I270</f>
        <v>copom_DDTQ</v>
      </c>
      <c r="J270" s="104" t="str">
        <f>Cadastro!$J270</f>
        <v>DDTQcopom</v>
      </c>
      <c r="K270" s="104" t="s">
        <v>4536</v>
      </c>
      <c r="L270" s="104" t="s">
        <v>26</v>
      </c>
      <c r="M270" s="104" t="s">
        <v>27</v>
      </c>
      <c r="N270" s="108" t="str">
        <f t="shared" si="1"/>
        <v>URBS 3</v>
      </c>
      <c r="O270" s="109" t="str">
        <f>Cadastro!$O270</f>
        <v>https://monitoramento.pm.pr.gov.br/proxy_image_3/Interface/Cameras/GetJPEGStream?Camera=Camera119&amp;AuthUser=copom_DDTQ&amp;AuthPass=DDTQcopom&amp;Width=1024&amp;Height=768&amp;Quality=70&amp;FPS=10&amp;ResponseFormat=Text</v>
      </c>
      <c r="P270" s="106">
        <f>Cadastro!$P270</f>
        <v>1</v>
      </c>
    </row>
    <row r="271">
      <c r="A271" s="104" t="str">
        <f>Cadastro!$A271</f>
        <v>URBS 3</v>
      </c>
      <c r="B271" s="104" t="str">
        <f>Cadastro!$B271</f>
        <v>CURITIBA</v>
      </c>
      <c r="C271" s="107" t="str">
        <f>Cadastro!$C271</f>
        <v>https://monitoramento.pm.pr.gov.br/proxy_image_3/</v>
      </c>
      <c r="D271" s="105">
        <f>Cadastro!$D271</f>
        <v>38601</v>
      </c>
      <c r="E271" s="104" t="str">
        <f>Cadastro!$E271</f>
        <v>Camera120</v>
      </c>
      <c r="F271" s="104" t="str">
        <f>Cadastro!$F271</f>
        <v>Praça Rui Barbosa - Westephalen 2</v>
      </c>
      <c r="G271" s="104" t="str">
        <f>Cadastro!$G271</f>
        <v>-25.435803</v>
      </c>
      <c r="H271" s="104" t="str">
        <f>Cadastro!$H271</f>
        <v>-49.271572</v>
      </c>
      <c r="I271" s="104" t="str">
        <f>Cadastro!$I271</f>
        <v>copom_DDTQ</v>
      </c>
      <c r="J271" s="104" t="str">
        <f>Cadastro!$J271</f>
        <v>DDTQcopom</v>
      </c>
      <c r="K271" s="104" t="s">
        <v>4536</v>
      </c>
      <c r="L271" s="104" t="s">
        <v>26</v>
      </c>
      <c r="M271" s="104" t="s">
        <v>27</v>
      </c>
      <c r="N271" s="108" t="str">
        <f t="shared" si="1"/>
        <v>URBS 3</v>
      </c>
      <c r="O271" s="109" t="str">
        <f>Cadastro!$O271</f>
        <v>https://monitoramento.pm.pr.gov.br/proxy_image_3/Interface/Cameras/GetJPEGStream?Camera=Camera120&amp;AuthUser=copom_DDTQ&amp;AuthPass=DDTQcopom&amp;Width=1024&amp;Height=768&amp;Quality=70&amp;FPS=10&amp;ResponseFormat=Text</v>
      </c>
      <c r="P271" s="106">
        <f>Cadastro!$P271</f>
        <v>1</v>
      </c>
    </row>
    <row r="272">
      <c r="A272" s="104" t="str">
        <f>Cadastro!$A272</f>
        <v>URBS 3</v>
      </c>
      <c r="B272" s="104" t="str">
        <f>Cadastro!$B272</f>
        <v>CURITIBA</v>
      </c>
      <c r="C272" s="107" t="str">
        <f>Cadastro!$C272</f>
        <v>https://monitoramento.pm.pr.gov.br/proxy_image_3/</v>
      </c>
      <c r="D272" s="105">
        <f>Cadastro!$D272</f>
        <v>38601</v>
      </c>
      <c r="E272" s="104" t="str">
        <f>Cadastro!$E272</f>
        <v>Camera121</v>
      </c>
      <c r="F272" s="104" t="str">
        <f>Cadastro!$F272</f>
        <v>Praça Rui Barbosa - Westephalen 3</v>
      </c>
      <c r="G272" s="104" t="str">
        <f>Cadastro!$G272</f>
        <v>-25.435492</v>
      </c>
      <c r="H272" s="104" t="str">
        <f>Cadastro!$H272</f>
        <v>-49.271748</v>
      </c>
      <c r="I272" s="104" t="str">
        <f>Cadastro!$I272</f>
        <v>copom_DDTQ</v>
      </c>
      <c r="J272" s="104" t="str">
        <f>Cadastro!$J272</f>
        <v>DDTQcopom</v>
      </c>
      <c r="K272" s="104" t="s">
        <v>4536</v>
      </c>
      <c r="L272" s="104" t="s">
        <v>26</v>
      </c>
      <c r="M272" s="104" t="s">
        <v>27</v>
      </c>
      <c r="N272" s="108" t="str">
        <f t="shared" si="1"/>
        <v>URBS 3</v>
      </c>
      <c r="O272" s="109" t="str">
        <f>Cadastro!$O272</f>
        <v>https://monitoramento.pm.pr.gov.br/proxy_image_3/Interface/Cameras/GetJPEGStream?Camera=Camera121&amp;AuthUser=copom_DDTQ&amp;AuthPass=DDTQcopom&amp;Width=1024&amp;Height=768&amp;Quality=70&amp;FPS=10&amp;ResponseFormat=Text</v>
      </c>
      <c r="P272" s="106">
        <f>Cadastro!$P272</f>
        <v>1</v>
      </c>
    </row>
    <row r="273">
      <c r="A273" s="104" t="str">
        <f>Cadastro!$A273</f>
        <v>URBS 3</v>
      </c>
      <c r="B273" s="104" t="str">
        <f>Cadastro!$B273</f>
        <v>CURITIBA</v>
      </c>
      <c r="C273" s="107" t="str">
        <f>Cadastro!$C273</f>
        <v>https://monitoramento.pm.pr.gov.br/proxy_image_3/</v>
      </c>
      <c r="D273" s="105">
        <f>Cadastro!$D273</f>
        <v>38601</v>
      </c>
      <c r="E273" s="104" t="str">
        <f>Cadastro!$E273</f>
        <v>Camera122</v>
      </c>
      <c r="F273" s="104" t="str">
        <f>Cadastro!$F273</f>
        <v>Praça Rui Barbosa - Westephalen 4</v>
      </c>
      <c r="G273" s="104" t="str">
        <f>Cadastro!$G273</f>
        <v>-25.435140</v>
      </c>
      <c r="H273" s="104" t="str">
        <f>Cadastro!$H273</f>
        <v>-49.271910</v>
      </c>
      <c r="I273" s="104" t="str">
        <f>Cadastro!$I273</f>
        <v>copom_DDTQ</v>
      </c>
      <c r="J273" s="104" t="str">
        <f>Cadastro!$J273</f>
        <v>DDTQcopom</v>
      </c>
      <c r="K273" s="104" t="s">
        <v>4536</v>
      </c>
      <c r="L273" s="104" t="s">
        <v>26</v>
      </c>
      <c r="M273" s="104" t="s">
        <v>27</v>
      </c>
      <c r="N273" s="108" t="str">
        <f t="shared" si="1"/>
        <v>URBS 3</v>
      </c>
      <c r="O273" s="109" t="str">
        <f>Cadastro!$O273</f>
        <v>https://monitoramento.pm.pr.gov.br/proxy_image_3/Interface/Cameras/GetJPEGStream?Camera=Camera122&amp;AuthUser=copom_DDTQ&amp;AuthPass=DDTQcopom&amp;Width=1024&amp;Height=768&amp;Quality=70&amp;FPS=10&amp;ResponseFormat=Text</v>
      </c>
      <c r="P273" s="106">
        <f>Cadastro!$P273</f>
        <v>1</v>
      </c>
    </row>
    <row r="274">
      <c r="A274" s="104" t="str">
        <f>Cadastro!$A274</f>
        <v>URBS 3</v>
      </c>
      <c r="B274" s="104" t="str">
        <f>Cadastro!$B274</f>
        <v>CURITIBA</v>
      </c>
      <c r="C274" s="107" t="str">
        <f>Cadastro!$C274</f>
        <v>https://monitoramento.pm.pr.gov.br/proxy_image_3/</v>
      </c>
      <c r="D274" s="105">
        <f>Cadastro!$D274</f>
        <v>38601</v>
      </c>
      <c r="E274" s="104" t="str">
        <f>Cadastro!$E274</f>
        <v>Camera123</v>
      </c>
      <c r="F274" s="104" t="str">
        <f>Cadastro!$F274</f>
        <v>ET Fernando de Noronha &gt; Centro</v>
      </c>
      <c r="G274" s="104" t="str">
        <f>Cadastro!$G274</f>
        <v>-25.385155</v>
      </c>
      <c r="H274" s="104" t="str">
        <f>Cadastro!$H274</f>
        <v>-49.232874</v>
      </c>
      <c r="I274" s="104" t="str">
        <f>Cadastro!$I274</f>
        <v>copom_DDTQ</v>
      </c>
      <c r="J274" s="104" t="str">
        <f>Cadastro!$J274</f>
        <v>DDTQcopom</v>
      </c>
      <c r="K274" s="104" t="s">
        <v>4536</v>
      </c>
      <c r="L274" s="104" t="s">
        <v>26</v>
      </c>
      <c r="M274" s="104" t="s">
        <v>27</v>
      </c>
      <c r="N274" s="108" t="str">
        <f t="shared" si="1"/>
        <v>URBS 3</v>
      </c>
      <c r="O274" s="109" t="str">
        <f>Cadastro!$O274</f>
        <v>https://monitoramento.pm.pr.gov.br/proxy_image_3/Interface/Cameras/GetJPEGStream?Camera=Camera123&amp;AuthUser=copom_DDTQ&amp;AuthPass=DDTQcopom&amp;Width=1024&amp;Height=768&amp;Quality=70&amp;FPS=10&amp;ResponseFormat=Text</v>
      </c>
      <c r="P274" s="106">
        <f>Cadastro!$P274</f>
        <v>1</v>
      </c>
    </row>
    <row r="275">
      <c r="A275" s="104" t="str">
        <f>Cadastro!$A275</f>
        <v>URBS 3</v>
      </c>
      <c r="B275" s="104" t="str">
        <f>Cadastro!$B275</f>
        <v>CURITIBA</v>
      </c>
      <c r="C275" s="107" t="str">
        <f>Cadastro!$C275</f>
        <v>https://monitoramento.pm.pr.gov.br/proxy_image_3/</v>
      </c>
      <c r="D275" s="105">
        <f>Cadastro!$D275</f>
        <v>38601</v>
      </c>
      <c r="E275" s="104" t="str">
        <f>Cadastro!$E275</f>
        <v>Camera124</v>
      </c>
      <c r="F275" s="104" t="str">
        <f>Cadastro!$F275</f>
        <v>ET Fernando de Noronha &gt; Bairro</v>
      </c>
      <c r="G275" s="104" t="str">
        <f>Cadastro!$G275</f>
        <v>-25.384394</v>
      </c>
      <c r="H275" s="104" t="str">
        <f>Cadastro!$H275</f>
        <v>-49.232040</v>
      </c>
      <c r="I275" s="104" t="str">
        <f>Cadastro!$I275</f>
        <v>copom_DDTQ</v>
      </c>
      <c r="J275" s="104" t="str">
        <f>Cadastro!$J275</f>
        <v>DDTQcopom</v>
      </c>
      <c r="K275" s="104" t="s">
        <v>4536</v>
      </c>
      <c r="L275" s="104" t="s">
        <v>26</v>
      </c>
      <c r="M275" s="104" t="s">
        <v>27</v>
      </c>
      <c r="N275" s="108" t="str">
        <f t="shared" si="1"/>
        <v>URBS 3</v>
      </c>
      <c r="O275" s="109" t="str">
        <f>Cadastro!$O275</f>
        <v>https://monitoramento.pm.pr.gov.br/proxy_image_3/Interface/Cameras/GetJPEGStream?Camera=Camera124&amp;AuthUser=copom_DDTQ&amp;AuthPass=DDTQcopom&amp;Width=1024&amp;Height=768&amp;Quality=70&amp;FPS=10&amp;ResponseFormat=Text</v>
      </c>
      <c r="P275" s="106">
        <f>Cadastro!$P275</f>
        <v>1</v>
      </c>
    </row>
    <row r="276">
      <c r="A276" s="104" t="str">
        <f>Cadastro!$A276</f>
        <v>URBS 3</v>
      </c>
      <c r="B276" s="104" t="str">
        <f>Cadastro!$B276</f>
        <v>CURITIBA</v>
      </c>
      <c r="C276" s="107" t="str">
        <f>Cadastro!$C276</f>
        <v>https://monitoramento.pm.pr.gov.br/proxy_image_3/</v>
      </c>
      <c r="D276" s="105">
        <f>Cadastro!$D276</f>
        <v>38601</v>
      </c>
      <c r="E276" s="104" t="str">
        <f>Cadastro!$E276</f>
        <v>Camera125</v>
      </c>
      <c r="F276" s="104" t="str">
        <f>Cadastro!$F276</f>
        <v>ET Antonio Lago &gt; Centro</v>
      </c>
      <c r="G276" s="104" t="str">
        <f>Cadastro!$G276</f>
        <v>-25.388790</v>
      </c>
      <c r="H276" s="104" t="str">
        <f>Cadastro!$H276</f>
        <v>-49.236244</v>
      </c>
      <c r="I276" s="104" t="str">
        <f>Cadastro!$I276</f>
        <v>copom_DDTQ</v>
      </c>
      <c r="J276" s="104" t="str">
        <f>Cadastro!$J276</f>
        <v>DDTQcopom</v>
      </c>
      <c r="K276" s="104" t="s">
        <v>4536</v>
      </c>
      <c r="L276" s="104" t="s">
        <v>26</v>
      </c>
      <c r="M276" s="104" t="s">
        <v>27</v>
      </c>
      <c r="N276" s="108" t="str">
        <f t="shared" si="1"/>
        <v>URBS 3</v>
      </c>
      <c r="O276" s="109" t="str">
        <f>Cadastro!$O276</f>
        <v>https://monitoramento.pm.pr.gov.br/proxy_image_3/Interface/Cameras/GetJPEGStream?Camera=Camera125&amp;AuthUser=copom_DDTQ&amp;AuthPass=DDTQcopom&amp;Width=1024&amp;Height=768&amp;Quality=70&amp;FPS=10&amp;ResponseFormat=Text</v>
      </c>
      <c r="P276" s="106">
        <f>Cadastro!$P276</f>
        <v>1</v>
      </c>
    </row>
    <row r="277">
      <c r="A277" s="104" t="str">
        <f>Cadastro!$A277</f>
        <v>URBS 3</v>
      </c>
      <c r="B277" s="104" t="str">
        <f>Cadastro!$B277</f>
        <v>CURITIBA</v>
      </c>
      <c r="C277" s="107" t="str">
        <f>Cadastro!$C277</f>
        <v>https://monitoramento.pm.pr.gov.br/proxy_image_3/</v>
      </c>
      <c r="D277" s="105">
        <f>Cadastro!$D277</f>
        <v>38601</v>
      </c>
      <c r="E277" s="104" t="str">
        <f>Cadastro!$E277</f>
        <v>Camera126</v>
      </c>
      <c r="F277" s="104" t="str">
        <f>Cadastro!$F277</f>
        <v>ET Antonio Lago &gt; Bairro</v>
      </c>
      <c r="G277" s="104" t="str">
        <f>Cadastro!$G277</f>
        <v>-25.388841</v>
      </c>
      <c r="H277" s="104" t="str">
        <f>Cadastro!$H277</f>
        <v>-49.236150</v>
      </c>
      <c r="I277" s="104" t="str">
        <f>Cadastro!$I277</f>
        <v>copom_DDTQ</v>
      </c>
      <c r="J277" s="104" t="str">
        <f>Cadastro!$J277</f>
        <v>DDTQcopom</v>
      </c>
      <c r="K277" s="104" t="s">
        <v>4536</v>
      </c>
      <c r="L277" s="104" t="s">
        <v>26</v>
      </c>
      <c r="M277" s="104" t="s">
        <v>27</v>
      </c>
      <c r="N277" s="108" t="str">
        <f t="shared" si="1"/>
        <v>URBS 3</v>
      </c>
      <c r="O277" s="109" t="str">
        <f>Cadastro!$O277</f>
        <v>https://monitoramento.pm.pr.gov.br/proxy_image_3/Interface/Cameras/GetJPEGStream?Camera=Camera126&amp;AuthUser=copom_DDTQ&amp;AuthPass=DDTQcopom&amp;Width=1024&amp;Height=768&amp;Quality=70&amp;FPS=10&amp;ResponseFormat=Text</v>
      </c>
      <c r="P277" s="106">
        <f>Cadastro!$P277</f>
        <v>1</v>
      </c>
    </row>
    <row r="278">
      <c r="A278" s="104" t="str">
        <f>Cadastro!$A278</f>
        <v>URBS 3</v>
      </c>
      <c r="B278" s="104" t="str">
        <f>Cadastro!$B278</f>
        <v>CURITIBA</v>
      </c>
      <c r="C278" s="107" t="str">
        <f>Cadastro!$C278</f>
        <v>https://monitoramento.pm.pr.gov.br/proxy_image_3/</v>
      </c>
      <c r="D278" s="105">
        <f>Cadastro!$D278</f>
        <v>38601</v>
      </c>
      <c r="E278" s="104" t="str">
        <f>Cadastro!$E278</f>
        <v>Camera127</v>
      </c>
      <c r="F278" s="104" t="str">
        <f>Cadastro!$F278</f>
        <v>ET Joaquim Nabuco &gt; Centro</v>
      </c>
      <c r="G278" s="104" t="str">
        <f>Cadastro!$G278</f>
        <v>-25.380760</v>
      </c>
      <c r="H278" s="104" t="str">
        <f>Cadastro!$H278</f>
        <v>-49.228853</v>
      </c>
      <c r="I278" s="104" t="str">
        <f>Cadastro!$I278</f>
        <v>copom_DDTQ</v>
      </c>
      <c r="J278" s="104" t="str">
        <f>Cadastro!$J278</f>
        <v>DDTQcopom</v>
      </c>
      <c r="K278" s="104" t="s">
        <v>4536</v>
      </c>
      <c r="L278" s="104" t="s">
        <v>26</v>
      </c>
      <c r="M278" s="104" t="s">
        <v>27</v>
      </c>
      <c r="N278" s="108" t="str">
        <f t="shared" si="1"/>
        <v>URBS 3</v>
      </c>
      <c r="O278" s="109" t="str">
        <f>Cadastro!$O278</f>
        <v>https://monitoramento.pm.pr.gov.br/proxy_image_3/Interface/Cameras/GetJPEGStream?Camera=Camera127&amp;AuthUser=copom_DDTQ&amp;AuthPass=DDTQcopom&amp;Width=1024&amp;Height=768&amp;Quality=70&amp;FPS=10&amp;ResponseFormat=Text</v>
      </c>
      <c r="P278" s="106">
        <f>Cadastro!$P278</f>
        <v>1</v>
      </c>
    </row>
    <row r="279">
      <c r="A279" s="104" t="str">
        <f>Cadastro!$A279</f>
        <v>URBS 3</v>
      </c>
      <c r="B279" s="104" t="str">
        <f>Cadastro!$B279</f>
        <v>CURITIBA</v>
      </c>
      <c r="C279" s="107" t="str">
        <f>Cadastro!$C279</f>
        <v>https://monitoramento.pm.pr.gov.br/proxy_image_3/</v>
      </c>
      <c r="D279" s="105">
        <f>Cadastro!$D279</f>
        <v>38601</v>
      </c>
      <c r="E279" s="104" t="str">
        <f>Cadastro!$E279</f>
        <v>Camera128</v>
      </c>
      <c r="F279" s="104" t="str">
        <f>Cadastro!$F279</f>
        <v>ET Joaquim Nabuco &gt; Bairro</v>
      </c>
      <c r="G279" s="104" t="str">
        <f>Cadastro!$G279</f>
        <v>-25.380811</v>
      </c>
      <c r="H279" s="104" t="str">
        <f>Cadastro!$H279</f>
        <v>-49.228758</v>
      </c>
      <c r="I279" s="104" t="str">
        <f>Cadastro!$I279</f>
        <v>copom_DDTQ</v>
      </c>
      <c r="J279" s="104" t="str">
        <f>Cadastro!$J279</f>
        <v>DDTQcopom</v>
      </c>
      <c r="K279" s="104" t="s">
        <v>4536</v>
      </c>
      <c r="L279" s="104" t="s">
        <v>26</v>
      </c>
      <c r="M279" s="104" t="s">
        <v>27</v>
      </c>
      <c r="N279" s="108" t="str">
        <f t="shared" si="1"/>
        <v>URBS 3</v>
      </c>
      <c r="O279" s="109" t="str">
        <f>Cadastro!$O279</f>
        <v>https://monitoramento.pm.pr.gov.br/proxy_image_3/Interface/Cameras/GetJPEGStream?Camera=Camera128&amp;AuthUser=copom_DDTQ&amp;AuthPass=DDTQcopom&amp;Width=1024&amp;Height=768&amp;Quality=70&amp;FPS=10&amp;ResponseFormat=Text</v>
      </c>
      <c r="P279" s="106">
        <f>Cadastro!$P279</f>
        <v>1</v>
      </c>
    </row>
    <row r="280">
      <c r="A280" s="104" t="str">
        <f>Cadastro!$A280</f>
        <v>URBS 3</v>
      </c>
      <c r="B280" s="104" t="str">
        <f>Cadastro!$B280</f>
        <v>CURITIBA</v>
      </c>
      <c r="C280" s="107" t="str">
        <f>Cadastro!$C280</f>
        <v>https://monitoramento.pm.pr.gov.br/proxy_image_3/</v>
      </c>
      <c r="D280" s="105">
        <f>Cadastro!$D280</f>
        <v>38601</v>
      </c>
      <c r="E280" s="104" t="str">
        <f>Cadastro!$E280</f>
        <v>Camera129</v>
      </c>
      <c r="F280" s="104" t="str">
        <f>Cadastro!$F280</f>
        <v>ET Maria Clara &gt; Centro</v>
      </c>
      <c r="G280" s="104" t="str">
        <f>Cadastro!$G280</f>
        <v>-25.419390</v>
      </c>
      <c r="H280" s="104" t="str">
        <f>Cadastro!$H280</f>
        <v>-49.264588</v>
      </c>
      <c r="I280" s="104" t="str">
        <f>Cadastro!$I280</f>
        <v>copom_DDTQ</v>
      </c>
      <c r="J280" s="104" t="str">
        <f>Cadastro!$J280</f>
        <v>DDTQcopom</v>
      </c>
      <c r="K280" s="104" t="s">
        <v>4536</v>
      </c>
      <c r="L280" s="104" t="s">
        <v>26</v>
      </c>
      <c r="M280" s="104" t="s">
        <v>27</v>
      </c>
      <c r="N280" s="108" t="str">
        <f t="shared" si="1"/>
        <v>URBS 3</v>
      </c>
      <c r="O280" s="109" t="str">
        <f>Cadastro!$O280</f>
        <v>https://monitoramento.pm.pr.gov.br/proxy_image_3/Interface/Cameras/GetJPEGStream?Camera=Camera129&amp;AuthUser=copom_DDTQ&amp;AuthPass=DDTQcopom&amp;Width=1024&amp;Height=768&amp;Quality=70&amp;FPS=10&amp;ResponseFormat=Text</v>
      </c>
      <c r="P280" s="106">
        <f>Cadastro!$P280</f>
        <v>1</v>
      </c>
    </row>
    <row r="281">
      <c r="A281" s="104" t="str">
        <f>Cadastro!$A281</f>
        <v>URBS 3</v>
      </c>
      <c r="B281" s="104" t="str">
        <f>Cadastro!$B281</f>
        <v>CURITIBA</v>
      </c>
      <c r="C281" s="107" t="str">
        <f>Cadastro!$C281</f>
        <v>https://monitoramento.pm.pr.gov.br/proxy_image_3/</v>
      </c>
      <c r="D281" s="105">
        <f>Cadastro!$D281</f>
        <v>38601</v>
      </c>
      <c r="E281" s="104" t="str">
        <f>Cadastro!$E281</f>
        <v>Camera130</v>
      </c>
      <c r="F281" s="104" t="str">
        <f>Cadastro!$F281</f>
        <v>ET Maria Clara &gt; Bairro</v>
      </c>
      <c r="G281" s="104" t="str">
        <f>Cadastro!$G281</f>
        <v>-25.419450</v>
      </c>
      <c r="H281" s="104" t="str">
        <f>Cadastro!$H281</f>
        <v>-49.264500</v>
      </c>
      <c r="I281" s="104" t="str">
        <f>Cadastro!$I281</f>
        <v>copom_DDTQ</v>
      </c>
      <c r="J281" s="104" t="str">
        <f>Cadastro!$J281</f>
        <v>DDTQcopom</v>
      </c>
      <c r="K281" s="104" t="s">
        <v>4536</v>
      </c>
      <c r="L281" s="104" t="s">
        <v>26</v>
      </c>
      <c r="M281" s="104" t="s">
        <v>27</v>
      </c>
      <c r="N281" s="108" t="str">
        <f t="shared" si="1"/>
        <v>URBS 3</v>
      </c>
      <c r="O281" s="109" t="str">
        <f>Cadastro!$O281</f>
        <v>https://monitoramento.pm.pr.gov.br/proxy_image_3/Interface/Cameras/GetJPEGStream?Camera=Camera130&amp;AuthUser=copom_DDTQ&amp;AuthPass=DDTQcopom&amp;Width=1024&amp;Height=768&amp;Quality=70&amp;FPS=10&amp;ResponseFormat=Text</v>
      </c>
      <c r="P281" s="106">
        <f>Cadastro!$P281</f>
        <v>1</v>
      </c>
    </row>
    <row r="282">
      <c r="A282" s="104" t="str">
        <f>Cadastro!$A282</f>
        <v>URBS 3</v>
      </c>
      <c r="B282" s="104" t="str">
        <f>Cadastro!$B282</f>
        <v>CURITIBA</v>
      </c>
      <c r="C282" s="107" t="str">
        <f>Cadastro!$C282</f>
        <v>https://monitoramento.pm.pr.gov.br/proxy_image_3/</v>
      </c>
      <c r="D282" s="105">
        <f>Cadastro!$D282</f>
        <v>38601</v>
      </c>
      <c r="E282" s="104" t="str">
        <f>Cadastro!$E282</f>
        <v>Camera133</v>
      </c>
      <c r="F282" s="104" t="str">
        <f>Cadastro!$F282</f>
        <v>ET Passeio Público &gt; Bairro 1</v>
      </c>
      <c r="G282" s="104" t="str">
        <f>Cadastro!$G282</f>
        <v>-25.423990</v>
      </c>
      <c r="H282" s="104" t="str">
        <f>Cadastro!$H282</f>
        <v>-49.268380</v>
      </c>
      <c r="I282" s="104" t="str">
        <f>Cadastro!$I282</f>
        <v>copom_DDTQ</v>
      </c>
      <c r="J282" s="104" t="str">
        <f>Cadastro!$J282</f>
        <v>DDTQcopom</v>
      </c>
      <c r="K282" s="104" t="s">
        <v>4536</v>
      </c>
      <c r="L282" s="104" t="s">
        <v>26</v>
      </c>
      <c r="M282" s="104" t="s">
        <v>27</v>
      </c>
      <c r="N282" s="108" t="str">
        <f t="shared" si="1"/>
        <v>URBS 3</v>
      </c>
      <c r="O282" s="109" t="str">
        <f>Cadastro!$O282</f>
        <v>https://monitoramento.pm.pr.gov.br/proxy_image_3/Interface/Cameras/GetJPEGStream?Camera=Camera133&amp;AuthUser=copom_DDTQ&amp;AuthPass=DDTQcopom&amp;Width=1024&amp;Height=768&amp;Quality=70&amp;FPS=10&amp;ResponseFormat=Text</v>
      </c>
      <c r="P282" s="106">
        <f>Cadastro!$P282</f>
        <v>1</v>
      </c>
    </row>
    <row r="283">
      <c r="A283" s="104" t="str">
        <f>Cadastro!$A283</f>
        <v>URBS 3</v>
      </c>
      <c r="B283" s="104" t="str">
        <f>Cadastro!$B283</f>
        <v>CURITIBA</v>
      </c>
      <c r="C283" s="107" t="str">
        <f>Cadastro!$C283</f>
        <v>https://monitoramento.pm.pr.gov.br/proxy_image_3/</v>
      </c>
      <c r="D283" s="105">
        <f>Cadastro!$D283</f>
        <v>38601</v>
      </c>
      <c r="E283" s="104" t="str">
        <f>Cadastro!$E283</f>
        <v>Camera134</v>
      </c>
      <c r="F283" s="104" t="str">
        <f>Cadastro!$F283</f>
        <v>PANE ET Passeio Público &gt; Bairro 2</v>
      </c>
      <c r="G283" s="104" t="str">
        <f>Cadastro!$G283</f>
        <v>-25.423904</v>
      </c>
      <c r="H283" s="104" t="str">
        <f>Cadastro!$H283</f>
        <v>-49.268276</v>
      </c>
      <c r="I283" s="104" t="str">
        <f>Cadastro!$I283</f>
        <v>copom_DDTQ</v>
      </c>
      <c r="J283" s="104" t="str">
        <f>Cadastro!$J283</f>
        <v>DDTQcopom</v>
      </c>
      <c r="K283" s="104" t="s">
        <v>4536</v>
      </c>
      <c r="L283" s="104" t="s">
        <v>26</v>
      </c>
      <c r="M283" s="104" t="s">
        <v>27</v>
      </c>
      <c r="N283" s="108" t="str">
        <f t="shared" si="1"/>
        <v>URBS 3</v>
      </c>
      <c r="O283" s="109" t="str">
        <f>Cadastro!$O283</f>
        <v>https://monitoramento.pm.pr.gov.br/proxy_image_3/Interface/Cameras/GetJPEGStream?Camera=Camera134&amp;AuthUser=copom_DDTQ&amp;AuthPass=DDTQcopom&amp;Width=1024&amp;Height=768&amp;Quality=70&amp;FPS=10&amp;ResponseFormat=Text</v>
      </c>
      <c r="P283" s="106">
        <f>Cadastro!$P283</f>
        <v>1</v>
      </c>
    </row>
    <row r="284">
      <c r="A284" s="104" t="str">
        <f>Cadastro!$A284</f>
        <v>URBS 3</v>
      </c>
      <c r="B284" s="104" t="str">
        <f>Cadastro!$B284</f>
        <v>CURITIBA</v>
      </c>
      <c r="C284" s="107" t="str">
        <f>Cadastro!$C284</f>
        <v>https://monitoramento.pm.pr.gov.br/proxy_image_3/</v>
      </c>
      <c r="D284" s="105">
        <f>Cadastro!$D284</f>
        <v>38601</v>
      </c>
      <c r="E284" s="104" t="str">
        <f>Cadastro!$E284</f>
        <v>Camera135</v>
      </c>
      <c r="F284" s="104" t="str">
        <f>Cadastro!$F284</f>
        <v>ET Passeio Público &gt; Centro 1</v>
      </c>
      <c r="G284" s="104" t="str">
        <f>Cadastro!$G284</f>
        <v>-25.423841</v>
      </c>
      <c r="H284" s="104" t="str">
        <f>Cadastro!$H284</f>
        <v>-49.268351</v>
      </c>
      <c r="I284" s="104" t="str">
        <f>Cadastro!$I284</f>
        <v>copom_DDTQ</v>
      </c>
      <c r="J284" s="104" t="str">
        <f>Cadastro!$J284</f>
        <v>DDTQcopom</v>
      </c>
      <c r="K284" s="104" t="s">
        <v>4536</v>
      </c>
      <c r="L284" s="104" t="s">
        <v>26</v>
      </c>
      <c r="M284" s="104" t="s">
        <v>27</v>
      </c>
      <c r="N284" s="108" t="str">
        <f t="shared" si="1"/>
        <v>URBS 3</v>
      </c>
      <c r="O284" s="109" t="str">
        <f>Cadastro!$O284</f>
        <v>https://monitoramento.pm.pr.gov.br/proxy_image_3/Interface/Cameras/GetJPEGStream?Camera=Camera135&amp;AuthUser=copom_DDTQ&amp;AuthPass=DDTQcopom&amp;Width=1024&amp;Height=768&amp;Quality=70&amp;FPS=10&amp;ResponseFormat=Text</v>
      </c>
      <c r="P284" s="106">
        <f>Cadastro!$P284</f>
        <v>1</v>
      </c>
    </row>
    <row r="285">
      <c r="A285" s="104" t="str">
        <f>Cadastro!$A285</f>
        <v>URBS 3</v>
      </c>
      <c r="B285" s="104" t="str">
        <f>Cadastro!$B285</f>
        <v>CURITIBA</v>
      </c>
      <c r="C285" s="107" t="str">
        <f>Cadastro!$C285</f>
        <v>https://monitoramento.pm.pr.gov.br/proxy_image_3/</v>
      </c>
      <c r="D285" s="105">
        <f>Cadastro!$D285</f>
        <v>38601</v>
      </c>
      <c r="E285" s="104" t="str">
        <f>Cadastro!$E285</f>
        <v>Camera136</v>
      </c>
      <c r="F285" s="104" t="str">
        <f>Cadastro!$F285</f>
        <v>ET Passeio Público &gt; Centro 2</v>
      </c>
      <c r="G285" s="104" t="str">
        <f>Cadastro!$G285</f>
        <v>-25.423930</v>
      </c>
      <c r="H285" s="104" t="str">
        <f>Cadastro!$H285</f>
        <v>-49.268470</v>
      </c>
      <c r="I285" s="104" t="str">
        <f>Cadastro!$I285</f>
        <v>copom_DDTQ</v>
      </c>
      <c r="J285" s="104" t="str">
        <f>Cadastro!$J285</f>
        <v>DDTQcopom</v>
      </c>
      <c r="K285" s="104" t="s">
        <v>4536</v>
      </c>
      <c r="L285" s="104" t="s">
        <v>26</v>
      </c>
      <c r="M285" s="104" t="s">
        <v>27</v>
      </c>
      <c r="N285" s="108" t="str">
        <f t="shared" si="1"/>
        <v>URBS 3</v>
      </c>
      <c r="O285" s="109" t="str">
        <f>Cadastro!$O285</f>
        <v>https://monitoramento.pm.pr.gov.br/proxy_image_3/Interface/Cameras/GetJPEGStream?Camera=Camera136&amp;AuthUser=copom_DDTQ&amp;AuthPass=DDTQcopom&amp;Width=1024&amp;Height=768&amp;Quality=70&amp;FPS=10&amp;ResponseFormat=Text</v>
      </c>
      <c r="P285" s="106">
        <f>Cadastro!$P285</f>
        <v>1</v>
      </c>
    </row>
    <row r="286">
      <c r="A286" s="104" t="str">
        <f>Cadastro!$A286</f>
        <v>URBS 3</v>
      </c>
      <c r="B286" s="104" t="str">
        <f>Cadastro!$B286</f>
        <v>CURITIBA</v>
      </c>
      <c r="C286" s="107" t="str">
        <f>Cadastro!$C286</f>
        <v>https://monitoramento.pm.pr.gov.br/proxy_image_3/</v>
      </c>
      <c r="D286" s="105">
        <f>Cadastro!$D286</f>
        <v>38601</v>
      </c>
      <c r="E286" s="104" t="str">
        <f>Cadastro!$E286</f>
        <v>EX038CFTV01</v>
      </c>
      <c r="F286" s="104" t="str">
        <f>Cadastro!$F286</f>
        <v>ET Gago Coutinho &gt; Centro</v>
      </c>
      <c r="G286" s="104" t="str">
        <f>Cadastro!$G286</f>
        <v>-25.396496</v>
      </c>
      <c r="H286" s="104" t="str">
        <f>Cadastro!$H286</f>
        <v>-49.243383</v>
      </c>
      <c r="I286" s="104" t="str">
        <f>Cadastro!$I286</f>
        <v>copom_DDTQ</v>
      </c>
      <c r="J286" s="104" t="str">
        <f>Cadastro!$J286</f>
        <v>DDTQcopom</v>
      </c>
      <c r="K286" s="104" t="s">
        <v>4536</v>
      </c>
      <c r="L286" s="104" t="s">
        <v>26</v>
      </c>
      <c r="M286" s="104" t="s">
        <v>27</v>
      </c>
      <c r="N286" s="108" t="str">
        <f t="shared" si="1"/>
        <v>URBS 3</v>
      </c>
      <c r="O286" s="109" t="str">
        <f>Cadastro!$O286</f>
        <v>https://monitoramento.pm.pr.gov.br/proxy_image_3/Interface/Cameras/GetJPEGStream?Camera=EX038CFTV01&amp;AuthUser=copom_DDTQ&amp;AuthPass=DDTQcopom&amp;Width=1024&amp;Height=768&amp;Quality=70&amp;FPS=10&amp;ResponseFormat=Text</v>
      </c>
      <c r="P286" s="106">
        <f>Cadastro!$P286</f>
        <v>1</v>
      </c>
    </row>
    <row r="287">
      <c r="A287" s="104" t="str">
        <f>Cadastro!$A287</f>
        <v>URBS 3</v>
      </c>
      <c r="B287" s="104" t="str">
        <f>Cadastro!$B287</f>
        <v>CURITIBA</v>
      </c>
      <c r="C287" s="107" t="str">
        <f>Cadastro!$C287</f>
        <v>https://monitoramento.pm.pr.gov.br/proxy_image_3/</v>
      </c>
      <c r="D287" s="105">
        <f>Cadastro!$D287</f>
        <v>38601</v>
      </c>
      <c r="E287" s="104" t="str">
        <f>Cadastro!$E287</f>
        <v>EX039CFTV01</v>
      </c>
      <c r="F287" s="104" t="str">
        <f>Cadastro!$F287</f>
        <v>ET Gago Coutinho &gt; Bairro</v>
      </c>
      <c r="G287" s="104" t="str">
        <f>Cadastro!$G287</f>
        <v>-25.396558</v>
      </c>
      <c r="H287" s="104" t="str">
        <f>Cadastro!$H287</f>
        <v>-49.243297</v>
      </c>
      <c r="I287" s="104" t="str">
        <f>Cadastro!$I287</f>
        <v>copom_DDTQ</v>
      </c>
      <c r="J287" s="104" t="str">
        <f>Cadastro!$J287</f>
        <v>DDTQcopom</v>
      </c>
      <c r="K287" s="104" t="s">
        <v>4536</v>
      </c>
      <c r="L287" s="104" t="s">
        <v>26</v>
      </c>
      <c r="M287" s="104" t="s">
        <v>27</v>
      </c>
      <c r="N287" s="108" t="str">
        <f t="shared" si="1"/>
        <v>URBS 3</v>
      </c>
      <c r="O287" s="109" t="str">
        <f>Cadastro!$O287</f>
        <v>https://monitoramento.pm.pr.gov.br/proxy_image_3/Interface/Cameras/GetJPEGStream?Camera=EX039CFTV01&amp;AuthUser=copom_DDTQ&amp;AuthPass=DDTQcopom&amp;Width=1024&amp;Height=768&amp;Quality=70&amp;FPS=10&amp;ResponseFormat=Text</v>
      </c>
      <c r="P287" s="106">
        <f>Cadastro!$P287</f>
        <v>1</v>
      </c>
    </row>
    <row r="288">
      <c r="A288" s="104" t="str">
        <f>Cadastro!$A288</f>
        <v>URBS 3</v>
      </c>
      <c r="B288" s="104" t="str">
        <f>Cadastro!$B288</f>
        <v>CURITIBA</v>
      </c>
      <c r="C288" s="107" t="str">
        <f>Cadastro!$C288</f>
        <v>https://monitoramento.pm.pr.gov.br/proxy_image_3/</v>
      </c>
      <c r="D288" s="105">
        <f>Cadastro!$D288</f>
        <v>38601</v>
      </c>
      <c r="E288" s="104" t="str">
        <f>Cadastro!$E288</f>
        <v>EX099CFTV01</v>
      </c>
      <c r="F288" s="104" t="str">
        <f>Cadastro!$F288</f>
        <v>ET Cajuru &gt; C. Comprido</v>
      </c>
      <c r="G288" s="104" t="str">
        <f>Cadastro!$G288</f>
        <v>-25.460426</v>
      </c>
      <c r="H288" s="104" t="str">
        <f>Cadastro!$H288</f>
        <v>-49.211746</v>
      </c>
      <c r="I288" s="104" t="str">
        <f>Cadastro!$I288</f>
        <v>copom_DDTQ</v>
      </c>
      <c r="J288" s="104" t="str">
        <f>Cadastro!$J288</f>
        <v>DDTQcopom</v>
      </c>
      <c r="K288" s="104" t="s">
        <v>4536</v>
      </c>
      <c r="L288" s="104" t="s">
        <v>26</v>
      </c>
      <c r="M288" s="104" t="s">
        <v>27</v>
      </c>
      <c r="N288" s="108" t="str">
        <f t="shared" si="1"/>
        <v>URBS 3</v>
      </c>
      <c r="O288" s="109" t="str">
        <f>Cadastro!$O288</f>
        <v>https://monitoramento.pm.pr.gov.br/proxy_image_3/Interface/Cameras/GetJPEGStream?Camera=EX099CFTV01&amp;AuthUser=copom_DDTQ&amp;AuthPass=DDTQcopom&amp;Width=1024&amp;Height=768&amp;Quality=70&amp;FPS=10&amp;ResponseFormat=Text</v>
      </c>
      <c r="P288" s="106">
        <f>Cadastro!$P288</f>
        <v>1</v>
      </c>
    </row>
    <row r="289">
      <c r="A289" s="104" t="str">
        <f>Cadastro!$A289</f>
        <v>URBS 3</v>
      </c>
      <c r="B289" s="104" t="str">
        <f>Cadastro!$B289</f>
        <v>CURITIBA</v>
      </c>
      <c r="C289" s="107" t="str">
        <f>Cadastro!$C289</f>
        <v>https://monitoramento.pm.pr.gov.br/proxy_image_3/</v>
      </c>
      <c r="D289" s="105">
        <f>Cadastro!$D289</f>
        <v>38601</v>
      </c>
      <c r="E289" s="104" t="str">
        <f>Cadastro!$E289</f>
        <v>EX132CFTV03</v>
      </c>
      <c r="F289" s="104" t="str">
        <f>Cadastro!$F289</f>
        <v>ET Fanny &gt; Pinheirinho</v>
      </c>
      <c r="G289" s="104" t="str">
        <f>Cadastro!$G289</f>
        <v>-25.474767</v>
      </c>
      <c r="H289" s="104" t="str">
        <f>Cadastro!$H289</f>
        <v>-49.258663</v>
      </c>
      <c r="I289" s="104" t="str">
        <f>Cadastro!$I289</f>
        <v>copom_DDTQ</v>
      </c>
      <c r="J289" s="104" t="str">
        <f>Cadastro!$J289</f>
        <v>DDTQcopom</v>
      </c>
      <c r="K289" s="104" t="s">
        <v>4536</v>
      </c>
      <c r="L289" s="104" t="s">
        <v>26</v>
      </c>
      <c r="M289" s="104" t="s">
        <v>27</v>
      </c>
      <c r="N289" s="108" t="str">
        <f t="shared" si="1"/>
        <v>URBS 3</v>
      </c>
      <c r="O289" s="109" t="str">
        <f>Cadastro!$O289</f>
        <v>https://monitoramento.pm.pr.gov.br/proxy_image_3/Interface/Cameras/GetJPEGStream?Camera=EX132CFTV03&amp;AuthUser=copom_DDTQ&amp;AuthPass=DDTQcopom&amp;Width=1024&amp;Height=768&amp;Quality=70&amp;FPS=10&amp;ResponseFormat=Text</v>
      </c>
      <c r="P289" s="106">
        <f>Cadastro!$P289</f>
        <v>1</v>
      </c>
    </row>
    <row r="290">
      <c r="A290" s="104" t="str">
        <f>Cadastro!$A290</f>
        <v>URBS 3</v>
      </c>
      <c r="B290" s="104" t="str">
        <f>Cadastro!$B290</f>
        <v>CURITIBA</v>
      </c>
      <c r="C290" s="107" t="str">
        <f>Cadastro!$C290</f>
        <v>https://monitoramento.pm.pr.gov.br/proxy_image_3/</v>
      </c>
      <c r="D290" s="105">
        <f>Cadastro!$D290</f>
        <v>38601</v>
      </c>
      <c r="E290" s="104" t="str">
        <f>Cadastro!$E290</f>
        <v>EX132CFTV04</v>
      </c>
      <c r="F290" s="104" t="str">
        <f>Cadastro!$F290</f>
        <v>ET Fanny &gt; Pinheirinho 2</v>
      </c>
      <c r="G290" s="104" t="str">
        <f>Cadastro!$G290</f>
        <v>-25.474818</v>
      </c>
      <c r="H290" s="104" t="str">
        <f>Cadastro!$H290</f>
        <v>-49.258666</v>
      </c>
      <c r="I290" s="104" t="str">
        <f>Cadastro!$I290</f>
        <v>copom_DDTQ</v>
      </c>
      <c r="J290" s="104" t="str">
        <f>Cadastro!$J290</f>
        <v>DDTQcopom</v>
      </c>
      <c r="K290" s="104" t="s">
        <v>4536</v>
      </c>
      <c r="L290" s="104" t="s">
        <v>26</v>
      </c>
      <c r="M290" s="104" t="s">
        <v>27</v>
      </c>
      <c r="N290" s="108" t="str">
        <f t="shared" si="1"/>
        <v>URBS 3</v>
      </c>
      <c r="O290" s="109" t="str">
        <f>Cadastro!$O290</f>
        <v>https://monitoramento.pm.pr.gov.br/proxy_image_3/Interface/Cameras/GetJPEGStream?Camera=EX132CFTV04&amp;AuthUser=copom_DDTQ&amp;AuthPass=DDTQcopom&amp;Width=1024&amp;Height=768&amp;Quality=70&amp;FPS=10&amp;ResponseFormat=Text</v>
      </c>
      <c r="P290" s="106">
        <f>Cadastro!$P290</f>
        <v>1</v>
      </c>
    </row>
    <row r="291">
      <c r="A291" s="104" t="str">
        <f>Cadastro!$A291</f>
        <v>URBS 3</v>
      </c>
      <c r="B291" s="104" t="str">
        <f>Cadastro!$B291</f>
        <v>CURITIBA</v>
      </c>
      <c r="C291" s="107" t="str">
        <f>Cadastro!$C291</f>
        <v>https://monitoramento.pm.pr.gov.br/proxy_image_3/</v>
      </c>
      <c r="D291" s="105">
        <f>Cadastro!$D291</f>
        <v>38601</v>
      </c>
      <c r="E291" s="104" t="str">
        <f>Cadastro!$E291</f>
        <v>EX133CFTV01</v>
      </c>
      <c r="F291" s="104" t="str">
        <f>Cadastro!$F291</f>
        <v>ET Marechal &gt; Centro 1</v>
      </c>
      <c r="G291" s="104" t="str">
        <f>Cadastro!$G291</f>
        <v>-25.469265</v>
      </c>
      <c r="H291" s="104" t="str">
        <f>Cadastro!$H291</f>
        <v>-49.253837</v>
      </c>
      <c r="I291" s="104" t="str">
        <f>Cadastro!$I291</f>
        <v>copom_DDTQ</v>
      </c>
      <c r="J291" s="104" t="str">
        <f>Cadastro!$J291</f>
        <v>DDTQcopom</v>
      </c>
      <c r="K291" s="104" t="s">
        <v>4536</v>
      </c>
      <c r="L291" s="104" t="s">
        <v>26</v>
      </c>
      <c r="M291" s="104" t="s">
        <v>27</v>
      </c>
      <c r="N291" s="108" t="str">
        <f t="shared" si="1"/>
        <v>URBS 3</v>
      </c>
      <c r="O291" s="109" t="str">
        <f>Cadastro!$O291</f>
        <v>https://monitoramento.pm.pr.gov.br/proxy_image_3/Interface/Cameras/GetJPEGStream?Camera=EX133CFTV01&amp;AuthUser=copom_DDTQ&amp;AuthPass=DDTQcopom&amp;Width=1024&amp;Height=768&amp;Quality=70&amp;FPS=10&amp;ResponseFormat=Text</v>
      </c>
      <c r="P291" s="106">
        <f>Cadastro!$P291</f>
        <v>1</v>
      </c>
    </row>
    <row r="292">
      <c r="A292" s="104" t="str">
        <f>Cadastro!$A292</f>
        <v>URBS 3</v>
      </c>
      <c r="B292" s="104" t="str">
        <f>Cadastro!$B292</f>
        <v>CURITIBA</v>
      </c>
      <c r="C292" s="107" t="str">
        <f>Cadastro!$C292</f>
        <v>https://monitoramento.pm.pr.gov.br/proxy_image_3/</v>
      </c>
      <c r="D292" s="105">
        <f>Cadastro!$D292</f>
        <v>38601</v>
      </c>
      <c r="E292" s="104" t="str">
        <f>Cadastro!$E292</f>
        <v>EX133CFTV02</v>
      </c>
      <c r="F292" s="104" t="str">
        <f>Cadastro!$F292</f>
        <v>ET Marechal &gt; Centro 2</v>
      </c>
      <c r="G292" s="104" t="str">
        <f>Cadastro!$G292</f>
        <v>-25.469231</v>
      </c>
      <c r="H292" s="104" t="str">
        <f>Cadastro!$H292</f>
        <v>-49.253844</v>
      </c>
      <c r="I292" s="104" t="str">
        <f>Cadastro!$I292</f>
        <v>copom_DDTQ</v>
      </c>
      <c r="J292" s="104" t="str">
        <f>Cadastro!$J292</f>
        <v>DDTQcopom</v>
      </c>
      <c r="K292" s="104" t="s">
        <v>4536</v>
      </c>
      <c r="L292" s="104" t="s">
        <v>26</v>
      </c>
      <c r="M292" s="104" t="s">
        <v>27</v>
      </c>
      <c r="N292" s="108" t="str">
        <f t="shared" si="1"/>
        <v>URBS 3</v>
      </c>
      <c r="O292" s="109" t="str">
        <f>Cadastro!$O292</f>
        <v>https://monitoramento.pm.pr.gov.br/proxy_image_3/Interface/Cameras/GetJPEGStream?Camera=EX133CFTV02&amp;AuthUser=copom_DDTQ&amp;AuthPass=DDTQcopom&amp;Width=1024&amp;Height=768&amp;Quality=70&amp;FPS=10&amp;ResponseFormat=Text</v>
      </c>
      <c r="P292" s="106">
        <f>Cadastro!$P292</f>
        <v>1</v>
      </c>
    </row>
    <row r="293">
      <c r="A293" s="104" t="str">
        <f>Cadastro!$A293</f>
        <v>URBS 3</v>
      </c>
      <c r="B293" s="104" t="str">
        <f>Cadastro!$B293</f>
        <v>CURITIBA</v>
      </c>
      <c r="C293" s="107" t="str">
        <f>Cadastro!$C293</f>
        <v>https://monitoramento.pm.pr.gov.br/proxy_image_3/</v>
      </c>
      <c r="D293" s="105">
        <f>Cadastro!$D293</f>
        <v>38601</v>
      </c>
      <c r="E293" s="104" t="str">
        <f>Cadastro!$E293</f>
        <v>EX133CFTV03</v>
      </c>
      <c r="F293" s="104" t="str">
        <f>Cadastro!$F293</f>
        <v>ET Marechal &gt; Centro 3</v>
      </c>
      <c r="G293" s="104" t="str">
        <f>Cadastro!$G293</f>
        <v>-25.469181</v>
      </c>
      <c r="H293" s="104" t="str">
        <f>Cadastro!$H293</f>
        <v>-49.253776</v>
      </c>
      <c r="I293" s="104" t="str">
        <f>Cadastro!$I293</f>
        <v>copom_DDTQ</v>
      </c>
      <c r="J293" s="104" t="str">
        <f>Cadastro!$J293</f>
        <v>DDTQcopom</v>
      </c>
      <c r="K293" s="104" t="s">
        <v>4536</v>
      </c>
      <c r="L293" s="104" t="s">
        <v>26</v>
      </c>
      <c r="M293" s="104" t="s">
        <v>27</v>
      </c>
      <c r="N293" s="108" t="str">
        <f t="shared" si="1"/>
        <v>URBS 3</v>
      </c>
      <c r="O293" s="109" t="str">
        <f>Cadastro!$O293</f>
        <v>https://monitoramento.pm.pr.gov.br/proxy_image_3/Interface/Cameras/GetJPEGStream?Camera=EX133CFTV03&amp;AuthUser=copom_DDTQ&amp;AuthPass=DDTQcopom&amp;Width=1024&amp;Height=768&amp;Quality=70&amp;FPS=10&amp;ResponseFormat=Text</v>
      </c>
      <c r="P293" s="106">
        <f>Cadastro!$P293</f>
        <v>1</v>
      </c>
    </row>
    <row r="294">
      <c r="A294" s="104" t="str">
        <f>Cadastro!$A294</f>
        <v>URBS 3</v>
      </c>
      <c r="B294" s="104" t="str">
        <f>Cadastro!$B294</f>
        <v>CURITIBA</v>
      </c>
      <c r="C294" s="107" t="str">
        <f>Cadastro!$C294</f>
        <v>https://monitoramento.pm.pr.gov.br/proxy_image_3/</v>
      </c>
      <c r="D294" s="105">
        <f>Cadastro!$D294</f>
        <v>38601</v>
      </c>
      <c r="E294" s="104" t="str">
        <f>Cadastro!$E294</f>
        <v>EX133CFTV04</v>
      </c>
      <c r="F294" s="104" t="str">
        <f>Cadastro!$F294</f>
        <v>ET Marechal &gt; Centro 4</v>
      </c>
      <c r="G294" s="104" t="str">
        <f>Cadastro!$G294</f>
        <v>-25.469119</v>
      </c>
      <c r="H294" s="104" t="str">
        <f>Cadastro!$H294</f>
        <v>-49.253759</v>
      </c>
      <c r="I294" s="104" t="str">
        <f>Cadastro!$I294</f>
        <v>copom_DDTQ</v>
      </c>
      <c r="J294" s="104" t="str">
        <f>Cadastro!$J294</f>
        <v>DDTQcopom</v>
      </c>
      <c r="K294" s="104" t="s">
        <v>4536</v>
      </c>
      <c r="L294" s="104" t="s">
        <v>26</v>
      </c>
      <c r="M294" s="104" t="s">
        <v>27</v>
      </c>
      <c r="N294" s="108" t="str">
        <f t="shared" si="1"/>
        <v>URBS 3</v>
      </c>
      <c r="O294" s="109" t="str">
        <f>Cadastro!$O294</f>
        <v>https://monitoramento.pm.pr.gov.br/proxy_image_3/Interface/Cameras/GetJPEGStream?Camera=EX133CFTV04&amp;AuthUser=copom_DDTQ&amp;AuthPass=DDTQcopom&amp;Width=1024&amp;Height=768&amp;Quality=70&amp;FPS=10&amp;ResponseFormat=Text</v>
      </c>
      <c r="P294" s="106">
        <f>Cadastro!$P294</f>
        <v>1</v>
      </c>
    </row>
    <row r="295">
      <c r="A295" s="104" t="str">
        <f>Cadastro!$A295</f>
        <v>URBS 3</v>
      </c>
      <c r="B295" s="104" t="str">
        <f>Cadastro!$B295</f>
        <v>CURITIBA</v>
      </c>
      <c r="C295" s="107" t="str">
        <f>Cadastro!$C295</f>
        <v>https://monitoramento.pm.pr.gov.br/proxy_image_3/</v>
      </c>
      <c r="D295" s="105">
        <f>Cadastro!$D295</f>
        <v>38601</v>
      </c>
      <c r="E295" s="104" t="str">
        <f>Cadastro!$E295</f>
        <v>EX134CFTV01</v>
      </c>
      <c r="F295" s="104" t="str">
        <f>Cadastro!$F295</f>
        <v>ET Marechal &gt; Pinherinho 1</v>
      </c>
      <c r="G295" s="104" t="str">
        <f>Cadastro!$G295</f>
        <v>-25.469171</v>
      </c>
      <c r="H295" s="104" t="str">
        <f>Cadastro!$H295</f>
        <v>-49.254046</v>
      </c>
      <c r="I295" s="104" t="str">
        <f>Cadastro!$I295</f>
        <v>copom_DDTQ</v>
      </c>
      <c r="J295" s="104" t="str">
        <f>Cadastro!$J295</f>
        <v>DDTQcopom</v>
      </c>
      <c r="K295" s="104" t="s">
        <v>4536</v>
      </c>
      <c r="L295" s="104" t="s">
        <v>26</v>
      </c>
      <c r="M295" s="104" t="s">
        <v>27</v>
      </c>
      <c r="N295" s="108" t="str">
        <f t="shared" si="1"/>
        <v>URBS 3</v>
      </c>
      <c r="O295" s="109" t="str">
        <f>Cadastro!$O295</f>
        <v>https://monitoramento.pm.pr.gov.br/proxy_image_3/Interface/Cameras/GetJPEGStream?Camera=EX134CFTV01&amp;AuthUser=copom_DDTQ&amp;AuthPass=DDTQcopom&amp;Width=1024&amp;Height=768&amp;Quality=70&amp;FPS=10&amp;ResponseFormat=Text</v>
      </c>
      <c r="P295" s="106">
        <f>Cadastro!$P295</f>
        <v>1</v>
      </c>
    </row>
    <row r="296">
      <c r="A296" s="104" t="str">
        <f>Cadastro!$A296</f>
        <v>URBS 3</v>
      </c>
      <c r="B296" s="104" t="str">
        <f>Cadastro!$B296</f>
        <v>CURITIBA</v>
      </c>
      <c r="C296" s="107" t="str">
        <f>Cadastro!$C296</f>
        <v>https://monitoramento.pm.pr.gov.br/proxy_image_3/</v>
      </c>
      <c r="D296" s="105">
        <f>Cadastro!$D296</f>
        <v>38601</v>
      </c>
      <c r="E296" s="104" t="str">
        <f>Cadastro!$E296</f>
        <v>EX134CFTV02</v>
      </c>
      <c r="F296" s="104" t="str">
        <f>Cadastro!$F296</f>
        <v>ET Marechal &gt; Pinherinho 2</v>
      </c>
      <c r="G296" s="104" t="str">
        <f>Cadastro!$G296</f>
        <v>-25.469048</v>
      </c>
      <c r="H296" s="104" t="str">
        <f>Cadastro!$H296</f>
        <v>-49.253941</v>
      </c>
      <c r="I296" s="104" t="str">
        <f>Cadastro!$I296</f>
        <v>copom_DDTQ</v>
      </c>
      <c r="J296" s="104" t="str">
        <f>Cadastro!$J296</f>
        <v>DDTQcopom</v>
      </c>
      <c r="K296" s="104" t="s">
        <v>4536</v>
      </c>
      <c r="L296" s="104" t="s">
        <v>26</v>
      </c>
      <c r="M296" s="104" t="s">
        <v>27</v>
      </c>
      <c r="N296" s="108" t="str">
        <f t="shared" si="1"/>
        <v>URBS 3</v>
      </c>
      <c r="O296" s="109" t="str">
        <f>Cadastro!$O296</f>
        <v>https://monitoramento.pm.pr.gov.br/proxy_image_3/Interface/Cameras/GetJPEGStream?Camera=EX134CFTV02&amp;AuthUser=copom_DDTQ&amp;AuthPass=DDTQcopom&amp;Width=1024&amp;Height=768&amp;Quality=70&amp;FPS=10&amp;ResponseFormat=Text</v>
      </c>
      <c r="P296" s="106">
        <f>Cadastro!$P296</f>
        <v>1</v>
      </c>
    </row>
    <row r="297">
      <c r="A297" s="104" t="str">
        <f>Cadastro!$A297</f>
        <v>URBS 3</v>
      </c>
      <c r="B297" s="104" t="str">
        <f>Cadastro!$B297</f>
        <v>CURITIBA</v>
      </c>
      <c r="C297" s="107" t="str">
        <f>Cadastro!$C297</f>
        <v>https://monitoramento.pm.pr.gov.br/proxy_image_3/</v>
      </c>
      <c r="D297" s="105">
        <f>Cadastro!$D297</f>
        <v>38601</v>
      </c>
      <c r="E297" s="104" t="str">
        <f>Cadastro!$E297</f>
        <v>EX134CFTV03</v>
      </c>
      <c r="F297" s="104" t="str">
        <f>Cadastro!$F297</f>
        <v>ET Marechal &gt; Pinherinho 3</v>
      </c>
      <c r="G297" s="104" t="str">
        <f>Cadastro!$G297</f>
        <v>-25.469108</v>
      </c>
      <c r="H297" s="104" t="str">
        <f>Cadastro!$H297</f>
        <v>-49.253978</v>
      </c>
      <c r="I297" s="104" t="str">
        <f>Cadastro!$I297</f>
        <v>copom_DDTQ</v>
      </c>
      <c r="J297" s="104" t="str">
        <f>Cadastro!$J297</f>
        <v>DDTQcopom</v>
      </c>
      <c r="K297" s="104" t="s">
        <v>4536</v>
      </c>
      <c r="L297" s="104" t="s">
        <v>26</v>
      </c>
      <c r="M297" s="104" t="s">
        <v>27</v>
      </c>
      <c r="N297" s="108" t="str">
        <f t="shared" si="1"/>
        <v>URBS 3</v>
      </c>
      <c r="O297" s="109" t="str">
        <f>Cadastro!$O297</f>
        <v>https://monitoramento.pm.pr.gov.br/proxy_image_3/Interface/Cameras/GetJPEGStream?Camera=EX134CFTV03&amp;AuthUser=copom_DDTQ&amp;AuthPass=DDTQcopom&amp;Width=1024&amp;Height=768&amp;Quality=70&amp;FPS=10&amp;ResponseFormat=Text</v>
      </c>
      <c r="P297" s="106">
        <f>Cadastro!$P297</f>
        <v>1</v>
      </c>
    </row>
    <row r="298">
      <c r="A298" s="104" t="str">
        <f>Cadastro!$A298</f>
        <v>URBS 3</v>
      </c>
      <c r="B298" s="104" t="str">
        <f>Cadastro!$B298</f>
        <v>CURITIBA</v>
      </c>
      <c r="C298" s="107" t="str">
        <f>Cadastro!$C298</f>
        <v>https://monitoramento.pm.pr.gov.br/proxy_image_3/</v>
      </c>
      <c r="D298" s="105">
        <f>Cadastro!$D298</f>
        <v>38601</v>
      </c>
      <c r="E298" s="104" t="str">
        <f>Cadastro!$E298</f>
        <v>EX134CFTV04</v>
      </c>
      <c r="F298" s="104" t="str">
        <f>Cadastro!$F298</f>
        <v>ET Marechal &gt; Pinherinho 4</v>
      </c>
      <c r="G298" s="104" t="str">
        <f>Cadastro!$G298</f>
        <v>-25.469125</v>
      </c>
      <c r="H298" s="104" t="str">
        <f>Cadastro!$H298</f>
        <v>-49.254030</v>
      </c>
      <c r="I298" s="104" t="str">
        <f>Cadastro!$I298</f>
        <v>copom_DDTQ</v>
      </c>
      <c r="J298" s="104" t="str">
        <f>Cadastro!$J298</f>
        <v>DDTQcopom</v>
      </c>
      <c r="K298" s="104" t="s">
        <v>4536</v>
      </c>
      <c r="L298" s="104" t="s">
        <v>26</v>
      </c>
      <c r="M298" s="104" t="s">
        <v>27</v>
      </c>
      <c r="N298" s="108" t="str">
        <f t="shared" si="1"/>
        <v>URBS 3</v>
      </c>
      <c r="O298" s="109" t="str">
        <f>Cadastro!$O298</f>
        <v>https://monitoramento.pm.pr.gov.br/proxy_image_3/Interface/Cameras/GetJPEGStream?Camera=EX134CFTV04&amp;AuthUser=copom_DDTQ&amp;AuthPass=DDTQcopom&amp;Width=1024&amp;Height=768&amp;Quality=70&amp;FPS=10&amp;ResponseFormat=Text</v>
      </c>
      <c r="P298" s="106">
        <f>Cadastro!$P298</f>
        <v>1</v>
      </c>
    </row>
    <row r="299">
      <c r="A299" s="104" t="str">
        <f>Cadastro!$A299</f>
        <v>URBS 3</v>
      </c>
      <c r="B299" s="104" t="str">
        <f>Cadastro!$B299</f>
        <v>CURITIBA</v>
      </c>
      <c r="C299" s="107" t="str">
        <f>Cadastro!$C299</f>
        <v>https://monitoramento.pm.pr.gov.br/proxy_image_3/</v>
      </c>
      <c r="D299" s="105">
        <f>Cadastro!$D299</f>
        <v>38601</v>
      </c>
      <c r="E299" s="104" t="str">
        <f>Cadastro!$E299</f>
        <v>EX135ACFTV01</v>
      </c>
      <c r="F299" s="104" t="str">
        <f>Cadastro!$F299</f>
        <v>ET Ufpr &gt; Desembarque 1</v>
      </c>
      <c r="G299" s="104" t="str">
        <f>Cadastro!$G299</f>
        <v>-25.438578</v>
      </c>
      <c r="H299" s="104" t="str">
        <f>Cadastro!$H299</f>
        <v>-49.268216</v>
      </c>
      <c r="I299" s="104" t="str">
        <f>Cadastro!$I299</f>
        <v>copom_DDTQ</v>
      </c>
      <c r="J299" s="104" t="str">
        <f>Cadastro!$J299</f>
        <v>DDTQcopom</v>
      </c>
      <c r="K299" s="104" t="s">
        <v>4536</v>
      </c>
      <c r="L299" s="104" t="s">
        <v>26</v>
      </c>
      <c r="M299" s="104" t="s">
        <v>27</v>
      </c>
      <c r="N299" s="108" t="str">
        <f t="shared" si="1"/>
        <v>URBS 3</v>
      </c>
      <c r="O299" s="109" t="str">
        <f>Cadastro!$O299</f>
        <v>https://monitoramento.pm.pr.gov.br/proxy_image_3/Interface/Cameras/GetJPEGStream?Camera=EX135ACFTV01&amp;AuthUser=copom_DDTQ&amp;AuthPass=DDTQcopom&amp;Width=1024&amp;Height=768&amp;Quality=70&amp;FPS=10&amp;ResponseFormat=Text</v>
      </c>
      <c r="P299" s="106">
        <f>Cadastro!$P299</f>
        <v>1</v>
      </c>
    </row>
    <row r="300">
      <c r="A300" s="104" t="str">
        <f>Cadastro!$A300</f>
        <v>URBS 3</v>
      </c>
      <c r="B300" s="104" t="str">
        <f>Cadastro!$B300</f>
        <v>CURITIBA</v>
      </c>
      <c r="C300" s="107" t="str">
        <f>Cadastro!$C300</f>
        <v>https://monitoramento.pm.pr.gov.br/proxy_image_3/</v>
      </c>
      <c r="D300" s="105">
        <f>Cadastro!$D300</f>
        <v>38601</v>
      </c>
      <c r="E300" s="104" t="str">
        <f>Cadastro!$E300</f>
        <v>EX135ACFTV02</v>
      </c>
      <c r="F300" s="104" t="str">
        <f>Cadastro!$F300</f>
        <v>ET Ufpr &gt; Desembarque 2</v>
      </c>
      <c r="G300" s="104" t="str">
        <f>Cadastro!$G300</f>
        <v>-25.438803</v>
      </c>
      <c r="H300" s="104" t="str">
        <f>Cadastro!$H300</f>
        <v>-49.268104</v>
      </c>
      <c r="I300" s="104" t="str">
        <f>Cadastro!$I300</f>
        <v>copom_DDTQ</v>
      </c>
      <c r="J300" s="104" t="str">
        <f>Cadastro!$J300</f>
        <v>DDTQcopom</v>
      </c>
      <c r="K300" s="104" t="s">
        <v>4536</v>
      </c>
      <c r="L300" s="104" t="s">
        <v>26</v>
      </c>
      <c r="M300" s="104" t="s">
        <v>27</v>
      </c>
      <c r="N300" s="108" t="str">
        <f t="shared" si="1"/>
        <v>URBS 3</v>
      </c>
      <c r="O300" s="109" t="str">
        <f>Cadastro!$O300</f>
        <v>https://monitoramento.pm.pr.gov.br/proxy_image_3/Interface/Cameras/GetJPEGStream?Camera=EX135ACFTV02&amp;AuthUser=copom_DDTQ&amp;AuthPass=DDTQcopom&amp;Width=1024&amp;Height=768&amp;Quality=70&amp;FPS=10&amp;ResponseFormat=Text</v>
      </c>
      <c r="P300" s="106">
        <f>Cadastro!$P300</f>
        <v>1</v>
      </c>
    </row>
    <row r="301">
      <c r="A301" s="104" t="str">
        <f>Cadastro!$A301</f>
        <v>URBS 3</v>
      </c>
      <c r="B301" s="104" t="str">
        <f>Cadastro!$B301</f>
        <v>CURITIBA</v>
      </c>
      <c r="C301" s="107" t="str">
        <f>Cadastro!$C301</f>
        <v>https://monitoramento.pm.pr.gov.br/proxy_image_3/</v>
      </c>
      <c r="D301" s="105">
        <f>Cadastro!$D301</f>
        <v>38601</v>
      </c>
      <c r="E301" s="104" t="str">
        <f>Cadastro!$E301</f>
        <v>EX135CFTV01</v>
      </c>
      <c r="F301" s="104" t="str">
        <f>Cadastro!$F301</f>
        <v>ET CEFET &gt; Boqueirão</v>
      </c>
      <c r="G301" s="104" t="str">
        <f>Cadastro!$G301</f>
        <v>-25.438838</v>
      </c>
      <c r="H301" s="104" t="str">
        <f>Cadastro!$H301</f>
        <v>-49.268213</v>
      </c>
      <c r="I301" s="104" t="str">
        <f>Cadastro!$I301</f>
        <v>copom_DDTQ</v>
      </c>
      <c r="J301" s="104" t="str">
        <f>Cadastro!$J301</f>
        <v>DDTQcopom</v>
      </c>
      <c r="K301" s="104" t="s">
        <v>4536</v>
      </c>
      <c r="L301" s="104" t="s">
        <v>26</v>
      </c>
      <c r="M301" s="104" t="s">
        <v>27</v>
      </c>
      <c r="N301" s="108" t="str">
        <f t="shared" si="1"/>
        <v>URBS 3</v>
      </c>
      <c r="O301" s="109" t="str">
        <f>Cadastro!$O301</f>
        <v>https://monitoramento.pm.pr.gov.br/proxy_image_3/Interface/Cameras/GetJPEGStream?Camera=EX135CFTV01&amp;AuthUser=copom_DDTQ&amp;AuthPass=DDTQcopom&amp;Width=1024&amp;Height=768&amp;Quality=70&amp;FPS=10&amp;ResponseFormat=Text</v>
      </c>
      <c r="P301" s="106">
        <f>Cadastro!$P301</f>
        <v>1</v>
      </c>
    </row>
    <row r="302">
      <c r="A302" s="104" t="str">
        <f>Cadastro!$A302</f>
        <v>URBS 3</v>
      </c>
      <c r="B302" s="104" t="str">
        <f>Cadastro!$B302</f>
        <v>CURITIBA</v>
      </c>
      <c r="C302" s="107" t="str">
        <f>Cadastro!$C302</f>
        <v>https://monitoramento.pm.pr.gov.br/proxy_image_3/</v>
      </c>
      <c r="D302" s="105">
        <f>Cadastro!$D302</f>
        <v>38601</v>
      </c>
      <c r="E302" s="104" t="str">
        <f>Cadastro!$E302</f>
        <v>EX135CFTV02</v>
      </c>
      <c r="F302" s="104" t="str">
        <f>Cadastro!$F302</f>
        <v>ET CEFET &gt; Pinheirinho</v>
      </c>
      <c r="G302" s="104" t="str">
        <f>Cadastro!$G302</f>
        <v>-25.439076</v>
      </c>
      <c r="H302" s="104" t="str">
        <f>Cadastro!$H302</f>
        <v>-49.268100</v>
      </c>
      <c r="I302" s="104" t="str">
        <f>Cadastro!$I302</f>
        <v>copom_DDTQ</v>
      </c>
      <c r="J302" s="104" t="str">
        <f>Cadastro!$J302</f>
        <v>DDTQcopom</v>
      </c>
      <c r="K302" s="104" t="s">
        <v>4536</v>
      </c>
      <c r="L302" s="104" t="s">
        <v>26</v>
      </c>
      <c r="M302" s="104" t="s">
        <v>27</v>
      </c>
      <c r="N302" s="108" t="str">
        <f t="shared" si="1"/>
        <v>URBS 3</v>
      </c>
      <c r="O302" s="109" t="str">
        <f>Cadastro!$O302</f>
        <v>https://monitoramento.pm.pr.gov.br/proxy_image_3/Interface/Cameras/GetJPEGStream?Camera=EX135CFTV02&amp;AuthUser=copom_DDTQ&amp;AuthPass=DDTQcopom&amp;Width=1024&amp;Height=768&amp;Quality=70&amp;FPS=10&amp;ResponseFormat=Text</v>
      </c>
      <c r="P302" s="106">
        <f>Cadastro!$P302</f>
        <v>1</v>
      </c>
    </row>
    <row r="303">
      <c r="A303" s="104" t="str">
        <f>Cadastro!$A303</f>
        <v>URBS 3</v>
      </c>
      <c r="B303" s="104" t="str">
        <f>Cadastro!$B303</f>
        <v>CURITIBA</v>
      </c>
      <c r="C303" s="107" t="str">
        <f>Cadastro!$C303</f>
        <v>https://monitoramento.pm.pr.gov.br/proxy_image_3/</v>
      </c>
      <c r="D303" s="105">
        <f>Cadastro!$D303</f>
        <v>38601</v>
      </c>
      <c r="E303" s="104" t="str">
        <f>Cadastro!$E303</f>
        <v>LD001CFTV01</v>
      </c>
      <c r="F303" s="104" t="str">
        <f>Cadastro!$F303</f>
        <v>PANE ET Hospital Militar</v>
      </c>
      <c r="G303" s="104" t="str">
        <f>Cadastro!$G303</f>
        <v>-25.438189</v>
      </c>
      <c r="H303" s="104" t="str">
        <f>Cadastro!$H303</f>
        <v>-49.289602</v>
      </c>
      <c r="I303" s="104" t="str">
        <f>Cadastro!$I303</f>
        <v>copom_DDTQ</v>
      </c>
      <c r="J303" s="104" t="str">
        <f>Cadastro!$J303</f>
        <v>DDTQcopom</v>
      </c>
      <c r="K303" s="104" t="s">
        <v>4536</v>
      </c>
      <c r="L303" s="104" t="s">
        <v>26</v>
      </c>
      <c r="M303" s="104" t="s">
        <v>27</v>
      </c>
      <c r="N303" s="108" t="str">
        <f t="shared" si="1"/>
        <v>URBS 3</v>
      </c>
      <c r="O303" s="109" t="str">
        <f>Cadastro!$O303</f>
        <v>https://monitoramento.pm.pr.gov.br/proxy_image_3/Interface/Cameras/GetJPEGStream?Camera=LD001CFTV01&amp;AuthUser=copom_DDTQ&amp;AuthPass=DDTQcopom&amp;Width=1024&amp;Height=768&amp;Quality=70&amp;FPS=10&amp;ResponseFormat=Text</v>
      </c>
      <c r="P303" s="106">
        <f>Cadastro!$P303</f>
        <v>1</v>
      </c>
    </row>
    <row r="304">
      <c r="A304" s="104" t="str">
        <f>Cadastro!$A304</f>
        <v>URBS 3</v>
      </c>
      <c r="B304" s="104" t="str">
        <f>Cadastro!$B304</f>
        <v>CURITIBA</v>
      </c>
      <c r="C304" s="107" t="str">
        <f>Cadastro!$C304</f>
        <v>https://monitoramento.pm.pr.gov.br/proxy_image_3/</v>
      </c>
      <c r="D304" s="105">
        <f>Cadastro!$D304</f>
        <v>38601</v>
      </c>
      <c r="E304" s="104" t="str">
        <f>Cadastro!$E304</f>
        <v>LD004CFTV01</v>
      </c>
      <c r="F304" s="104" t="str">
        <f>Cadastro!$F304</f>
        <v>ET Curitibano Getílio Vargas</v>
      </c>
      <c r="G304" s="104" t="str">
        <f>Cadastro!$G304</f>
        <v>-25.449757</v>
      </c>
      <c r="H304" s="104" t="str">
        <f>Cadastro!$H304</f>
        <v>-49.284600</v>
      </c>
      <c r="I304" s="104" t="str">
        <f>Cadastro!$I304</f>
        <v>copom_DDTQ</v>
      </c>
      <c r="J304" s="104" t="str">
        <f>Cadastro!$J304</f>
        <v>DDTQcopom</v>
      </c>
      <c r="K304" s="104" t="s">
        <v>4536</v>
      </c>
      <c r="L304" s="104" t="s">
        <v>26</v>
      </c>
      <c r="M304" s="104" t="s">
        <v>27</v>
      </c>
      <c r="N304" s="108" t="str">
        <f t="shared" si="1"/>
        <v>URBS 3</v>
      </c>
      <c r="O304" s="109" t="str">
        <f>Cadastro!$O304</f>
        <v>https://monitoramento.pm.pr.gov.br/proxy_image_3/Interface/Cameras/GetJPEGStream?Camera=LD004CFTV01&amp;AuthUser=copom_DDTQ&amp;AuthPass=DDTQcopom&amp;Width=1024&amp;Height=768&amp;Quality=70&amp;FPS=10&amp;ResponseFormat=Text</v>
      </c>
      <c r="P304" s="106">
        <f>Cadastro!$P304</f>
        <v>1</v>
      </c>
    </row>
    <row r="305">
      <c r="A305" s="104" t="str">
        <f>Cadastro!$A305</f>
        <v>URBS 3</v>
      </c>
      <c r="B305" s="104" t="str">
        <f>Cadastro!$B305</f>
        <v>CURITIBA</v>
      </c>
      <c r="C305" s="107" t="str">
        <f>Cadastro!$C305</f>
        <v>https://monitoramento.pm.pr.gov.br/proxy_image_3/</v>
      </c>
      <c r="D305" s="105">
        <f>Cadastro!$D305</f>
        <v>38601</v>
      </c>
      <c r="E305" s="104" t="str">
        <f>Cadastro!$E305</f>
        <v>LD005CFTV01</v>
      </c>
      <c r="F305" s="104" t="str">
        <f>Cadastro!$F305</f>
        <v>PANE ET Curitibano Av Iguaçu</v>
      </c>
      <c r="G305" s="104" t="str">
        <f>Cadastro!$G305</f>
        <v>-25.448324</v>
      </c>
      <c r="H305" s="104" t="str">
        <f>Cadastro!$H305</f>
        <v>-49.285406</v>
      </c>
      <c r="I305" s="104" t="str">
        <f>Cadastro!$I305</f>
        <v>copom_DDTQ</v>
      </c>
      <c r="J305" s="104" t="str">
        <f>Cadastro!$J305</f>
        <v>DDTQcopom</v>
      </c>
      <c r="K305" s="104" t="s">
        <v>4536</v>
      </c>
      <c r="L305" s="104" t="s">
        <v>26</v>
      </c>
      <c r="M305" s="104" t="s">
        <v>27</v>
      </c>
      <c r="N305" s="108" t="str">
        <f t="shared" si="1"/>
        <v>URBS 3</v>
      </c>
      <c r="O305" s="109" t="str">
        <f>Cadastro!$O305</f>
        <v>https://monitoramento.pm.pr.gov.br/proxy_image_3/Interface/Cameras/GetJPEGStream?Camera=LD005CFTV01&amp;AuthUser=copom_DDTQ&amp;AuthPass=DDTQcopom&amp;Width=1024&amp;Height=768&amp;Quality=70&amp;FPS=10&amp;ResponseFormat=Text</v>
      </c>
      <c r="P305" s="106">
        <f>Cadastro!$P305</f>
        <v>1</v>
      </c>
    </row>
    <row r="306">
      <c r="A306" s="104" t="str">
        <f>Cadastro!$A306</f>
        <v>URBS 3</v>
      </c>
      <c r="B306" s="104" t="str">
        <f>Cadastro!$B306</f>
        <v>CURITIBA</v>
      </c>
      <c r="C306" s="107" t="str">
        <f>Cadastro!$C306</f>
        <v>https://monitoramento.pm.pr.gov.br/proxy_image_3/</v>
      </c>
      <c r="D306" s="105">
        <f>Cadastro!$D306</f>
        <v>38601</v>
      </c>
      <c r="E306" s="104" t="str">
        <f>Cadastro!$E306</f>
        <v>LD007CFTV01</v>
      </c>
      <c r="F306" s="104" t="str">
        <f>Cadastro!$F306</f>
        <v>PANE ET Vila Guaira</v>
      </c>
      <c r="G306" s="104" t="str">
        <f>Cadastro!$G306</f>
        <v>-25.471883</v>
      </c>
      <c r="H306" s="104" t="str">
        <f>Cadastro!$H306</f>
        <v>-49.285729</v>
      </c>
      <c r="I306" s="104" t="str">
        <f>Cadastro!$I306</f>
        <v>copom_DDTQ</v>
      </c>
      <c r="J306" s="104" t="str">
        <f>Cadastro!$J306</f>
        <v>DDTQcopom</v>
      </c>
      <c r="K306" s="104" t="s">
        <v>4536</v>
      </c>
      <c r="L306" s="104" t="s">
        <v>26</v>
      </c>
      <c r="M306" s="104" t="s">
        <v>27</v>
      </c>
      <c r="N306" s="108" t="str">
        <f t="shared" si="1"/>
        <v>URBS 3</v>
      </c>
      <c r="O306" s="109" t="str">
        <f>Cadastro!$O306</f>
        <v>https://monitoramento.pm.pr.gov.br/proxy_image_3/Interface/Cameras/GetJPEGStream?Camera=LD007CFTV01&amp;AuthUser=copom_DDTQ&amp;AuthPass=DDTQcopom&amp;Width=1024&amp;Height=768&amp;Quality=70&amp;FPS=10&amp;ResponseFormat=Text</v>
      </c>
      <c r="P306" s="106">
        <f>Cadastro!$P306</f>
        <v>1</v>
      </c>
    </row>
    <row r="307">
      <c r="A307" s="104" t="str">
        <f>Cadastro!$A307</f>
        <v>URBS 3</v>
      </c>
      <c r="B307" s="104" t="str">
        <f>Cadastro!$B307</f>
        <v>CURITIBA</v>
      </c>
      <c r="C307" s="107" t="str">
        <f>Cadastro!$C307</f>
        <v>https://monitoramento.pm.pr.gov.br/proxy_image_3/</v>
      </c>
      <c r="D307" s="105">
        <f>Cadastro!$D307</f>
        <v>38601</v>
      </c>
      <c r="E307" s="104" t="str">
        <f>Cadastro!$E307</f>
        <v>LD010CFTV01</v>
      </c>
      <c r="F307" s="104" t="str">
        <f>Cadastro!$F307</f>
        <v>PANE ET PUC</v>
      </c>
      <c r="G307" s="104" t="str">
        <f>Cadastro!$G307</f>
        <v>-25.452471</v>
      </c>
      <c r="H307" s="104" t="str">
        <f>Cadastro!$H307</f>
        <v>-49.252815</v>
      </c>
      <c r="I307" s="104" t="str">
        <f>Cadastro!$I307</f>
        <v>copom_DDTQ</v>
      </c>
      <c r="J307" s="104" t="str">
        <f>Cadastro!$J307</f>
        <v>DDTQcopom</v>
      </c>
      <c r="K307" s="104" t="s">
        <v>4536</v>
      </c>
      <c r="L307" s="104" t="s">
        <v>26</v>
      </c>
      <c r="M307" s="104" t="s">
        <v>27</v>
      </c>
      <c r="N307" s="108" t="str">
        <f t="shared" si="1"/>
        <v>URBS 3</v>
      </c>
      <c r="O307" s="109" t="str">
        <f>Cadastro!$O307</f>
        <v>https://monitoramento.pm.pr.gov.br/proxy_image_3/Interface/Cameras/GetJPEGStream?Camera=LD010CFTV01&amp;AuthUser=copom_DDTQ&amp;AuthPass=DDTQcopom&amp;Width=1024&amp;Height=768&amp;Quality=70&amp;FPS=10&amp;ResponseFormat=Text</v>
      </c>
      <c r="P307" s="106">
        <f>Cadastro!$P307</f>
        <v>1</v>
      </c>
    </row>
    <row r="308">
      <c r="A308" s="104" t="str">
        <f>Cadastro!$A308</f>
        <v>URBS 3</v>
      </c>
      <c r="B308" s="104" t="str">
        <f>Cadastro!$B308</f>
        <v>CURITIBA</v>
      </c>
      <c r="C308" s="107" t="str">
        <f>Cadastro!$C308</f>
        <v>https://monitoramento.pm.pr.gov.br/proxy_image_3/</v>
      </c>
      <c r="D308" s="105">
        <f>Cadastro!$D308</f>
        <v>38601</v>
      </c>
      <c r="E308" s="104" t="str">
        <f>Cadastro!$E308</f>
        <v>LD011CFTV01</v>
      </c>
      <c r="F308" s="104" t="str">
        <f>Cadastro!$F308</f>
        <v>ET Pres. Kennedy</v>
      </c>
      <c r="G308" s="104" t="str">
        <f>Cadastro!$G308</f>
        <v>-25.455506</v>
      </c>
      <c r="H308" s="104" t="str">
        <f>Cadastro!$H308</f>
        <v>-49.267578</v>
      </c>
      <c r="I308" s="104" t="str">
        <f>Cadastro!$I308</f>
        <v>copom_DDTQ</v>
      </c>
      <c r="J308" s="104" t="str">
        <f>Cadastro!$J308</f>
        <v>DDTQcopom</v>
      </c>
      <c r="K308" s="104" t="s">
        <v>4536</v>
      </c>
      <c r="L308" s="104" t="s">
        <v>26</v>
      </c>
      <c r="M308" s="104" t="s">
        <v>27</v>
      </c>
      <c r="N308" s="108" t="str">
        <f t="shared" si="1"/>
        <v>URBS 3</v>
      </c>
      <c r="O308" s="109" t="str">
        <f>Cadastro!$O308</f>
        <v>https://monitoramento.pm.pr.gov.br/proxy_image_3/Interface/Cameras/GetJPEGStream?Camera=LD011CFTV01&amp;AuthUser=copom_DDTQ&amp;AuthPass=DDTQcopom&amp;Width=1024&amp;Height=768&amp;Quality=70&amp;FPS=10&amp;ResponseFormat=Text</v>
      </c>
      <c r="P308" s="106">
        <f>Cadastro!$P308</f>
        <v>1</v>
      </c>
    </row>
    <row r="309">
      <c r="A309" s="104" t="str">
        <f>Cadastro!$A309</f>
        <v>URBS 3</v>
      </c>
      <c r="B309" s="104" t="str">
        <f>Cadastro!$B309</f>
        <v>CURITIBA</v>
      </c>
      <c r="C309" s="107" t="str">
        <f>Cadastro!$C309</f>
        <v>https://monitoramento.pm.pr.gov.br/proxy_image_3/</v>
      </c>
      <c r="D309" s="105">
        <f>Cadastro!$D309</f>
        <v>38601</v>
      </c>
      <c r="E309" s="104" t="str">
        <f>Cadastro!$E309</f>
        <v>LD012CFTV01</v>
      </c>
      <c r="F309" s="104" t="str">
        <f>Cadastro!$F309</f>
        <v>ET Westphalen &gt; Getulio vargas</v>
      </c>
      <c r="G309" s="104" t="str">
        <f>Cadastro!$G309</f>
        <v>-25.443499</v>
      </c>
      <c r="H309" s="104" t="str">
        <f>Cadastro!$H309</f>
        <v>-49.268261</v>
      </c>
      <c r="I309" s="104" t="str">
        <f>Cadastro!$I309</f>
        <v>copom_DDTQ</v>
      </c>
      <c r="J309" s="104" t="str">
        <f>Cadastro!$J309</f>
        <v>DDTQcopom</v>
      </c>
      <c r="K309" s="104" t="s">
        <v>4536</v>
      </c>
      <c r="L309" s="104" t="s">
        <v>26</v>
      </c>
      <c r="M309" s="104" t="s">
        <v>27</v>
      </c>
      <c r="N309" s="108" t="str">
        <f t="shared" si="1"/>
        <v>URBS 3</v>
      </c>
      <c r="O309" s="109" t="str">
        <f>Cadastro!$O309</f>
        <v>https://monitoramento.pm.pr.gov.br/proxy_image_3/Interface/Cameras/GetJPEGStream?Camera=LD012CFTV01&amp;AuthUser=copom_DDTQ&amp;AuthPass=DDTQcopom&amp;Width=1024&amp;Height=768&amp;Quality=70&amp;FPS=10&amp;ResponseFormat=Text</v>
      </c>
      <c r="P309" s="106">
        <f>Cadastro!$P309</f>
        <v>1</v>
      </c>
    </row>
    <row r="310">
      <c r="A310" s="104" t="str">
        <f>Cadastro!$A310</f>
        <v>URBS 3</v>
      </c>
      <c r="B310" s="104" t="str">
        <f>Cadastro!$B310</f>
        <v>CURITIBA</v>
      </c>
      <c r="C310" s="107" t="str">
        <f>Cadastro!$C310</f>
        <v>https://monitoramento.pm.pr.gov.br/proxy_image_3/</v>
      </c>
      <c r="D310" s="105">
        <f>Cadastro!$D310</f>
        <v>38601</v>
      </c>
      <c r="E310" s="104" t="str">
        <f>Cadastro!$E310</f>
        <v>LD013CFTV01</v>
      </c>
      <c r="F310" s="104" t="str">
        <f>Cadastro!$F310</f>
        <v>ET Westphalen &gt; Av Iguaçu</v>
      </c>
      <c r="G310" s="104" t="str">
        <f>Cadastro!$G310</f>
        <v>-25.441790</v>
      </c>
      <c r="H310" s="104" t="str">
        <f>Cadastro!$H310</f>
        <v>-49.268288</v>
      </c>
      <c r="I310" s="104" t="str">
        <f>Cadastro!$I310</f>
        <v>copom_DDTQ</v>
      </c>
      <c r="J310" s="104" t="str">
        <f>Cadastro!$J310</f>
        <v>DDTQcopom</v>
      </c>
      <c r="K310" s="104" t="s">
        <v>4536</v>
      </c>
      <c r="L310" s="104" t="s">
        <v>26</v>
      </c>
      <c r="M310" s="104" t="s">
        <v>27</v>
      </c>
      <c r="N310" s="108" t="str">
        <f t="shared" si="1"/>
        <v>URBS 3</v>
      </c>
      <c r="O310" s="109" t="str">
        <f>Cadastro!$O310</f>
        <v>https://monitoramento.pm.pr.gov.br/proxy_image_3/Interface/Cameras/GetJPEGStream?Camera=LD013CFTV01&amp;AuthUser=copom_DDTQ&amp;AuthPass=DDTQcopom&amp;Width=1024&amp;Height=768&amp;Quality=70&amp;FPS=10&amp;ResponseFormat=Text</v>
      </c>
      <c r="P310" s="106">
        <f>Cadastro!$P310</f>
        <v>1</v>
      </c>
    </row>
    <row r="311">
      <c r="A311" s="104" t="str">
        <f>Cadastro!$A311</f>
        <v>URBS 3</v>
      </c>
      <c r="B311" s="104" t="str">
        <f>Cadastro!$B311</f>
        <v>CURITIBA</v>
      </c>
      <c r="C311" s="107" t="str">
        <f>Cadastro!$C311</f>
        <v>https://monitoramento.pm.pr.gov.br/proxy_image_3/</v>
      </c>
      <c r="D311" s="105">
        <f>Cadastro!$D311</f>
        <v>38601</v>
      </c>
      <c r="E311" s="104" t="str">
        <f>Cadastro!$E311</f>
        <v>LD014CFTV01</v>
      </c>
      <c r="F311" s="104" t="str">
        <f>Cadastro!$F311</f>
        <v>ET Salgado Filho</v>
      </c>
      <c r="G311" s="104" t="str">
        <f>Cadastro!$G311</f>
        <v>-25.441790</v>
      </c>
      <c r="H311" s="104" t="str">
        <f>Cadastro!$H311</f>
        <v>-49.268288</v>
      </c>
      <c r="I311" s="104" t="str">
        <f>Cadastro!$I311</f>
        <v>copom_DDTQ</v>
      </c>
      <c r="J311" s="104" t="str">
        <f>Cadastro!$J311</f>
        <v>DDTQcopom</v>
      </c>
      <c r="K311" s="104" t="s">
        <v>4536</v>
      </c>
      <c r="L311" s="104" t="s">
        <v>26</v>
      </c>
      <c r="M311" s="104" t="s">
        <v>27</v>
      </c>
      <c r="N311" s="108" t="str">
        <f t="shared" si="1"/>
        <v>URBS 3</v>
      </c>
      <c r="O311" s="109" t="str">
        <f>Cadastro!$O311</f>
        <v>https://monitoramento.pm.pr.gov.br/proxy_image_3/Interface/Cameras/GetJPEGStream?Camera=LD014CFTV01&amp;AuthUser=copom_DDTQ&amp;AuthPass=DDTQcopom&amp;Width=1024&amp;Height=768&amp;Quality=70&amp;FPS=10&amp;ResponseFormat=Text</v>
      </c>
      <c r="P311" s="106">
        <f>Cadastro!$P311</f>
        <v>1</v>
      </c>
    </row>
    <row r="312">
      <c r="A312" s="104" t="str">
        <f>Cadastro!$A312</f>
        <v>URBS 3</v>
      </c>
      <c r="B312" s="104" t="str">
        <f>Cadastro!$B312</f>
        <v>CURITIBA</v>
      </c>
      <c r="C312" s="107" t="str">
        <f>Cadastro!$C312</f>
        <v>https://monitoramento.pm.pr.gov.br/proxy_image_3/</v>
      </c>
      <c r="D312" s="105">
        <f>Cadastro!$D312</f>
        <v>38601</v>
      </c>
      <c r="E312" s="104" t="str">
        <f>Cadastro!$E312</f>
        <v>LD016CFTV01</v>
      </c>
      <c r="F312" s="104" t="str">
        <f>Cadastro!$F312</f>
        <v>ET Jardim das Américas</v>
      </c>
      <c r="G312" s="104" t="str">
        <f>Cadastro!$G312</f>
        <v>-25.452341</v>
      </c>
      <c r="H312" s="104" t="str">
        <f>Cadastro!$H312</f>
        <v>-49.229952</v>
      </c>
      <c r="I312" s="104" t="str">
        <f>Cadastro!$I312</f>
        <v>copom_DDTQ</v>
      </c>
      <c r="J312" s="104" t="str">
        <f>Cadastro!$J312</f>
        <v>DDTQcopom</v>
      </c>
      <c r="K312" s="104" t="s">
        <v>4536</v>
      </c>
      <c r="L312" s="104" t="s">
        <v>26</v>
      </c>
      <c r="M312" s="104" t="s">
        <v>27</v>
      </c>
      <c r="N312" s="108" t="str">
        <f t="shared" si="1"/>
        <v>URBS 3</v>
      </c>
      <c r="O312" s="109" t="str">
        <f>Cadastro!$O312</f>
        <v>https://monitoramento.pm.pr.gov.br/proxy_image_3/Interface/Cameras/GetJPEGStream?Camera=LD016CFTV01&amp;AuthUser=copom_DDTQ&amp;AuthPass=DDTQcopom&amp;Width=1024&amp;Height=768&amp;Quality=70&amp;FPS=10&amp;ResponseFormat=Text</v>
      </c>
      <c r="P312" s="106">
        <f>Cadastro!$P312</f>
        <v>1</v>
      </c>
    </row>
    <row r="313">
      <c r="A313" s="104" t="str">
        <f>Cadastro!$A313</f>
        <v>URBS 3</v>
      </c>
      <c r="B313" s="104" t="str">
        <f>Cadastro!$B313</f>
        <v>CURITIBA</v>
      </c>
      <c r="C313" s="107" t="str">
        <f>Cadastro!$C313</f>
        <v>https://monitoramento.pm.pr.gov.br/proxy_image_3/</v>
      </c>
      <c r="D313" s="105">
        <f>Cadastro!$D313</f>
        <v>38601</v>
      </c>
      <c r="E313" s="104" t="str">
        <f>Cadastro!$E313</f>
        <v>LD017CFTV01</v>
      </c>
      <c r="F313" s="104" t="str">
        <f>Cadastro!$F313</f>
        <v>ET Jardim Botânico</v>
      </c>
      <c r="G313" s="104" t="str">
        <f>Cadastro!$G313</f>
        <v>-25.444133</v>
      </c>
      <c r="H313" s="104" t="str">
        <f>Cadastro!$H313</f>
        <v>-49.239831</v>
      </c>
      <c r="I313" s="104" t="str">
        <f>Cadastro!$I313</f>
        <v>copom_DDTQ</v>
      </c>
      <c r="J313" s="104" t="str">
        <f>Cadastro!$J313</f>
        <v>DDTQcopom</v>
      </c>
      <c r="K313" s="104" t="s">
        <v>4536</v>
      </c>
      <c r="L313" s="104" t="s">
        <v>26</v>
      </c>
      <c r="M313" s="104" t="s">
        <v>27</v>
      </c>
      <c r="N313" s="108" t="str">
        <f t="shared" si="1"/>
        <v>URBS 3</v>
      </c>
      <c r="O313" s="109" t="str">
        <f>Cadastro!$O313</f>
        <v>https://monitoramento.pm.pr.gov.br/proxy_image_3/Interface/Cameras/GetJPEGStream?Camera=LD017CFTV01&amp;AuthUser=copom_DDTQ&amp;AuthPass=DDTQcopom&amp;Width=1024&amp;Height=768&amp;Quality=70&amp;FPS=10&amp;ResponseFormat=Text</v>
      </c>
      <c r="P313" s="106">
        <f>Cadastro!$P313</f>
        <v>1</v>
      </c>
    </row>
    <row r="314">
      <c r="A314" s="104" t="str">
        <f>Cadastro!$A314</f>
        <v>URBS 3</v>
      </c>
      <c r="B314" s="104" t="str">
        <f>Cadastro!$B314</f>
        <v>CURITIBA</v>
      </c>
      <c r="C314" s="107" t="str">
        <f>Cadastro!$C314</f>
        <v>https://monitoramento.pm.pr.gov.br/proxy_image_3/</v>
      </c>
      <c r="D314" s="105">
        <f>Cadastro!$D314</f>
        <v>38601</v>
      </c>
      <c r="E314" s="104" t="str">
        <f>Cadastro!$E314</f>
        <v>LD020CFTV01</v>
      </c>
      <c r="F314" s="104" t="str">
        <f>Cadastro!$F314</f>
        <v>ET Praça do Expedicionário &gt; Centro</v>
      </c>
      <c r="G314" s="104" t="str">
        <f>Cadastro!$G314</f>
        <v>-25.429336</v>
      </c>
      <c r="H314" s="104" t="str">
        <f>Cadastro!$H314</f>
        <v>-49.258463</v>
      </c>
      <c r="I314" s="104" t="str">
        <f>Cadastro!$I314</f>
        <v>copom_DDTQ</v>
      </c>
      <c r="J314" s="104" t="str">
        <f>Cadastro!$J314</f>
        <v>DDTQcopom</v>
      </c>
      <c r="K314" s="104" t="s">
        <v>4536</v>
      </c>
      <c r="L314" s="104" t="s">
        <v>26</v>
      </c>
      <c r="M314" s="104" t="s">
        <v>27</v>
      </c>
      <c r="N314" s="108" t="str">
        <f t="shared" si="1"/>
        <v>URBS 3</v>
      </c>
      <c r="O314" s="109" t="str">
        <f>Cadastro!$O314</f>
        <v>https://monitoramento.pm.pr.gov.br/proxy_image_3/Interface/Cameras/GetJPEGStream?Camera=LD020CFTV01&amp;AuthUser=copom_DDTQ&amp;AuthPass=DDTQcopom&amp;Width=1024&amp;Height=768&amp;Quality=70&amp;FPS=10&amp;ResponseFormat=Text</v>
      </c>
      <c r="P314" s="106">
        <f>Cadastro!$P314</f>
        <v>1</v>
      </c>
    </row>
    <row r="315">
      <c r="A315" s="104" t="str">
        <f>Cadastro!$A315</f>
        <v>URBS 3</v>
      </c>
      <c r="B315" s="104" t="str">
        <f>Cadastro!$B315</f>
        <v>CURITIBA</v>
      </c>
      <c r="C315" s="107" t="str">
        <f>Cadastro!$C315</f>
        <v>https://monitoramento.pm.pr.gov.br/proxy_image_3/</v>
      </c>
      <c r="D315" s="105">
        <f>Cadastro!$D315</f>
        <v>38601</v>
      </c>
      <c r="E315" s="104" t="str">
        <f>Cadastro!$E315</f>
        <v>LD021CFTV01</v>
      </c>
      <c r="F315" s="104" t="str">
        <f>Cadastro!$F315</f>
        <v>ET Praça do Expedicionário &gt; Bairro</v>
      </c>
      <c r="G315" s="104" t="str">
        <f>Cadastro!$G315</f>
        <v>-25.428812</v>
      </c>
      <c r="H315" s="104" t="str">
        <f>Cadastro!$H315</f>
        <v>-49.258179</v>
      </c>
      <c r="I315" s="104" t="str">
        <f>Cadastro!$I315</f>
        <v>copom_DDTQ</v>
      </c>
      <c r="J315" s="104" t="str">
        <f>Cadastro!$J315</f>
        <v>DDTQcopom</v>
      </c>
      <c r="K315" s="104" t="s">
        <v>4536</v>
      </c>
      <c r="L315" s="104" t="s">
        <v>26</v>
      </c>
      <c r="M315" s="104" t="s">
        <v>27</v>
      </c>
      <c r="N315" s="108" t="str">
        <f t="shared" si="1"/>
        <v>URBS 3</v>
      </c>
      <c r="O315" s="109" t="str">
        <f>Cadastro!$O315</f>
        <v>https://monitoramento.pm.pr.gov.br/proxy_image_3/Interface/Cameras/GetJPEGStream?Camera=LD021CFTV01&amp;AuthUser=copom_DDTQ&amp;AuthPass=DDTQcopom&amp;Width=1024&amp;Height=768&amp;Quality=70&amp;FPS=10&amp;ResponseFormat=Text</v>
      </c>
      <c r="P315" s="106">
        <f>Cadastro!$P315</f>
        <v>1</v>
      </c>
    </row>
    <row r="316">
      <c r="A316" s="104" t="str">
        <f>Cadastro!$A316</f>
        <v>URBS 3</v>
      </c>
      <c r="B316" s="104" t="str">
        <f>Cadastro!$B316</f>
        <v>CURITIBA</v>
      </c>
      <c r="C316" s="107" t="str">
        <f>Cadastro!$C316</f>
        <v>https://monitoramento.pm.pr.gov.br/proxy_image_3/</v>
      </c>
      <c r="D316" s="105">
        <f>Cadastro!$D316</f>
        <v>38601</v>
      </c>
      <c r="E316" s="104" t="str">
        <f>Cadastro!$E316</f>
        <v>LD022CFTV01</v>
      </c>
      <c r="F316" s="104" t="str">
        <f>Cadastro!$F316</f>
        <v>ET Marechal Deodoro</v>
      </c>
      <c r="G316" s="104" t="str">
        <f>Cadastro!$G316</f>
        <v>-25.429012</v>
      </c>
      <c r="H316" s="104" t="str">
        <f>Cadastro!$H316</f>
        <v>-49.263572</v>
      </c>
      <c r="I316" s="104" t="str">
        <f>Cadastro!$I316</f>
        <v>copom_DDTQ</v>
      </c>
      <c r="J316" s="104" t="str">
        <f>Cadastro!$J316</f>
        <v>DDTQcopom</v>
      </c>
      <c r="K316" s="104" t="s">
        <v>4536</v>
      </c>
      <c r="L316" s="104" t="s">
        <v>26</v>
      </c>
      <c r="M316" s="104" t="s">
        <v>27</v>
      </c>
      <c r="N316" s="108" t="str">
        <f t="shared" si="1"/>
        <v>URBS 3</v>
      </c>
      <c r="O316" s="109" t="str">
        <f>Cadastro!$O316</f>
        <v>https://monitoramento.pm.pr.gov.br/proxy_image_3/Interface/Cameras/GetJPEGStream?Camera=LD022CFTV01&amp;AuthUser=copom_DDTQ&amp;AuthPass=DDTQcopom&amp;Width=1024&amp;Height=768&amp;Quality=70&amp;FPS=10&amp;ResponseFormat=Text</v>
      </c>
      <c r="P316" s="106">
        <f>Cadastro!$P316</f>
        <v>1</v>
      </c>
    </row>
    <row r="317">
      <c r="A317" s="104" t="str">
        <f>Cadastro!$A317</f>
        <v>URBS 3</v>
      </c>
      <c r="B317" s="104" t="str">
        <f>Cadastro!$B317</f>
        <v>CURITIBA</v>
      </c>
      <c r="C317" s="107" t="str">
        <f>Cadastro!$C317</f>
        <v>https://monitoramento.pm.pr.gov.br/proxy_image_3/</v>
      </c>
      <c r="D317" s="105">
        <f>Cadastro!$D317</f>
        <v>38601</v>
      </c>
      <c r="E317" s="104" t="str">
        <f>Cadastro!$E317</f>
        <v>LD023CFTV01</v>
      </c>
      <c r="F317" s="104" t="str">
        <f>Cadastro!$F317</f>
        <v>ET Conselheiro Laurindo &gt; Guadalupe</v>
      </c>
      <c r="G317" s="104" t="str">
        <f>Cadastro!$G317</f>
        <v>-25.432070</v>
      </c>
      <c r="H317" s="104" t="str">
        <f>Cadastro!$H317</f>
        <v>-49.264168</v>
      </c>
      <c r="I317" s="104" t="str">
        <f>Cadastro!$I317</f>
        <v>copom_DDTQ</v>
      </c>
      <c r="J317" s="104" t="str">
        <f>Cadastro!$J317</f>
        <v>DDTQcopom</v>
      </c>
      <c r="K317" s="104" t="s">
        <v>4536</v>
      </c>
      <c r="L317" s="104" t="s">
        <v>26</v>
      </c>
      <c r="M317" s="104" t="s">
        <v>27</v>
      </c>
      <c r="N317" s="108" t="str">
        <f t="shared" si="1"/>
        <v>URBS 3</v>
      </c>
      <c r="O317" s="109" t="str">
        <f>Cadastro!$O317</f>
        <v>https://monitoramento.pm.pr.gov.br/proxy_image_3/Interface/Cameras/GetJPEGStream?Camera=LD023CFTV01&amp;AuthUser=copom_DDTQ&amp;AuthPass=DDTQcopom&amp;Width=1024&amp;Height=768&amp;Quality=70&amp;FPS=10&amp;ResponseFormat=Text</v>
      </c>
      <c r="P317" s="106">
        <f>Cadastro!$P317</f>
        <v>1</v>
      </c>
    </row>
    <row r="318">
      <c r="A318" s="104" t="str">
        <f>Cadastro!$A318</f>
        <v>URBS 3</v>
      </c>
      <c r="B318" s="104" t="str">
        <f>Cadastro!$B318</f>
        <v>CURITIBA</v>
      </c>
      <c r="C318" s="107" t="str">
        <f>Cadastro!$C318</f>
        <v>https://monitoramento.pm.pr.gov.br/proxy_image_3/</v>
      </c>
      <c r="D318" s="105">
        <f>Cadastro!$D318</f>
        <v>38601</v>
      </c>
      <c r="E318" s="104" t="str">
        <f>Cadastro!$E318</f>
        <v>LD024CFTV01</v>
      </c>
      <c r="F318" s="104" t="str">
        <f>Cadastro!$F318</f>
        <v>ET Conselheiro Laurindo &gt; FAZ</v>
      </c>
      <c r="G318" s="104" t="str">
        <f>Cadastro!$G318</f>
        <v>-25.433646</v>
      </c>
      <c r="H318" s="104" t="str">
        <f>Cadastro!$H318</f>
        <v>-49.263470</v>
      </c>
      <c r="I318" s="104" t="str">
        <f>Cadastro!$I318</f>
        <v>copom_DDTQ</v>
      </c>
      <c r="J318" s="104" t="str">
        <f>Cadastro!$J318</f>
        <v>DDTQcopom</v>
      </c>
      <c r="K318" s="104" t="s">
        <v>4536</v>
      </c>
      <c r="L318" s="104" t="s">
        <v>26</v>
      </c>
      <c r="M318" s="104" t="s">
        <v>27</v>
      </c>
      <c r="N318" s="108" t="str">
        <f t="shared" si="1"/>
        <v>URBS 3</v>
      </c>
      <c r="O318" s="109" t="str">
        <f>Cadastro!$O318</f>
        <v>https://monitoramento.pm.pr.gov.br/proxy_image_3/Interface/Cameras/GetJPEGStream?Camera=LD024CFTV01&amp;AuthUser=copom_DDTQ&amp;AuthPass=DDTQcopom&amp;Width=1024&amp;Height=768&amp;Quality=70&amp;FPS=10&amp;ResponseFormat=Text</v>
      </c>
      <c r="P318" s="106">
        <f>Cadastro!$P318</f>
        <v>1</v>
      </c>
    </row>
    <row r="319">
      <c r="A319" s="104" t="str">
        <f>Cadastro!$A319</f>
        <v>URBS 3</v>
      </c>
      <c r="B319" s="104" t="str">
        <f>Cadastro!$B319</f>
        <v>CURITIBA</v>
      </c>
      <c r="C319" s="107" t="str">
        <f>Cadastro!$C319</f>
        <v>https://monitoramento.pm.pr.gov.br/proxy_image_3/</v>
      </c>
      <c r="D319" s="105">
        <f>Cadastro!$D319</f>
        <v>38601</v>
      </c>
      <c r="E319" s="104" t="str">
        <f>Cadastro!$E319</f>
        <v>LD025CFTV01</v>
      </c>
      <c r="F319" s="104" t="str">
        <f>Cadastro!$F319</f>
        <v>ET Praça Varlos Gomes &gt; Faz. Rio Grande</v>
      </c>
      <c r="G319" s="104" t="str">
        <f>Cadastro!$G319</f>
        <v>-25.435193</v>
      </c>
      <c r="H319" s="104" t="str">
        <f>Cadastro!$H319</f>
        <v>-49.268648</v>
      </c>
      <c r="I319" s="104" t="str">
        <f>Cadastro!$I319</f>
        <v>copom_DDTQ</v>
      </c>
      <c r="J319" s="104" t="str">
        <f>Cadastro!$J319</f>
        <v>DDTQcopom</v>
      </c>
      <c r="K319" s="104" t="s">
        <v>4536</v>
      </c>
      <c r="L319" s="104" t="s">
        <v>26</v>
      </c>
      <c r="M319" s="104" t="s">
        <v>27</v>
      </c>
      <c r="N319" s="108" t="str">
        <f t="shared" si="1"/>
        <v>URBS 3</v>
      </c>
      <c r="O319" s="109" t="str">
        <f>Cadastro!$O319</f>
        <v>https://monitoramento.pm.pr.gov.br/proxy_image_3/Interface/Cameras/GetJPEGStream?Camera=LD025CFTV01&amp;AuthUser=copom_DDTQ&amp;AuthPass=DDTQcopom&amp;Width=1024&amp;Height=768&amp;Quality=70&amp;FPS=10&amp;ResponseFormat=Text</v>
      </c>
      <c r="P319" s="106">
        <f>Cadastro!$P319</f>
        <v>1</v>
      </c>
    </row>
    <row r="320">
      <c r="A320" s="104" t="str">
        <f>Cadastro!$A320</f>
        <v>URBS 3</v>
      </c>
      <c r="B320" s="104" t="str">
        <f>Cadastro!$B320</f>
        <v>CURITIBA</v>
      </c>
      <c r="C320" s="107" t="str">
        <f>Cadastro!$C320</f>
        <v>https://monitoramento.pm.pr.gov.br/proxy_image_3/</v>
      </c>
      <c r="D320" s="105">
        <f>Cadastro!$D320</f>
        <v>38601</v>
      </c>
      <c r="E320" s="104" t="str">
        <f>Cadastro!$E320</f>
        <v>LD026CFTV01</v>
      </c>
      <c r="F320" s="104" t="str">
        <f>Cadastro!$F320</f>
        <v>ET Sete de Setembro &gt; Maracanã</v>
      </c>
      <c r="G320" s="104" t="str">
        <f>Cadastro!$G320</f>
        <v>-25.440311</v>
      </c>
      <c r="H320" s="104" t="str">
        <f>Cadastro!$H320</f>
        <v>-49.271798</v>
      </c>
      <c r="I320" s="104" t="str">
        <f>Cadastro!$I320</f>
        <v>copom_DDTQ</v>
      </c>
      <c r="J320" s="104" t="str">
        <f>Cadastro!$J320</f>
        <v>DDTQcopom</v>
      </c>
      <c r="K320" s="104" t="s">
        <v>4536</v>
      </c>
      <c r="L320" s="104" t="s">
        <v>26</v>
      </c>
      <c r="M320" s="104" t="s">
        <v>27</v>
      </c>
      <c r="N320" s="108" t="str">
        <f t="shared" si="1"/>
        <v>URBS 3</v>
      </c>
      <c r="O320" s="109" t="str">
        <f>Cadastro!$O320</f>
        <v>https://monitoramento.pm.pr.gov.br/proxy_image_3/Interface/Cameras/GetJPEGStream?Camera=LD026CFTV01&amp;AuthUser=copom_DDTQ&amp;AuthPass=DDTQcopom&amp;Width=1024&amp;Height=768&amp;Quality=70&amp;FPS=10&amp;ResponseFormat=Text</v>
      </c>
      <c r="P320" s="106">
        <f>Cadastro!$P320</f>
        <v>1</v>
      </c>
    </row>
    <row r="321">
      <c r="A321" s="104" t="str">
        <f>Cadastro!$A321</f>
        <v>URBS 3</v>
      </c>
      <c r="B321" s="104" t="str">
        <f>Cadastro!$B321</f>
        <v>CURITIBA</v>
      </c>
      <c r="C321" s="107" t="str">
        <f>Cadastro!$C321</f>
        <v>https://monitoramento.pm.pr.gov.br/proxy_image_3/</v>
      </c>
      <c r="D321" s="105">
        <f>Cadastro!$D321</f>
        <v>38601</v>
      </c>
      <c r="E321" s="104" t="str">
        <f>Cadastro!$E321</f>
        <v>LD027CFTV01</v>
      </c>
      <c r="F321" s="104" t="str">
        <f>Cadastro!$F321</f>
        <v>ET Praça da Bandeira</v>
      </c>
      <c r="G321" s="104" t="str">
        <f>Cadastro!$G321</f>
        <v>-25.416569</v>
      </c>
      <c r="H321" s="104" t="str">
        <f>Cadastro!$H321</f>
        <v>-49.279259</v>
      </c>
      <c r="I321" s="104" t="str">
        <f>Cadastro!$I321</f>
        <v>copom_DDTQ</v>
      </c>
      <c r="J321" s="104" t="str">
        <f>Cadastro!$J321</f>
        <v>DDTQcopom</v>
      </c>
      <c r="K321" s="104" t="s">
        <v>4536</v>
      </c>
      <c r="L321" s="104" t="s">
        <v>26</v>
      </c>
      <c r="M321" s="104" t="s">
        <v>27</v>
      </c>
      <c r="N321" s="108" t="str">
        <f t="shared" si="1"/>
        <v>URBS 3</v>
      </c>
      <c r="O321" s="109" t="str">
        <f>Cadastro!$O321</f>
        <v>https://monitoramento.pm.pr.gov.br/proxy_image_3/Interface/Cameras/GetJPEGStream?Camera=LD027CFTV01&amp;AuthUser=copom_DDTQ&amp;AuthPass=DDTQcopom&amp;Width=1024&amp;Height=768&amp;Quality=70&amp;FPS=10&amp;ResponseFormat=Text</v>
      </c>
      <c r="P321" s="106">
        <f>Cadastro!$P321</f>
        <v>1</v>
      </c>
    </row>
    <row r="322">
      <c r="A322" s="104" t="str">
        <f>Cadastro!$A322</f>
        <v>URBS 3</v>
      </c>
      <c r="B322" s="104" t="str">
        <f>Cadastro!$B322</f>
        <v>CURITIBA</v>
      </c>
      <c r="C322" s="107" t="str">
        <f>Cadastro!$C322</f>
        <v>https://monitoramento.pm.pr.gov.br/proxy_image_3/</v>
      </c>
      <c r="D322" s="105">
        <f>Cadastro!$D322</f>
        <v>38601</v>
      </c>
      <c r="E322" s="104" t="str">
        <f>Cadastro!$E322</f>
        <v>LD029CFTV01</v>
      </c>
      <c r="F322" s="104" t="str">
        <f>Cadastro!$F322</f>
        <v>ET Centro Cívico 1</v>
      </c>
      <c r="G322" s="104" t="str">
        <f>Cadastro!$G322</f>
        <v>-25.415399</v>
      </c>
      <c r="H322" s="104" t="str">
        <f>Cadastro!$H322</f>
        <v>-49.267917</v>
      </c>
      <c r="I322" s="104" t="str">
        <f>Cadastro!$I322</f>
        <v>copom_DDTQ</v>
      </c>
      <c r="J322" s="104" t="str">
        <f>Cadastro!$J322</f>
        <v>DDTQcopom</v>
      </c>
      <c r="K322" s="104" t="s">
        <v>4536</v>
      </c>
      <c r="L322" s="104" t="s">
        <v>26</v>
      </c>
      <c r="M322" s="104" t="s">
        <v>27</v>
      </c>
      <c r="N322" s="108" t="str">
        <f t="shared" si="1"/>
        <v>URBS 3</v>
      </c>
      <c r="O322" s="109" t="str">
        <f>Cadastro!$O322</f>
        <v>https://monitoramento.pm.pr.gov.br/proxy_image_3/Interface/Cameras/GetJPEGStream?Camera=LD029CFTV01&amp;AuthUser=copom_DDTQ&amp;AuthPass=DDTQcopom&amp;Width=1024&amp;Height=768&amp;Quality=70&amp;FPS=10&amp;ResponseFormat=Text</v>
      </c>
      <c r="P322" s="106">
        <f>Cadastro!$P322</f>
        <v>1</v>
      </c>
    </row>
    <row r="323">
      <c r="A323" s="104" t="str">
        <f>Cadastro!$A323</f>
        <v>URBS 3</v>
      </c>
      <c r="B323" s="104" t="str">
        <f>Cadastro!$B323</f>
        <v>CURITIBA</v>
      </c>
      <c r="C323" s="107" t="str">
        <f>Cadastro!$C323</f>
        <v>https://monitoramento.pm.pr.gov.br/proxy_image_3/</v>
      </c>
      <c r="D323" s="105">
        <f>Cadastro!$D323</f>
        <v>38601</v>
      </c>
      <c r="E323" s="104" t="str">
        <f>Cadastro!$E323</f>
        <v>LD029CFTV02</v>
      </c>
      <c r="F323" s="104" t="str">
        <f>Cadastro!$F323</f>
        <v>ET Centro Cívico 2</v>
      </c>
      <c r="G323" s="104" t="str">
        <f>Cadastro!$G323</f>
        <v>-25.415480</v>
      </c>
      <c r="H323" s="104" t="str">
        <f>Cadastro!$H323</f>
        <v>-49.267906</v>
      </c>
      <c r="I323" s="104" t="str">
        <f>Cadastro!$I323</f>
        <v>copom_DDTQ</v>
      </c>
      <c r="J323" s="104" t="str">
        <f>Cadastro!$J323</f>
        <v>DDTQcopom</v>
      </c>
      <c r="K323" s="104" t="s">
        <v>4536</v>
      </c>
      <c r="L323" s="104" t="s">
        <v>26</v>
      </c>
      <c r="M323" s="104" t="s">
        <v>27</v>
      </c>
      <c r="N323" s="108" t="str">
        <f t="shared" si="1"/>
        <v>URBS 3</v>
      </c>
      <c r="O323" s="109" t="str">
        <f>Cadastro!$O323</f>
        <v>https://monitoramento.pm.pr.gov.br/proxy_image_3/Interface/Cameras/GetJPEGStream?Camera=LD029CFTV02&amp;AuthUser=copom_DDTQ&amp;AuthPass=DDTQcopom&amp;Width=1024&amp;Height=768&amp;Quality=70&amp;FPS=10&amp;ResponseFormat=Text</v>
      </c>
      <c r="P323" s="106">
        <f>Cadastro!$P323</f>
        <v>1</v>
      </c>
    </row>
    <row r="324">
      <c r="A324" s="104" t="str">
        <f>Cadastro!$A324</f>
        <v>URBS 3</v>
      </c>
      <c r="B324" s="104" t="str">
        <f>Cadastro!$B324</f>
        <v>CURITIBA</v>
      </c>
      <c r="C324" s="107" t="str">
        <f>Cadastro!$C324</f>
        <v>https://monitoramento.pm.pr.gov.br/proxy_image_3/</v>
      </c>
      <c r="D324" s="105">
        <f>Cadastro!$D324</f>
        <v>38601</v>
      </c>
      <c r="E324" s="104" t="str">
        <f>Cadastro!$E324</f>
        <v>LD030CFTV01</v>
      </c>
      <c r="F324" s="104" t="str">
        <f>Cadastro!$F324</f>
        <v>ET Palacio Iguaçu</v>
      </c>
      <c r="G324" s="104" t="str">
        <f>Cadastro!$G324</f>
        <v>-25.415606</v>
      </c>
      <c r="H324" s="104" t="str">
        <f>Cadastro!$H324</f>
        <v>-49.266394</v>
      </c>
      <c r="I324" s="104" t="str">
        <f>Cadastro!$I324</f>
        <v>copom_DDTQ</v>
      </c>
      <c r="J324" s="104" t="str">
        <f>Cadastro!$J324</f>
        <v>DDTQcopom</v>
      </c>
      <c r="K324" s="104" t="s">
        <v>4536</v>
      </c>
      <c r="L324" s="104" t="s">
        <v>26</v>
      </c>
      <c r="M324" s="104" t="s">
        <v>27</v>
      </c>
      <c r="N324" s="108" t="str">
        <f t="shared" si="1"/>
        <v>URBS 3</v>
      </c>
      <c r="O324" s="109" t="str">
        <f>Cadastro!$O324</f>
        <v>https://monitoramento.pm.pr.gov.br/proxy_image_3/Interface/Cameras/GetJPEGStream?Camera=LD030CFTV01&amp;AuthUser=copom_DDTQ&amp;AuthPass=DDTQcopom&amp;Width=1024&amp;Height=768&amp;Quality=70&amp;FPS=10&amp;ResponseFormat=Text</v>
      </c>
      <c r="P324" s="106">
        <f>Cadastro!$P324</f>
        <v>1</v>
      </c>
    </row>
    <row r="325">
      <c r="A325" s="104" t="str">
        <f>Cadastro!$A325</f>
        <v>URBS 3</v>
      </c>
      <c r="B325" s="104" t="str">
        <f>Cadastro!$B325</f>
        <v>CURITIBA</v>
      </c>
      <c r="C325" s="107" t="str">
        <f>Cadastro!$C325</f>
        <v>https://monitoramento.pm.pr.gov.br/proxy_image_3/</v>
      </c>
      <c r="D325" s="105">
        <f>Cadastro!$D325</f>
        <v>38601</v>
      </c>
      <c r="E325" s="104" t="str">
        <f>Cadastro!$E325</f>
        <v>LD030CFTV02</v>
      </c>
      <c r="F325" s="104" t="str">
        <f>Cadastro!$F325</f>
        <v>ET Palacio Iguaçu 2</v>
      </c>
      <c r="G325" s="104" t="str">
        <f>Cadastro!$G325</f>
        <v>-25.415690</v>
      </c>
      <c r="H325" s="104" t="str">
        <f>Cadastro!$H325</f>
        <v>-49.266406</v>
      </c>
      <c r="I325" s="104" t="str">
        <f>Cadastro!$I325</f>
        <v>copom_DDTQ</v>
      </c>
      <c r="J325" s="104" t="str">
        <f>Cadastro!$J325</f>
        <v>DDTQcopom</v>
      </c>
      <c r="K325" s="104" t="s">
        <v>4536</v>
      </c>
      <c r="L325" s="104" t="s">
        <v>26</v>
      </c>
      <c r="M325" s="104" t="s">
        <v>27</v>
      </c>
      <c r="N325" s="108" t="str">
        <f t="shared" si="1"/>
        <v>URBS 3</v>
      </c>
      <c r="O325" s="109" t="str">
        <f>Cadastro!$O325</f>
        <v>https://monitoramento.pm.pr.gov.br/proxy_image_3/Interface/Cameras/GetJPEGStream?Camera=LD030CFTV02&amp;AuthUser=copom_DDTQ&amp;AuthPass=DDTQcopom&amp;Width=1024&amp;Height=768&amp;Quality=70&amp;FPS=10&amp;ResponseFormat=Text</v>
      </c>
      <c r="P325" s="106">
        <f>Cadastro!$P325</f>
        <v>1</v>
      </c>
    </row>
    <row r="326">
      <c r="A326" s="104" t="str">
        <f>Cadastro!$A326</f>
        <v>URBS 3</v>
      </c>
      <c r="B326" s="104" t="str">
        <f>Cadastro!$B326</f>
        <v>CURITIBA</v>
      </c>
      <c r="C326" s="107" t="str">
        <f>Cadastro!$C326</f>
        <v>https://monitoramento.pm.pr.gov.br/proxy_image_3/</v>
      </c>
      <c r="D326" s="105">
        <f>Cadastro!$D326</f>
        <v>38601</v>
      </c>
      <c r="E326" s="104" t="str">
        <f>Cadastro!$E326</f>
        <v>LD031CFTV01</v>
      </c>
      <c r="F326" s="104" t="str">
        <f>Cadastro!$F326</f>
        <v>ET Museu Oscar Niemeyer</v>
      </c>
      <c r="G326" s="104" t="str">
        <f>Cadastro!$G326</f>
        <v>-25.410666</v>
      </c>
      <c r="H326" s="104" t="str">
        <f>Cadastro!$H326</f>
        <v>-49.266135</v>
      </c>
      <c r="I326" s="104" t="str">
        <f>Cadastro!$I326</f>
        <v>copom_DDTQ</v>
      </c>
      <c r="J326" s="104" t="str">
        <f>Cadastro!$J326</f>
        <v>DDTQcopom</v>
      </c>
      <c r="K326" s="104" t="s">
        <v>4536</v>
      </c>
      <c r="L326" s="104" t="s">
        <v>26</v>
      </c>
      <c r="M326" s="104" t="s">
        <v>27</v>
      </c>
      <c r="N326" s="108" t="str">
        <f t="shared" si="1"/>
        <v>URBS 3</v>
      </c>
      <c r="O326" s="109" t="str">
        <f>Cadastro!$O326</f>
        <v>https://monitoramento.pm.pr.gov.br/proxy_image_3/Interface/Cameras/GetJPEGStream?Camera=LD031CFTV01&amp;AuthUser=copom_DDTQ&amp;AuthPass=DDTQcopom&amp;Width=1024&amp;Height=768&amp;Quality=70&amp;FPS=10&amp;ResponseFormat=Text</v>
      </c>
      <c r="P326" s="106">
        <f>Cadastro!$P326</f>
        <v>1</v>
      </c>
    </row>
    <row r="327">
      <c r="A327" s="104" t="str">
        <f>Cadastro!$A327</f>
        <v>URBS 3</v>
      </c>
      <c r="B327" s="104" t="str">
        <f>Cadastro!$B327</f>
        <v>CURITIBA</v>
      </c>
      <c r="C327" s="107" t="str">
        <f>Cadastro!$C327</f>
        <v>https://monitoramento.pm.pr.gov.br/proxy_image_3/</v>
      </c>
      <c r="D327" s="105">
        <f>Cadastro!$D327</f>
        <v>38601</v>
      </c>
      <c r="E327" s="104" t="str">
        <f>Cadastro!$E327</f>
        <v>LD032CFTV01</v>
      </c>
      <c r="F327" s="104" t="str">
        <f>Cadastro!$F327</f>
        <v>ET Agrarias</v>
      </c>
      <c r="G327" s="104" t="str">
        <f>Cadastro!$G327</f>
        <v>-25.410584</v>
      </c>
      <c r="H327" s="104" t="str">
        <f>Cadastro!$H327</f>
        <v>-49.248245</v>
      </c>
      <c r="I327" s="104" t="str">
        <f>Cadastro!$I327</f>
        <v>copom_DDTQ</v>
      </c>
      <c r="J327" s="104" t="str">
        <f>Cadastro!$J327</f>
        <v>DDTQcopom</v>
      </c>
      <c r="K327" s="104" t="s">
        <v>4536</v>
      </c>
      <c r="L327" s="104" t="s">
        <v>26</v>
      </c>
      <c r="M327" s="104" t="s">
        <v>27</v>
      </c>
      <c r="N327" s="108" t="str">
        <f t="shared" si="1"/>
        <v>URBS 3</v>
      </c>
      <c r="O327" s="109" t="str">
        <f>Cadastro!$O327</f>
        <v>https://monitoramento.pm.pr.gov.br/proxy_image_3/Interface/Cameras/GetJPEGStream?Camera=LD032CFTV01&amp;AuthUser=copom_DDTQ&amp;AuthPass=DDTQcopom&amp;Width=1024&amp;Height=768&amp;Quality=70&amp;FPS=10&amp;ResponseFormat=Text</v>
      </c>
      <c r="P327" s="106">
        <f>Cadastro!$P327</f>
        <v>1</v>
      </c>
    </row>
    <row r="328">
      <c r="A328" s="104" t="str">
        <f>Cadastro!$A328</f>
        <v>URBS 3</v>
      </c>
      <c r="B328" s="104" t="str">
        <f>Cadastro!$B328</f>
        <v>CURITIBA</v>
      </c>
      <c r="C328" s="107" t="str">
        <f>Cadastro!$C328</f>
        <v>https://monitoramento.pm.pr.gov.br/proxy_image_3/</v>
      </c>
      <c r="D328" s="105">
        <f>Cadastro!$D328</f>
        <v>38601</v>
      </c>
      <c r="E328" s="104" t="str">
        <f>Cadastro!$E328</f>
        <v>LD033CFTV01</v>
      </c>
      <c r="F328" s="104" t="str">
        <f>Cadastro!$F328</f>
        <v>ET Ahú &gt; Flavio Dalegrave</v>
      </c>
      <c r="G328" s="104" t="str">
        <f>Cadastro!$G328</f>
        <v>-25.391092</v>
      </c>
      <c r="H328" s="104" t="str">
        <f>Cadastro!$H328</f>
        <v>-49.258145</v>
      </c>
      <c r="I328" s="104" t="str">
        <f>Cadastro!$I328</f>
        <v>copom_DDTQ</v>
      </c>
      <c r="J328" s="104" t="str">
        <f>Cadastro!$J328</f>
        <v>DDTQcopom</v>
      </c>
      <c r="K328" s="104" t="s">
        <v>4536</v>
      </c>
      <c r="L328" s="104" t="s">
        <v>26</v>
      </c>
      <c r="M328" s="104" t="s">
        <v>27</v>
      </c>
      <c r="N328" s="108" t="str">
        <f t="shared" si="1"/>
        <v>URBS 3</v>
      </c>
      <c r="O328" s="109" t="str">
        <f>Cadastro!$O328</f>
        <v>https://monitoramento.pm.pr.gov.br/proxy_image_3/Interface/Cameras/GetJPEGStream?Camera=LD033CFTV01&amp;AuthUser=copom_DDTQ&amp;AuthPass=DDTQcopom&amp;Width=1024&amp;Height=768&amp;Quality=70&amp;FPS=10&amp;ResponseFormat=Text</v>
      </c>
      <c r="P328" s="106">
        <f>Cadastro!$P328</f>
        <v>1</v>
      </c>
    </row>
    <row r="329">
      <c r="A329" s="104" t="str">
        <f>Cadastro!$A329</f>
        <v>URBS 3</v>
      </c>
      <c r="B329" s="104" t="str">
        <f>Cadastro!$B329</f>
        <v>CURITIBA</v>
      </c>
      <c r="C329" s="107" t="str">
        <f>Cadastro!$C329</f>
        <v>https://monitoramento.pm.pr.gov.br/proxy_image_3/</v>
      </c>
      <c r="D329" s="105">
        <f>Cadastro!$D329</f>
        <v>38601</v>
      </c>
      <c r="E329" s="104" t="str">
        <f>Cadastro!$E329</f>
        <v>LD035CFTV01</v>
      </c>
      <c r="F329" s="104" t="str">
        <f>Cadastro!$F329</f>
        <v>ET Santa Quitéria &gt; C. do Siqueira</v>
      </c>
      <c r="G329" s="104" t="str">
        <f>Cadastro!$G329</f>
        <v>-25.459136</v>
      </c>
      <c r="H329" s="104" t="str">
        <f>Cadastro!$H329</f>
        <v>-49.302405</v>
      </c>
      <c r="I329" s="104" t="str">
        <f>Cadastro!$I329</f>
        <v>copom_DDTQ</v>
      </c>
      <c r="J329" s="104" t="str">
        <f>Cadastro!$J329</f>
        <v>DDTQcopom</v>
      </c>
      <c r="K329" s="104" t="s">
        <v>4536</v>
      </c>
      <c r="L329" s="104" t="s">
        <v>26</v>
      </c>
      <c r="M329" s="104" t="s">
        <v>27</v>
      </c>
      <c r="N329" s="108" t="str">
        <f t="shared" si="1"/>
        <v>URBS 3</v>
      </c>
      <c r="O329" s="109" t="str">
        <f>Cadastro!$O329</f>
        <v>https://monitoramento.pm.pr.gov.br/proxy_image_3/Interface/Cameras/GetJPEGStream?Camera=LD035CFTV01&amp;AuthUser=copom_DDTQ&amp;AuthPass=DDTQcopom&amp;Width=1024&amp;Height=768&amp;Quality=70&amp;FPS=10&amp;ResponseFormat=Text</v>
      </c>
      <c r="P329" s="106">
        <f>Cadastro!$P329</f>
        <v>1</v>
      </c>
    </row>
    <row r="330">
      <c r="A330" s="104" t="str">
        <f>Cadastro!$A330</f>
        <v>URBS 3</v>
      </c>
      <c r="B330" s="104" t="str">
        <f>Cadastro!$B330</f>
        <v>CURITIBA</v>
      </c>
      <c r="C330" s="107" t="str">
        <f>Cadastro!$C330</f>
        <v>https://monitoramento.pm.pr.gov.br/proxy_image_3/</v>
      </c>
      <c r="D330" s="105">
        <f>Cadastro!$D330</f>
        <v>38601</v>
      </c>
      <c r="E330" s="104" t="str">
        <f>Cadastro!$E330</f>
        <v>LD035CFTV02</v>
      </c>
      <c r="F330" s="104" t="str">
        <f>Cadastro!$F330</f>
        <v>ET Santa Quitéria &gt; Portão</v>
      </c>
      <c r="G330" s="104" t="str">
        <f>Cadastro!$G330</f>
        <v>-25.459166</v>
      </c>
      <c r="H330" s="104" t="str">
        <f>Cadastro!$H330</f>
        <v>-49.302459</v>
      </c>
      <c r="I330" s="104" t="str">
        <f>Cadastro!$I330</f>
        <v>copom_DDTQ</v>
      </c>
      <c r="J330" s="104" t="str">
        <f>Cadastro!$J330</f>
        <v>DDTQcopom</v>
      </c>
      <c r="K330" s="104" t="s">
        <v>4536</v>
      </c>
      <c r="L330" s="104" t="s">
        <v>26</v>
      </c>
      <c r="M330" s="104" t="s">
        <v>27</v>
      </c>
      <c r="N330" s="108" t="str">
        <f t="shared" si="1"/>
        <v>URBS 3</v>
      </c>
      <c r="O330" s="109" t="str">
        <f>Cadastro!$O330</f>
        <v>https://monitoramento.pm.pr.gov.br/proxy_image_3/Interface/Cameras/GetJPEGStream?Camera=LD035CFTV02&amp;AuthUser=copom_DDTQ&amp;AuthPass=DDTQcopom&amp;Width=1024&amp;Height=768&amp;Quality=70&amp;FPS=10&amp;ResponseFormat=Text</v>
      </c>
      <c r="P330" s="106">
        <f>Cadastro!$P330</f>
        <v>1</v>
      </c>
    </row>
    <row r="331">
      <c r="A331" s="104" t="str">
        <f>Cadastro!$A331</f>
        <v>URBS 3</v>
      </c>
      <c r="B331" s="104" t="str">
        <f>Cadastro!$B331</f>
        <v>CURITIBA</v>
      </c>
      <c r="C331" s="107" t="str">
        <f>Cadastro!$C331</f>
        <v>https://monitoramento.pm.pr.gov.br/proxy_image_3/</v>
      </c>
      <c r="D331" s="105">
        <f>Cadastro!$D331</f>
        <v>38601</v>
      </c>
      <c r="E331" s="104" t="str">
        <f>Cadastro!$E331</f>
        <v>LD041CFTV01</v>
      </c>
      <c r="F331" s="104" t="str">
        <f>Cadastro!$F331</f>
        <v>PANE ET Paiol &gt; Bairro</v>
      </c>
      <c r="G331" s="104" t="str">
        <f>Cadastro!$G331</f>
        <v>-25.448190</v>
      </c>
      <c r="H331" s="104" t="str">
        <f>Cadastro!$H331</f>
        <v>-49.258049</v>
      </c>
      <c r="I331" s="104" t="str">
        <f>Cadastro!$I331</f>
        <v>copom_DDTQ</v>
      </c>
      <c r="J331" s="104" t="str">
        <f>Cadastro!$J331</f>
        <v>DDTQcopom</v>
      </c>
      <c r="K331" s="104" t="s">
        <v>4536</v>
      </c>
      <c r="L331" s="104" t="s">
        <v>26</v>
      </c>
      <c r="M331" s="104" t="s">
        <v>27</v>
      </c>
      <c r="N331" s="108" t="str">
        <f t="shared" si="1"/>
        <v>URBS 3</v>
      </c>
      <c r="O331" s="109" t="str">
        <f>Cadastro!$O331</f>
        <v>https://monitoramento.pm.pr.gov.br/proxy_image_3/Interface/Cameras/GetJPEGStream?Camera=LD041CFTV01&amp;AuthUser=copom_DDTQ&amp;AuthPass=DDTQcopom&amp;Width=1024&amp;Height=768&amp;Quality=70&amp;FPS=10&amp;ResponseFormat=Text</v>
      </c>
      <c r="P331" s="106">
        <f>Cadastro!$P331</f>
        <v>1</v>
      </c>
    </row>
    <row r="332">
      <c r="A332" s="104" t="str">
        <f>Cadastro!$A332</f>
        <v>URBS 3</v>
      </c>
      <c r="B332" s="104" t="str">
        <f>Cadastro!$B332</f>
        <v>CURITIBA</v>
      </c>
      <c r="C332" s="107" t="str">
        <f>Cadastro!$C332</f>
        <v>https://monitoramento.pm.pr.gov.br/proxy_image_3/</v>
      </c>
      <c r="D332" s="105">
        <f>Cadastro!$D332</f>
        <v>38601</v>
      </c>
      <c r="E332" s="104" t="str">
        <f>Cadastro!$E332</f>
        <v>LD041CFTV02</v>
      </c>
      <c r="F332" s="104" t="str">
        <f>Cadastro!$F332</f>
        <v>PANE ET Paiol &gt; Centro</v>
      </c>
      <c r="G332" s="104" t="str">
        <f>Cadastro!$G332</f>
        <v>-25.448202</v>
      </c>
      <c r="H332" s="104" t="str">
        <f>Cadastro!$H332</f>
        <v>-49.257988</v>
      </c>
      <c r="I332" s="104" t="str">
        <f>Cadastro!$I332</f>
        <v>copom_DDTQ</v>
      </c>
      <c r="J332" s="104" t="str">
        <f>Cadastro!$J332</f>
        <v>DDTQcopom</v>
      </c>
      <c r="K332" s="104" t="s">
        <v>4536</v>
      </c>
      <c r="L332" s="104" t="s">
        <v>26</v>
      </c>
      <c r="M332" s="104" t="s">
        <v>27</v>
      </c>
      <c r="N332" s="108" t="str">
        <f t="shared" si="1"/>
        <v>URBS 3</v>
      </c>
      <c r="O332" s="109" t="str">
        <f>Cadastro!$O332</f>
        <v>https://monitoramento.pm.pr.gov.br/proxy_image_3/Interface/Cameras/GetJPEGStream?Camera=LD041CFTV02&amp;AuthUser=copom_DDTQ&amp;AuthPass=DDTQcopom&amp;Width=1024&amp;Height=768&amp;Quality=70&amp;FPS=10&amp;ResponseFormat=Text</v>
      </c>
      <c r="P332" s="106">
        <f>Cadastro!$P332</f>
        <v>1</v>
      </c>
    </row>
    <row r="333">
      <c r="A333" s="104" t="str">
        <f>Cadastro!$A333</f>
        <v>URBS 3</v>
      </c>
      <c r="B333" s="104" t="str">
        <f>Cadastro!$B333</f>
        <v>CURITIBA</v>
      </c>
      <c r="C333" s="107" t="str">
        <f>Cadastro!$C333</f>
        <v>https://monitoramento.pm.pr.gov.br/proxy_image_3/</v>
      </c>
      <c r="D333" s="105">
        <f>Cadastro!$D333</f>
        <v>38601</v>
      </c>
      <c r="E333" s="104" t="str">
        <f>Cadastro!$E333</f>
        <v>LD042CFTV01</v>
      </c>
      <c r="F333" s="104" t="str">
        <f>Cadastro!$F333</f>
        <v>ET DETRAN &gt; Cabral</v>
      </c>
      <c r="G333" s="104" t="str">
        <f>Cadastro!$G333</f>
        <v>-25.430338</v>
      </c>
      <c r="H333" s="104" t="str">
        <f>Cadastro!$H333</f>
        <v>-49.211249</v>
      </c>
      <c r="I333" s="104" t="str">
        <f>Cadastro!$I333</f>
        <v>copom_DDTQ</v>
      </c>
      <c r="J333" s="104" t="str">
        <f>Cadastro!$J333</f>
        <v>DDTQcopom</v>
      </c>
      <c r="K333" s="104" t="s">
        <v>4536</v>
      </c>
      <c r="L333" s="104" t="s">
        <v>26</v>
      </c>
      <c r="M333" s="104" t="s">
        <v>27</v>
      </c>
      <c r="N333" s="108" t="str">
        <f t="shared" si="1"/>
        <v>URBS 3</v>
      </c>
      <c r="O333" s="109" t="str">
        <f>Cadastro!$O333</f>
        <v>https://monitoramento.pm.pr.gov.br/proxy_image_3/Interface/Cameras/GetJPEGStream?Camera=LD042CFTV01&amp;AuthUser=copom_DDTQ&amp;AuthPass=DDTQcopom&amp;Width=1024&amp;Height=768&amp;Quality=70&amp;FPS=10&amp;ResponseFormat=Text</v>
      </c>
      <c r="P333" s="106">
        <f>Cadastro!$P333</f>
        <v>1</v>
      </c>
    </row>
    <row r="334">
      <c r="A334" s="104" t="str">
        <f>Cadastro!$A334</f>
        <v>URBS 3</v>
      </c>
      <c r="B334" s="104" t="str">
        <f>Cadastro!$B334</f>
        <v>CURITIBA</v>
      </c>
      <c r="C334" s="107" t="str">
        <f>Cadastro!$C334</f>
        <v>https://monitoramento.pm.pr.gov.br/proxy_image_3/</v>
      </c>
      <c r="D334" s="105">
        <f>Cadastro!$D334</f>
        <v>38601</v>
      </c>
      <c r="E334" s="104" t="str">
        <f>Cadastro!$E334</f>
        <v>LD042CFTV02</v>
      </c>
      <c r="F334" s="104" t="str">
        <f>Cadastro!$F334</f>
        <v>ET DETRAN &gt; Capão da Imuia</v>
      </c>
      <c r="G334" s="104" t="str">
        <f>Cadastro!$G334</f>
        <v>-25.430389</v>
      </c>
      <c r="H334" s="104" t="str">
        <f>Cadastro!$H334</f>
        <v>-49.211147</v>
      </c>
      <c r="I334" s="104" t="str">
        <f>Cadastro!$I334</f>
        <v>copom_DDTQ</v>
      </c>
      <c r="J334" s="104" t="str">
        <f>Cadastro!$J334</f>
        <v>DDTQcopom</v>
      </c>
      <c r="K334" s="104" t="s">
        <v>4536</v>
      </c>
      <c r="L334" s="104" t="s">
        <v>26</v>
      </c>
      <c r="M334" s="104" t="s">
        <v>27</v>
      </c>
      <c r="N334" s="108" t="str">
        <f t="shared" si="1"/>
        <v>URBS 3</v>
      </c>
      <c r="O334" s="109" t="str">
        <f>Cadastro!$O334</f>
        <v>https://monitoramento.pm.pr.gov.br/proxy_image_3/Interface/Cameras/GetJPEGStream?Camera=LD042CFTV02&amp;AuthUser=copom_DDTQ&amp;AuthPass=DDTQcopom&amp;Width=1024&amp;Height=768&amp;Quality=70&amp;FPS=10&amp;ResponseFormat=Text</v>
      </c>
      <c r="P334" s="106">
        <f>Cadastro!$P334</f>
        <v>1</v>
      </c>
    </row>
    <row r="335">
      <c r="A335" s="104" t="str">
        <f>Cadastro!$A335</f>
        <v>URBS 3</v>
      </c>
      <c r="B335" s="104" t="str">
        <f>Cadastro!$B335</f>
        <v>CURITIBA</v>
      </c>
      <c r="C335" s="107" t="str">
        <f>Cadastro!$C335</f>
        <v>https://monitoramento.pm.pr.gov.br/proxy_image_3/</v>
      </c>
      <c r="D335" s="105">
        <f>Cadastro!$D335</f>
        <v>38601</v>
      </c>
      <c r="E335" s="104" t="str">
        <f>Cadastro!$E335</f>
        <v>LD043CFTV01</v>
      </c>
      <c r="F335" s="104" t="str">
        <f>Cadastro!$F335</f>
        <v>ET Rodoferroviária &gt; C. Imbuia</v>
      </c>
      <c r="G335" s="104" t="str">
        <f>Cadastro!$G335</f>
        <v>-25.435416</v>
      </c>
      <c r="H335" s="104" t="str">
        <f>Cadastro!$H335</f>
        <v>-49.260875</v>
      </c>
      <c r="I335" s="104" t="str">
        <f>Cadastro!$I335</f>
        <v>copom_DDTQ</v>
      </c>
      <c r="J335" s="104" t="str">
        <f>Cadastro!$J335</f>
        <v>DDTQcopom</v>
      </c>
      <c r="K335" s="104" t="s">
        <v>4536</v>
      </c>
      <c r="L335" s="104" t="s">
        <v>26</v>
      </c>
      <c r="M335" s="104" t="s">
        <v>27</v>
      </c>
      <c r="N335" s="108" t="str">
        <f t="shared" si="1"/>
        <v>URBS 3</v>
      </c>
      <c r="O335" s="109" t="str">
        <f>Cadastro!$O335</f>
        <v>https://monitoramento.pm.pr.gov.br/proxy_image_3/Interface/Cameras/GetJPEGStream?Camera=LD043CFTV01&amp;AuthUser=copom_DDTQ&amp;AuthPass=DDTQcopom&amp;Width=1024&amp;Height=768&amp;Quality=70&amp;FPS=10&amp;ResponseFormat=Text</v>
      </c>
      <c r="P335" s="106">
        <f>Cadastro!$P335</f>
        <v>1</v>
      </c>
    </row>
    <row r="336">
      <c r="A336" s="104" t="str">
        <f>Cadastro!$A336</f>
        <v>URBS 3</v>
      </c>
      <c r="B336" s="104" t="str">
        <f>Cadastro!$B336</f>
        <v>CURITIBA</v>
      </c>
      <c r="C336" s="107" t="str">
        <f>Cadastro!$C336</f>
        <v>https://monitoramento.pm.pr.gov.br/proxy_image_3/</v>
      </c>
      <c r="D336" s="105">
        <f>Cadastro!$D336</f>
        <v>38601</v>
      </c>
      <c r="E336" s="104" t="str">
        <f>Cadastro!$E336</f>
        <v>LD043CFTV02</v>
      </c>
      <c r="F336" s="104" t="str">
        <f>Cadastro!$F336</f>
        <v>ET Rodoferroviária &gt; Centro</v>
      </c>
      <c r="G336" s="104" t="str">
        <f>Cadastro!$G336</f>
        <v>-25.435350</v>
      </c>
      <c r="H336" s="104" t="str">
        <f>Cadastro!$H336</f>
        <v>-49.260845</v>
      </c>
      <c r="I336" s="104" t="str">
        <f>Cadastro!$I336</f>
        <v>copom_DDTQ</v>
      </c>
      <c r="J336" s="104" t="str">
        <f>Cadastro!$J336</f>
        <v>DDTQcopom</v>
      </c>
      <c r="K336" s="104" t="s">
        <v>4536</v>
      </c>
      <c r="L336" s="104" t="s">
        <v>26</v>
      </c>
      <c r="M336" s="104" t="s">
        <v>27</v>
      </c>
      <c r="N336" s="108" t="str">
        <f t="shared" si="1"/>
        <v>URBS 3</v>
      </c>
      <c r="O336" s="109" t="str">
        <f>Cadastro!$O336</f>
        <v>https://monitoramento.pm.pr.gov.br/proxy_image_3/Interface/Cameras/GetJPEGStream?Camera=LD043CFTV02&amp;AuthUser=copom_DDTQ&amp;AuthPass=DDTQcopom&amp;Width=1024&amp;Height=768&amp;Quality=70&amp;FPS=10&amp;ResponseFormat=Text</v>
      </c>
      <c r="P336" s="106">
        <f>Cadastro!$P336</f>
        <v>1</v>
      </c>
    </row>
    <row r="337">
      <c r="A337" s="104" t="str">
        <f>Cadastro!$A337</f>
        <v>URBS 3</v>
      </c>
      <c r="B337" s="104" t="str">
        <f>Cadastro!$B337</f>
        <v>CURITIBA</v>
      </c>
      <c r="C337" s="107" t="str">
        <f>Cadastro!$C337</f>
        <v>https://monitoramento.pm.pr.gov.br/proxy_image_3/</v>
      </c>
      <c r="D337" s="105">
        <f>Cadastro!$D337</f>
        <v>38601</v>
      </c>
      <c r="E337" s="104" t="str">
        <f>Cadastro!$E337</f>
        <v>LD044CFTV01</v>
      </c>
      <c r="F337" s="104" t="str">
        <f>Cadastro!$F337</f>
        <v>ET 29 de Março &gt; Matim Afonso</v>
      </c>
      <c r="G337" s="104" t="str">
        <f>Cadastro!$G337</f>
        <v>-25.428413</v>
      </c>
      <c r="H337" s="104" t="str">
        <f>Cadastro!$H337</f>
        <v>-49.284924</v>
      </c>
      <c r="I337" s="104" t="str">
        <f>Cadastro!$I337</f>
        <v>copom_DDTQ</v>
      </c>
      <c r="J337" s="104" t="str">
        <f>Cadastro!$J337</f>
        <v>DDTQcopom</v>
      </c>
      <c r="K337" s="104" t="s">
        <v>4536</v>
      </c>
      <c r="L337" s="104" t="s">
        <v>26</v>
      </c>
      <c r="M337" s="104" t="s">
        <v>27</v>
      </c>
      <c r="N337" s="108" t="str">
        <f t="shared" si="1"/>
        <v>URBS 3</v>
      </c>
      <c r="O337" s="109" t="str">
        <f>Cadastro!$O337</f>
        <v>https://monitoramento.pm.pr.gov.br/proxy_image_3/Interface/Cameras/GetJPEGStream?Camera=LD044CFTV01&amp;AuthUser=copom_DDTQ&amp;AuthPass=DDTQcopom&amp;Width=1024&amp;Height=768&amp;Quality=70&amp;FPS=10&amp;ResponseFormat=Text</v>
      </c>
      <c r="P337" s="106">
        <f>Cadastro!$P337</f>
        <v>1</v>
      </c>
    </row>
    <row r="338">
      <c r="A338" s="104" t="str">
        <f>Cadastro!$A338</f>
        <v>URBS 3</v>
      </c>
      <c r="B338" s="104" t="str">
        <f>Cadastro!$B338</f>
        <v>CURITIBA</v>
      </c>
      <c r="C338" s="107" t="str">
        <f>Cadastro!$C338</f>
        <v>https://monitoramento.pm.pr.gov.br/proxy_image_3/</v>
      </c>
      <c r="D338" s="105">
        <f>Cadastro!$D338</f>
        <v>38601</v>
      </c>
      <c r="E338" s="104" t="str">
        <f>Cadastro!$E338</f>
        <v>LD044CFTV02</v>
      </c>
      <c r="F338" s="104" t="str">
        <f>Cadastro!$F338</f>
        <v>ET 29 de Março &gt; Brig. Franco</v>
      </c>
      <c r="G338" s="104" t="str">
        <f>Cadastro!$G338</f>
        <v>-25.428147</v>
      </c>
      <c r="H338" s="104" t="str">
        <f>Cadastro!$H338</f>
        <v>-49.284908</v>
      </c>
      <c r="I338" s="104" t="str">
        <f>Cadastro!$I338</f>
        <v>copom_DDTQ</v>
      </c>
      <c r="J338" s="104" t="str">
        <f>Cadastro!$J338</f>
        <v>DDTQcopom</v>
      </c>
      <c r="K338" s="104" t="s">
        <v>4536</v>
      </c>
      <c r="L338" s="104" t="s">
        <v>26</v>
      </c>
      <c r="M338" s="104" t="s">
        <v>27</v>
      </c>
      <c r="N338" s="108" t="str">
        <f t="shared" si="1"/>
        <v>URBS 3</v>
      </c>
      <c r="O338" s="109" t="str">
        <f>Cadastro!$O338</f>
        <v>https://monitoramento.pm.pr.gov.br/proxy_image_3/Interface/Cameras/GetJPEGStream?Camera=LD044CFTV02&amp;AuthUser=copom_DDTQ&amp;AuthPass=DDTQcopom&amp;Width=1024&amp;Height=768&amp;Quality=70&amp;FPS=10&amp;ResponseFormat=Text</v>
      </c>
      <c r="P338" s="106">
        <f>Cadastro!$P338</f>
        <v>1</v>
      </c>
    </row>
    <row r="339">
      <c r="A339" s="104" t="str">
        <f>Cadastro!$A339</f>
        <v>URBS 3</v>
      </c>
      <c r="B339" s="104" t="str">
        <f>Cadastro!$B339</f>
        <v>CURITIBA</v>
      </c>
      <c r="C339" s="107" t="str">
        <f>Cadastro!$C339</f>
        <v>https://monitoramento.pm.pr.gov.br/proxy_image_3/</v>
      </c>
      <c r="D339" s="105">
        <f>Cadastro!$D339</f>
        <v>38601</v>
      </c>
      <c r="E339" s="104" t="str">
        <f>Cadastro!$E339</f>
        <v>LD045CFTV01</v>
      </c>
      <c r="F339" s="104" t="str">
        <f>Cadastro!$F339</f>
        <v>ET 19 de Dezembro &gt; Maracanã</v>
      </c>
      <c r="G339" s="104" t="str">
        <f>Cadastro!$G339</f>
        <v>-25.423192</v>
      </c>
      <c r="H339" s="104" t="str">
        <f>Cadastro!$H339</f>
        <v>-49.269731</v>
      </c>
      <c r="I339" s="104" t="str">
        <f>Cadastro!$I339</f>
        <v>copom_DDTQ</v>
      </c>
      <c r="J339" s="104" t="str">
        <f>Cadastro!$J339</f>
        <v>DDTQcopom</v>
      </c>
      <c r="K339" s="104" t="s">
        <v>4536</v>
      </c>
      <c r="L339" s="104" t="s">
        <v>26</v>
      </c>
      <c r="M339" s="104" t="s">
        <v>27</v>
      </c>
      <c r="N339" s="108" t="str">
        <f t="shared" si="1"/>
        <v>URBS 3</v>
      </c>
      <c r="O339" s="109" t="str">
        <f>Cadastro!$O339</f>
        <v>https://monitoramento.pm.pr.gov.br/proxy_image_3/Interface/Cameras/GetJPEGStream?Camera=LD045CFTV01&amp;AuthUser=copom_DDTQ&amp;AuthPass=DDTQcopom&amp;Width=1024&amp;Height=768&amp;Quality=70&amp;FPS=10&amp;ResponseFormat=Text</v>
      </c>
      <c r="P339" s="106">
        <f>Cadastro!$P339</f>
        <v>1</v>
      </c>
    </row>
    <row r="340">
      <c r="A340" s="104" t="str">
        <f>Cadastro!$A340</f>
        <v>URBS 3</v>
      </c>
      <c r="B340" s="104" t="str">
        <f>Cadastro!$B340</f>
        <v>CURITIBA</v>
      </c>
      <c r="C340" s="107" t="str">
        <f>Cadastro!$C340</f>
        <v>https://monitoramento.pm.pr.gov.br/proxy_image_3/</v>
      </c>
      <c r="D340" s="105">
        <f>Cadastro!$D340</f>
        <v>38601</v>
      </c>
      <c r="E340" s="104" t="str">
        <f>Cadastro!$E340</f>
        <v>LD045CFTV02</v>
      </c>
      <c r="F340" s="104" t="str">
        <f>Cadastro!$F340</f>
        <v>PANE ET 19 de Dezembro &gt; CIC</v>
      </c>
      <c r="G340" s="104" t="str">
        <f>Cadastro!$G340</f>
        <v>-25.423146</v>
      </c>
      <c r="H340" s="104" t="str">
        <f>Cadastro!$H340</f>
        <v>-49.269954</v>
      </c>
      <c r="I340" s="104" t="str">
        <f>Cadastro!$I340</f>
        <v>copom_DDTQ</v>
      </c>
      <c r="J340" s="104" t="str">
        <f>Cadastro!$J340</f>
        <v>DDTQcopom</v>
      </c>
      <c r="K340" s="104" t="s">
        <v>4536</v>
      </c>
      <c r="L340" s="104" t="s">
        <v>26</v>
      </c>
      <c r="M340" s="104" t="s">
        <v>27</v>
      </c>
      <c r="N340" s="108" t="str">
        <f t="shared" si="1"/>
        <v>URBS 3</v>
      </c>
      <c r="O340" s="109" t="str">
        <f>Cadastro!$O340</f>
        <v>https://monitoramento.pm.pr.gov.br/proxy_image_3/Interface/Cameras/GetJPEGStream?Camera=LD045CFTV02&amp;AuthUser=copom_DDTQ&amp;AuthPass=DDTQcopom&amp;Width=1024&amp;Height=768&amp;Quality=70&amp;FPS=10&amp;ResponseFormat=Text</v>
      </c>
      <c r="P340" s="106">
        <f>Cadastro!$P340</f>
        <v>1</v>
      </c>
    </row>
    <row r="341">
      <c r="A341" s="104" t="str">
        <f>Cadastro!$A341</f>
        <v>URBS 3</v>
      </c>
      <c r="B341" s="104" t="str">
        <f>Cadastro!$B341</f>
        <v>CURITIBA</v>
      </c>
      <c r="C341" s="107" t="str">
        <f>Cadastro!$C341</f>
        <v>https://monitoramento.pm.pr.gov.br/proxy_image_3/</v>
      </c>
      <c r="D341" s="105">
        <f>Cadastro!$D341</f>
        <v>38601</v>
      </c>
      <c r="E341" s="104" t="str">
        <f>Cadastro!$E341</f>
        <v>LD046CFTV01</v>
      </c>
      <c r="F341" s="104" t="str">
        <f>Cadastro!$F341</f>
        <v>ET Praça das Mercês &gt; Cabral</v>
      </c>
      <c r="G341" s="104" t="str">
        <f>Cadastro!$G341</f>
        <v>-25.422402</v>
      </c>
      <c r="H341" s="104" t="str">
        <f>Cadastro!$H341</f>
        <v>-49.291658</v>
      </c>
      <c r="I341" s="104" t="str">
        <f>Cadastro!$I341</f>
        <v>copom_DDTQ</v>
      </c>
      <c r="J341" s="104" t="str">
        <f>Cadastro!$J341</f>
        <v>DDTQcopom</v>
      </c>
      <c r="K341" s="104" t="s">
        <v>4536</v>
      </c>
      <c r="L341" s="104" t="s">
        <v>26</v>
      </c>
      <c r="M341" s="104" t="s">
        <v>27</v>
      </c>
      <c r="N341" s="108" t="str">
        <f t="shared" si="1"/>
        <v>URBS 3</v>
      </c>
      <c r="O341" s="109" t="str">
        <f>Cadastro!$O341</f>
        <v>https://monitoramento.pm.pr.gov.br/proxy_image_3/Interface/Cameras/GetJPEGStream?Camera=LD046CFTV01&amp;AuthUser=copom_DDTQ&amp;AuthPass=DDTQcopom&amp;Width=1024&amp;Height=768&amp;Quality=70&amp;FPS=10&amp;ResponseFormat=Text</v>
      </c>
      <c r="P341" s="106">
        <f>Cadastro!$P341</f>
        <v>1</v>
      </c>
    </row>
    <row r="342">
      <c r="A342" s="104" t="str">
        <f>Cadastro!$A342</f>
        <v>URBS 3</v>
      </c>
      <c r="B342" s="104" t="str">
        <f>Cadastro!$B342</f>
        <v>CURITIBA</v>
      </c>
      <c r="C342" s="107" t="str">
        <f>Cadastro!$C342</f>
        <v>https://monitoramento.pm.pr.gov.br/proxy_image_3/</v>
      </c>
      <c r="D342" s="105">
        <f>Cadastro!$D342</f>
        <v>38601</v>
      </c>
      <c r="E342" s="104" t="str">
        <f>Cadastro!$E342</f>
        <v>LD046CFTV02</v>
      </c>
      <c r="F342" s="104" t="str">
        <f>Cadastro!$F342</f>
        <v>ET Praça das Mercês &gt; C. do Siqueira</v>
      </c>
      <c r="G342" s="104" t="str">
        <f>Cadastro!$G342</f>
        <v>-25.422382</v>
      </c>
      <c r="H342" s="104" t="str">
        <f>Cadastro!$H342</f>
        <v>-49.291529</v>
      </c>
      <c r="I342" s="104" t="str">
        <f>Cadastro!$I342</f>
        <v>copom_DDTQ</v>
      </c>
      <c r="J342" s="104" t="str">
        <f>Cadastro!$J342</f>
        <v>DDTQcopom</v>
      </c>
      <c r="K342" s="104" t="s">
        <v>4536</v>
      </c>
      <c r="L342" s="104" t="s">
        <v>26</v>
      </c>
      <c r="M342" s="104" t="s">
        <v>27</v>
      </c>
      <c r="N342" s="108" t="str">
        <f t="shared" si="1"/>
        <v>URBS 3</v>
      </c>
      <c r="O342" s="109" t="str">
        <f>Cadastro!$O342</f>
        <v>https://monitoramento.pm.pr.gov.br/proxy_image_3/Interface/Cameras/GetJPEGStream?Camera=LD046CFTV02&amp;AuthUser=copom_DDTQ&amp;AuthPass=DDTQcopom&amp;Width=1024&amp;Height=768&amp;Quality=70&amp;FPS=10&amp;ResponseFormat=Text</v>
      </c>
      <c r="P342" s="106">
        <f>Cadastro!$P342</f>
        <v>1</v>
      </c>
    </row>
    <row r="343">
      <c r="A343" s="104" t="str">
        <f>Cadastro!$A343</f>
        <v>URBS 3</v>
      </c>
      <c r="B343" s="104" t="str">
        <f>Cadastro!$B343</f>
        <v>CURITIBA</v>
      </c>
      <c r="C343" s="107" t="str">
        <f>Cadastro!$C343</f>
        <v>https://monitoramento.pm.pr.gov.br/proxy_image_3/</v>
      </c>
      <c r="D343" s="105">
        <f>Cadastro!$D343</f>
        <v>38601</v>
      </c>
      <c r="E343" s="104" t="str">
        <f>Cadastro!$E343</f>
        <v>LD047CFTV01</v>
      </c>
      <c r="F343" s="104" t="str">
        <f>Cadastro!$F343</f>
        <v>PANE ET Comendador Fontana &gt; Centro</v>
      </c>
      <c r="G343" s="104" t="str">
        <f>Cadastro!$G343</f>
        <v>-25.419762</v>
      </c>
      <c r="H343" s="104" t="str">
        <f>Cadastro!$H343</f>
        <v>-49.269138</v>
      </c>
      <c r="I343" s="104" t="str">
        <f>Cadastro!$I343</f>
        <v>copom_DDTQ</v>
      </c>
      <c r="J343" s="104" t="str">
        <f>Cadastro!$J343</f>
        <v>DDTQcopom</v>
      </c>
      <c r="K343" s="104" t="s">
        <v>4536</v>
      </c>
      <c r="L343" s="104" t="s">
        <v>26</v>
      </c>
      <c r="M343" s="104" t="s">
        <v>27</v>
      </c>
      <c r="N343" s="108" t="str">
        <f t="shared" si="1"/>
        <v>URBS 3</v>
      </c>
      <c r="O343" s="109" t="str">
        <f>Cadastro!$O343</f>
        <v>https://monitoramento.pm.pr.gov.br/proxy_image_3/Interface/Cameras/GetJPEGStream?Camera=LD047CFTV01&amp;AuthUser=copom_DDTQ&amp;AuthPass=DDTQcopom&amp;Width=1024&amp;Height=768&amp;Quality=70&amp;FPS=10&amp;ResponseFormat=Text</v>
      </c>
      <c r="P343" s="106">
        <f>Cadastro!$P343</f>
        <v>1</v>
      </c>
    </row>
    <row r="344">
      <c r="A344" s="104" t="str">
        <f>Cadastro!$A344</f>
        <v>URBS 3</v>
      </c>
      <c r="B344" s="104" t="str">
        <f>Cadastro!$B344</f>
        <v>CURITIBA</v>
      </c>
      <c r="C344" s="107" t="str">
        <f>Cadastro!$C344</f>
        <v>https://monitoramento.pm.pr.gov.br/proxy_image_3/</v>
      </c>
      <c r="D344" s="105">
        <f>Cadastro!$D344</f>
        <v>38601</v>
      </c>
      <c r="E344" s="104" t="str">
        <f>Cadastro!$E344</f>
        <v>LD047CFTV02</v>
      </c>
      <c r="F344" s="104" t="str">
        <f>Cadastro!$F344</f>
        <v>PANE ET Comendador Fontana &gt; Centro Cívico</v>
      </c>
      <c r="G344" s="104" t="str">
        <f>Cadastro!$G344</f>
        <v>-25.419830</v>
      </c>
      <c r="H344" s="104" t="str">
        <f>Cadastro!$H344</f>
        <v>-49.268925</v>
      </c>
      <c r="I344" s="104" t="str">
        <f>Cadastro!$I344</f>
        <v>copom_DDTQ</v>
      </c>
      <c r="J344" s="104" t="str">
        <f>Cadastro!$J344</f>
        <v>DDTQcopom</v>
      </c>
      <c r="K344" s="104" t="s">
        <v>4536</v>
      </c>
      <c r="L344" s="104" t="s">
        <v>26</v>
      </c>
      <c r="M344" s="104" t="s">
        <v>27</v>
      </c>
      <c r="N344" s="108" t="str">
        <f t="shared" si="1"/>
        <v>URBS 3</v>
      </c>
      <c r="O344" s="109" t="str">
        <f>Cadastro!$O344</f>
        <v>https://monitoramento.pm.pr.gov.br/proxy_image_3/Interface/Cameras/GetJPEGStream?Camera=LD047CFTV02&amp;AuthUser=copom_DDTQ&amp;AuthPass=DDTQcopom&amp;Width=1024&amp;Height=768&amp;Quality=70&amp;FPS=10&amp;ResponseFormat=Text</v>
      </c>
      <c r="P344" s="106">
        <f>Cadastro!$P344</f>
        <v>1</v>
      </c>
    </row>
    <row r="345">
      <c r="A345" s="104" t="str">
        <f>Cadastro!$A345</f>
        <v>URBS 3</v>
      </c>
      <c r="B345" s="104" t="str">
        <f>Cadastro!$B345</f>
        <v>CURITIBA</v>
      </c>
      <c r="C345" s="107" t="str">
        <f>Cadastro!$C345</f>
        <v>https://monitoramento.pm.pr.gov.br/proxy_image_3/</v>
      </c>
      <c r="D345" s="105">
        <f>Cadastro!$D345</f>
        <v>38601</v>
      </c>
      <c r="E345" s="104" t="str">
        <f>Cadastro!$E345</f>
        <v>LD048CFTV01</v>
      </c>
      <c r="F345" s="104" t="str">
        <f>Cadastro!$F345</f>
        <v>ET Prefeitura &gt; C. Cívico</v>
      </c>
      <c r="G345" s="104" t="str">
        <f>Cadastro!$G345</f>
        <v>-25.417900</v>
      </c>
      <c r="H345" s="104" t="str">
        <f>Cadastro!$H345</f>
        <v>-49.268452</v>
      </c>
      <c r="I345" s="104" t="str">
        <f>Cadastro!$I345</f>
        <v>copom_DDTQ</v>
      </c>
      <c r="J345" s="104" t="str">
        <f>Cadastro!$J345</f>
        <v>DDTQcopom</v>
      </c>
      <c r="K345" s="104" t="s">
        <v>4536</v>
      </c>
      <c r="L345" s="104" t="s">
        <v>26</v>
      </c>
      <c r="M345" s="104" t="s">
        <v>27</v>
      </c>
      <c r="N345" s="108" t="str">
        <f t="shared" si="1"/>
        <v>URBS 3</v>
      </c>
      <c r="O345" s="109" t="str">
        <f>Cadastro!$O345</f>
        <v>https://monitoramento.pm.pr.gov.br/proxy_image_3/Interface/Cameras/GetJPEGStream?Camera=LD048CFTV01&amp;AuthUser=copom_DDTQ&amp;AuthPass=DDTQcopom&amp;Width=1024&amp;Height=768&amp;Quality=70&amp;FPS=10&amp;ResponseFormat=Text</v>
      </c>
      <c r="P345" s="106">
        <f>Cadastro!$P345</f>
        <v>1</v>
      </c>
    </row>
    <row r="346">
      <c r="A346" s="104" t="str">
        <f>Cadastro!$A346</f>
        <v>URBS 3</v>
      </c>
      <c r="B346" s="104" t="str">
        <f>Cadastro!$B346</f>
        <v>CURITIBA</v>
      </c>
      <c r="C346" s="107" t="str">
        <f>Cadastro!$C346</f>
        <v>https://monitoramento.pm.pr.gov.br/proxy_image_3/</v>
      </c>
      <c r="D346" s="105">
        <f>Cadastro!$D346</f>
        <v>38601</v>
      </c>
      <c r="E346" s="104" t="str">
        <f>Cadastro!$E346</f>
        <v>LD048CFTV02</v>
      </c>
      <c r="F346" s="104" t="str">
        <f>Cadastro!$F346</f>
        <v>ET Prefeitura &gt;  Boqueirão</v>
      </c>
      <c r="G346" s="104" t="str">
        <f>Cadastro!$G346</f>
        <v>-25.417873</v>
      </c>
      <c r="H346" s="104" t="str">
        <f>Cadastro!$H346</f>
        <v>-49.268705</v>
      </c>
      <c r="I346" s="104" t="str">
        <f>Cadastro!$I346</f>
        <v>copom_DDTQ</v>
      </c>
      <c r="J346" s="104" t="str">
        <f>Cadastro!$J346</f>
        <v>DDTQcopom</v>
      </c>
      <c r="K346" s="104" t="s">
        <v>4536</v>
      </c>
      <c r="L346" s="104" t="s">
        <v>26</v>
      </c>
      <c r="M346" s="104" t="s">
        <v>27</v>
      </c>
      <c r="N346" s="108" t="str">
        <f t="shared" si="1"/>
        <v>URBS 3</v>
      </c>
      <c r="O346" s="109" t="str">
        <f>Cadastro!$O346</f>
        <v>https://monitoramento.pm.pr.gov.br/proxy_image_3/Interface/Cameras/GetJPEGStream?Camera=LD048CFTV02&amp;AuthUser=copom_DDTQ&amp;AuthPass=DDTQcopom&amp;Width=1024&amp;Height=768&amp;Quality=70&amp;FPS=10&amp;ResponseFormat=Text</v>
      </c>
      <c r="P346" s="106">
        <f>Cadastro!$P346</f>
        <v>1</v>
      </c>
    </row>
    <row r="347">
      <c r="A347" s="104" t="str">
        <f>Cadastro!$A347</f>
        <v>URBS 3</v>
      </c>
      <c r="B347" s="104" t="str">
        <f>Cadastro!$B347</f>
        <v>CURITIBA</v>
      </c>
      <c r="C347" s="107" t="str">
        <f>Cadastro!$C347</f>
        <v>https://monitoramento.pm.pr.gov.br/proxy_image_3/</v>
      </c>
      <c r="D347" s="105">
        <f>Cadastro!$D347</f>
        <v>38601</v>
      </c>
      <c r="E347" s="104" t="str">
        <f>Cadastro!$E347</f>
        <v>LD049CFTV01</v>
      </c>
      <c r="F347" s="104" t="str">
        <f>Cadastro!$F347</f>
        <v>PANE ET Wstphalen&gt; CIC</v>
      </c>
      <c r="G347" s="104" t="str">
        <f>Cadastro!$G347</f>
        <v>-25.436488</v>
      </c>
      <c r="H347" s="104" t="str">
        <f>Cadastro!$H347</f>
        <v>-49.271037</v>
      </c>
      <c r="I347" s="104" t="str">
        <f>Cadastro!$I347</f>
        <v>copom_DDTQ</v>
      </c>
      <c r="J347" s="104" t="str">
        <f>Cadastro!$J347</f>
        <v>DDTQcopom</v>
      </c>
      <c r="K347" s="104" t="s">
        <v>4536</v>
      </c>
      <c r="L347" s="104" t="s">
        <v>26</v>
      </c>
      <c r="M347" s="104" t="s">
        <v>27</v>
      </c>
      <c r="N347" s="108" t="str">
        <f t="shared" si="1"/>
        <v>URBS 3</v>
      </c>
      <c r="O347" s="109" t="str">
        <f>Cadastro!$O347</f>
        <v>https://monitoramento.pm.pr.gov.br/proxy_image_3/Interface/Cameras/GetJPEGStream?Camera=LD049CFTV01&amp;AuthUser=copom_DDTQ&amp;AuthPass=DDTQcopom&amp;Width=1024&amp;Height=768&amp;Quality=70&amp;FPS=10&amp;ResponseFormat=Text</v>
      </c>
      <c r="P347" s="106">
        <f>Cadastro!$P347</f>
        <v>1</v>
      </c>
    </row>
    <row r="348">
      <c r="A348" s="104" t="str">
        <f>Cadastro!$A348</f>
        <v>URBS 3</v>
      </c>
      <c r="B348" s="104" t="str">
        <f>Cadastro!$B348</f>
        <v>CURITIBA</v>
      </c>
      <c r="C348" s="107" t="str">
        <f>Cadastro!$C348</f>
        <v>https://monitoramento.pm.pr.gov.br/proxy_image_3/</v>
      </c>
      <c r="D348" s="105">
        <f>Cadastro!$D348</f>
        <v>38601</v>
      </c>
      <c r="E348" s="104" t="str">
        <f>Cadastro!$E348</f>
        <v>LD049CFTV03</v>
      </c>
      <c r="F348" s="104" t="str">
        <f>Cadastro!$F348</f>
        <v>PANE ET Wstphalen&gt; Araucária</v>
      </c>
      <c r="G348" s="104" t="str">
        <f>Cadastro!$G348</f>
        <v>-25.436936</v>
      </c>
      <c r="H348" s="104" t="str">
        <f>Cadastro!$H348</f>
        <v>-49.270838</v>
      </c>
      <c r="I348" s="104" t="str">
        <f>Cadastro!$I348</f>
        <v>copom_DDTQ</v>
      </c>
      <c r="J348" s="104" t="str">
        <f>Cadastro!$J348</f>
        <v>DDTQcopom</v>
      </c>
      <c r="K348" s="104" t="s">
        <v>4536</v>
      </c>
      <c r="L348" s="104" t="s">
        <v>26</v>
      </c>
      <c r="M348" s="104" t="s">
        <v>27</v>
      </c>
      <c r="N348" s="108" t="str">
        <f t="shared" si="1"/>
        <v>URBS 3</v>
      </c>
      <c r="O348" s="109" t="str">
        <f>Cadastro!$O348</f>
        <v>https://monitoramento.pm.pr.gov.br/proxy_image_3/Interface/Cameras/GetJPEGStream?Camera=LD049CFTV03&amp;AuthUser=copom_DDTQ&amp;AuthPass=DDTQcopom&amp;Width=1024&amp;Height=768&amp;Quality=70&amp;FPS=10&amp;ResponseFormat=Text</v>
      </c>
      <c r="P348" s="106">
        <f>Cadastro!$P348</f>
        <v>1</v>
      </c>
    </row>
    <row r="349">
      <c r="A349" s="104" t="str">
        <f>Cadastro!$A349</f>
        <v>URBS 3</v>
      </c>
      <c r="B349" s="104" t="str">
        <f>Cadastro!$B349</f>
        <v>CURITIBA</v>
      </c>
      <c r="C349" s="107" t="str">
        <f>Cadastro!$C349</f>
        <v>https://monitoramento.pm.pr.gov.br/proxy_image_3/</v>
      </c>
      <c r="D349" s="105">
        <f>Cadastro!$D349</f>
        <v>38601</v>
      </c>
      <c r="E349" s="104" t="str">
        <f>Cadastro!$E349</f>
        <v>TE001CFTV05</v>
      </c>
      <c r="F349" s="104" t="str">
        <f>Cadastro!$F349</f>
        <v>Terminal Bairro Alto &gt; Tubo</v>
      </c>
      <c r="G349" s="104" t="str">
        <f>Cadastro!$G349</f>
        <v>-25.413150</v>
      </c>
      <c r="H349" s="104" t="str">
        <f>Cadastro!$H349</f>
        <v>-49.205730</v>
      </c>
      <c r="I349" s="104" t="str">
        <f>Cadastro!$I349</f>
        <v>copom_DDTQ</v>
      </c>
      <c r="J349" s="104" t="str">
        <f>Cadastro!$J349</f>
        <v>DDTQcopom</v>
      </c>
      <c r="K349" s="104" t="s">
        <v>4536</v>
      </c>
      <c r="L349" s="104" t="s">
        <v>26</v>
      </c>
      <c r="M349" s="104" t="s">
        <v>27</v>
      </c>
      <c r="N349" s="108" t="str">
        <f t="shared" si="1"/>
        <v>URBS 3</v>
      </c>
      <c r="O349" s="109" t="str">
        <f>Cadastro!$O349</f>
        <v>https://monitoramento.pm.pr.gov.br/proxy_image_3/Interface/Cameras/GetJPEGStream?Camera=TE001CFTV05&amp;AuthUser=copom_DDTQ&amp;AuthPass=DDTQcopom&amp;Width=1024&amp;Height=768&amp;Quality=70&amp;FPS=10&amp;ResponseFormat=Text</v>
      </c>
      <c r="P349" s="106">
        <f>Cadastro!$P349</f>
        <v>1</v>
      </c>
    </row>
    <row r="350">
      <c r="A350" s="104" t="str">
        <f>Cadastro!$A350</f>
        <v>URBS 3</v>
      </c>
      <c r="B350" s="104" t="str">
        <f>Cadastro!$B350</f>
        <v>CURITIBA</v>
      </c>
      <c r="C350" s="107" t="str">
        <f>Cadastro!$C350</f>
        <v>https://monitoramento.pm.pr.gov.br/proxy_image_3/</v>
      </c>
      <c r="D350" s="105">
        <f>Cadastro!$D350</f>
        <v>38601</v>
      </c>
      <c r="E350" s="104" t="str">
        <f>Cadastro!$E350</f>
        <v>TE002CFTV01</v>
      </c>
      <c r="F350" s="104" t="str">
        <f>Cadastro!$F350</f>
        <v>Terminal Barreirinha &gt; Santa Terezinha</v>
      </c>
      <c r="G350" s="104" t="str">
        <f>Cadastro!$G350</f>
        <v>-25.377576</v>
      </c>
      <c r="H350" s="104" t="str">
        <f>Cadastro!$H350</f>
        <v>-49.262404</v>
      </c>
      <c r="I350" s="104" t="str">
        <f>Cadastro!$I350</f>
        <v>copom_DDTQ</v>
      </c>
      <c r="J350" s="104" t="str">
        <f>Cadastro!$J350</f>
        <v>DDTQcopom</v>
      </c>
      <c r="K350" s="104" t="s">
        <v>4536</v>
      </c>
      <c r="L350" s="104" t="s">
        <v>26</v>
      </c>
      <c r="M350" s="104" t="s">
        <v>27</v>
      </c>
      <c r="N350" s="108" t="str">
        <f t="shared" si="1"/>
        <v>URBS 3</v>
      </c>
      <c r="O350" s="109" t="str">
        <f>Cadastro!$O350</f>
        <v>https://monitoramento.pm.pr.gov.br/proxy_image_3/Interface/Cameras/GetJPEGStream?Camera=TE002CFTV01&amp;AuthUser=copom_DDTQ&amp;AuthPass=DDTQcopom&amp;Width=1024&amp;Height=768&amp;Quality=70&amp;FPS=10&amp;ResponseFormat=Text</v>
      </c>
      <c r="P350" s="106">
        <f>Cadastro!$P350</f>
        <v>1</v>
      </c>
    </row>
    <row r="351">
      <c r="A351" s="104" t="str">
        <f>Cadastro!$A351</f>
        <v>URBS 3</v>
      </c>
      <c r="B351" s="104" t="str">
        <f>Cadastro!$B351</f>
        <v>CURITIBA</v>
      </c>
      <c r="C351" s="107" t="str">
        <f>Cadastro!$C351</f>
        <v>https://monitoramento.pm.pr.gov.br/proxy_image_3/</v>
      </c>
      <c r="D351" s="105">
        <f>Cadastro!$D351</f>
        <v>38601</v>
      </c>
      <c r="E351" s="104" t="str">
        <f>Cadastro!$E351</f>
        <v>TE002CFTV02</v>
      </c>
      <c r="F351" s="104" t="str">
        <f>Cadastro!$F351</f>
        <v>Terminal Barreirinha &gt; ET Tamandare</v>
      </c>
      <c r="G351" s="104" t="str">
        <f>Cadastro!$G351</f>
        <v>-25.377803</v>
      </c>
      <c r="H351" s="104" t="str">
        <f>Cadastro!$H351</f>
        <v>-49.262372</v>
      </c>
      <c r="I351" s="104" t="str">
        <f>Cadastro!$I351</f>
        <v>copom_DDTQ</v>
      </c>
      <c r="J351" s="104" t="str">
        <f>Cadastro!$J351</f>
        <v>DDTQcopom</v>
      </c>
      <c r="K351" s="104" t="s">
        <v>4536</v>
      </c>
      <c r="L351" s="104" t="s">
        <v>26</v>
      </c>
      <c r="M351" s="104" t="s">
        <v>27</v>
      </c>
      <c r="N351" s="108" t="str">
        <f t="shared" si="1"/>
        <v>URBS 3</v>
      </c>
      <c r="O351" s="109" t="str">
        <f>Cadastro!$O351</f>
        <v>https://monitoramento.pm.pr.gov.br/proxy_image_3/Interface/Cameras/GetJPEGStream?Camera=TE002CFTV02&amp;AuthUser=copom_DDTQ&amp;AuthPass=DDTQcopom&amp;Width=1024&amp;Height=768&amp;Quality=70&amp;FPS=10&amp;ResponseFormat=Text</v>
      </c>
      <c r="P351" s="106">
        <f>Cadastro!$P351</f>
        <v>1</v>
      </c>
    </row>
    <row r="352">
      <c r="A352" s="104" t="str">
        <f>Cadastro!$A352</f>
        <v>URBS 3</v>
      </c>
      <c r="B352" s="104" t="str">
        <f>Cadastro!$B352</f>
        <v>CURITIBA</v>
      </c>
      <c r="C352" s="107" t="str">
        <f>Cadastro!$C352</f>
        <v>https://monitoramento.pm.pr.gov.br/proxy_image_3/</v>
      </c>
      <c r="D352" s="105">
        <f>Cadastro!$D352</f>
        <v>38601</v>
      </c>
      <c r="E352" s="104" t="str">
        <f>Cadastro!$E352</f>
        <v>TE002CFTV03</v>
      </c>
      <c r="F352" s="104" t="str">
        <f>Cadastro!$F352</f>
        <v>Terminal Barreirinha &gt; Barreirinha</v>
      </c>
      <c r="G352" s="104" t="str">
        <f>Cadastro!$G352</f>
        <v>-25.377434</v>
      </c>
      <c r="H352" s="104" t="str">
        <f>Cadastro!$H352</f>
        <v>-49.262250</v>
      </c>
      <c r="I352" s="104" t="str">
        <f>Cadastro!$I352</f>
        <v>copom_DDTQ</v>
      </c>
      <c r="J352" s="104" t="str">
        <f>Cadastro!$J352</f>
        <v>DDTQcopom</v>
      </c>
      <c r="K352" s="104" t="s">
        <v>4536</v>
      </c>
      <c r="L352" s="104" t="s">
        <v>26</v>
      </c>
      <c r="M352" s="104" t="s">
        <v>27</v>
      </c>
      <c r="N352" s="108" t="str">
        <f t="shared" si="1"/>
        <v>URBS 3</v>
      </c>
      <c r="O352" s="109" t="str">
        <f>Cadastro!$O352</f>
        <v>https://monitoramento.pm.pr.gov.br/proxy_image_3/Interface/Cameras/GetJPEGStream?Camera=TE002CFTV03&amp;AuthUser=copom_DDTQ&amp;AuthPass=DDTQcopom&amp;Width=1024&amp;Height=768&amp;Quality=70&amp;FPS=10&amp;ResponseFormat=Text</v>
      </c>
      <c r="P352" s="106">
        <f>Cadastro!$P352</f>
        <v>1</v>
      </c>
    </row>
    <row r="353">
      <c r="A353" s="104" t="str">
        <f>Cadastro!$A353</f>
        <v>URBS 3</v>
      </c>
      <c r="B353" s="104" t="str">
        <f>Cadastro!$B353</f>
        <v>CURITIBA</v>
      </c>
      <c r="C353" s="107" t="str">
        <f>Cadastro!$C353</f>
        <v>https://monitoramento.pm.pr.gov.br/proxy_image_3/</v>
      </c>
      <c r="D353" s="105">
        <f>Cadastro!$D353</f>
        <v>38601</v>
      </c>
      <c r="E353" s="104" t="str">
        <f>Cadastro!$E353</f>
        <v>TE002CFTV04</v>
      </c>
      <c r="F353" s="104" t="str">
        <f>Cadastro!$F353</f>
        <v>Terminal Barreirinha &gt; Cabral Tamandare</v>
      </c>
      <c r="G353" s="104" t="str">
        <f>Cadastro!$G353</f>
        <v>-25.377557</v>
      </c>
      <c r="H353" s="104" t="str">
        <f>Cadastro!$H353</f>
        <v>-49.262482</v>
      </c>
      <c r="I353" s="104" t="str">
        <f>Cadastro!$I353</f>
        <v>copom_DDTQ</v>
      </c>
      <c r="J353" s="104" t="str">
        <f>Cadastro!$J353</f>
        <v>DDTQcopom</v>
      </c>
      <c r="K353" s="104" t="s">
        <v>4536</v>
      </c>
      <c r="L353" s="104" t="s">
        <v>26</v>
      </c>
      <c r="M353" s="104" t="s">
        <v>27</v>
      </c>
      <c r="N353" s="108" t="str">
        <f t="shared" si="1"/>
        <v>URBS 3</v>
      </c>
      <c r="O353" s="109" t="str">
        <f>Cadastro!$O353</f>
        <v>https://monitoramento.pm.pr.gov.br/proxy_image_3/Interface/Cameras/GetJPEGStream?Camera=TE002CFTV04&amp;AuthUser=copom_DDTQ&amp;AuthPass=DDTQcopom&amp;Width=1024&amp;Height=768&amp;Quality=70&amp;FPS=10&amp;ResponseFormat=Text</v>
      </c>
      <c r="P353" s="106">
        <f>Cadastro!$P353</f>
        <v>1</v>
      </c>
    </row>
    <row r="354">
      <c r="A354" s="104" t="str">
        <f>Cadastro!$A354</f>
        <v>URBS 3</v>
      </c>
      <c r="B354" s="104" t="str">
        <f>Cadastro!$B354</f>
        <v>CURITIBA</v>
      </c>
      <c r="C354" s="107" t="str">
        <f>Cadastro!$C354</f>
        <v>https://monitoramento.pm.pr.gov.br/proxy_image_3/</v>
      </c>
      <c r="D354" s="105">
        <f>Cadastro!$D354</f>
        <v>38601</v>
      </c>
      <c r="E354" s="104" t="str">
        <f>Cadastro!$E354</f>
        <v>TE002CFTV05</v>
      </c>
      <c r="F354" s="104" t="str">
        <f>Cadastro!$F354</f>
        <v>Terminal Barreirinha &gt; Boa Vista</v>
      </c>
      <c r="G354" s="104" t="str">
        <f>Cadastro!$G354</f>
        <v>-25.377294</v>
      </c>
      <c r="H354" s="104" t="str">
        <f>Cadastro!$H354</f>
        <v>-49.262511</v>
      </c>
      <c r="I354" s="104" t="str">
        <f>Cadastro!$I354</f>
        <v>copom_DDTQ</v>
      </c>
      <c r="J354" s="104" t="str">
        <f>Cadastro!$J354</f>
        <v>DDTQcopom</v>
      </c>
      <c r="K354" s="104" t="s">
        <v>4536</v>
      </c>
      <c r="L354" s="104" t="s">
        <v>26</v>
      </c>
      <c r="M354" s="104" t="s">
        <v>27</v>
      </c>
      <c r="N354" s="108" t="str">
        <f t="shared" si="1"/>
        <v>URBS 3</v>
      </c>
      <c r="O354" s="109" t="str">
        <f>Cadastro!$O354</f>
        <v>https://monitoramento.pm.pr.gov.br/proxy_image_3/Interface/Cameras/GetJPEGStream?Camera=TE002CFTV05&amp;AuthUser=copom_DDTQ&amp;AuthPass=DDTQcopom&amp;Width=1024&amp;Height=768&amp;Quality=70&amp;FPS=10&amp;ResponseFormat=Text</v>
      </c>
      <c r="P354" s="106">
        <f>Cadastro!$P354</f>
        <v>1</v>
      </c>
    </row>
    <row r="355">
      <c r="A355" s="104" t="str">
        <f>Cadastro!$A355</f>
        <v>URBS 3</v>
      </c>
      <c r="B355" s="104" t="str">
        <f>Cadastro!$B355</f>
        <v>CURITIBA</v>
      </c>
      <c r="C355" s="107" t="str">
        <f>Cadastro!$C355</f>
        <v>https://monitoramento.pm.pr.gov.br/proxy_image_3/</v>
      </c>
      <c r="D355" s="105">
        <f>Cadastro!$D355</f>
        <v>38601</v>
      </c>
      <c r="E355" s="104" t="str">
        <f>Cadastro!$E355</f>
        <v>TE002CFTV06</v>
      </c>
      <c r="F355" s="104" t="str">
        <f>Cadastro!$F355</f>
        <v>Terminal Barreirinha &gt; Guadalupe</v>
      </c>
      <c r="G355" s="104" t="str">
        <f>Cadastro!$G355</f>
        <v>-25.377147</v>
      </c>
      <c r="H355" s="104" t="str">
        <f>Cadastro!$H355</f>
        <v>-49.262492</v>
      </c>
      <c r="I355" s="104" t="str">
        <f>Cadastro!$I355</f>
        <v>copom_DDTQ</v>
      </c>
      <c r="J355" s="104" t="str">
        <f>Cadastro!$J355</f>
        <v>DDTQcopom</v>
      </c>
      <c r="K355" s="104" t="s">
        <v>4536</v>
      </c>
      <c r="L355" s="104" t="s">
        <v>26</v>
      </c>
      <c r="M355" s="104" t="s">
        <v>27</v>
      </c>
      <c r="N355" s="108" t="str">
        <f t="shared" si="1"/>
        <v>URBS 3</v>
      </c>
      <c r="O355" s="109" t="str">
        <f>Cadastro!$O355</f>
        <v>https://monitoramento.pm.pr.gov.br/proxy_image_3/Interface/Cameras/GetJPEGStream?Camera=TE002CFTV06&amp;AuthUser=copom_DDTQ&amp;AuthPass=DDTQcopom&amp;Width=1024&amp;Height=768&amp;Quality=70&amp;FPS=10&amp;ResponseFormat=Text</v>
      </c>
      <c r="P355" s="106">
        <f>Cadastro!$P355</f>
        <v>1</v>
      </c>
    </row>
    <row r="356">
      <c r="A356" s="104" t="str">
        <f>Cadastro!$A356</f>
        <v>URBS 3</v>
      </c>
      <c r="B356" s="104" t="str">
        <f>Cadastro!$B356</f>
        <v>CURITIBA</v>
      </c>
      <c r="C356" s="107" t="str">
        <f>Cadastro!$C356</f>
        <v>https://monitoramento.pm.pr.gov.br/proxy_image_3/</v>
      </c>
      <c r="D356" s="105">
        <f>Cadastro!$D356</f>
        <v>38601</v>
      </c>
      <c r="E356" s="104" t="str">
        <f>Cadastro!$E356</f>
        <v>TE003CFTV01</v>
      </c>
      <c r="F356" s="104" t="str">
        <f>Cadastro!$F356</f>
        <v>PANE Terminal Boa Vista&gt; Vila Esperança</v>
      </c>
      <c r="G356" s="104" t="str">
        <f>Cadastro!$G356</f>
        <v>-25.393239</v>
      </c>
      <c r="H356" s="104" t="str">
        <f>Cadastro!$H356</f>
        <v>-49.241084</v>
      </c>
      <c r="I356" s="104" t="str">
        <f>Cadastro!$I356</f>
        <v>copom_DDTQ</v>
      </c>
      <c r="J356" s="104" t="str">
        <f>Cadastro!$J356</f>
        <v>DDTQcopom</v>
      </c>
      <c r="K356" s="104" t="s">
        <v>4536</v>
      </c>
      <c r="L356" s="104" t="s">
        <v>26</v>
      </c>
      <c r="M356" s="104" t="s">
        <v>27</v>
      </c>
      <c r="N356" s="108" t="str">
        <f t="shared" si="1"/>
        <v>URBS 3</v>
      </c>
      <c r="O356" s="109" t="str">
        <f>Cadastro!$O356</f>
        <v>https://monitoramento.pm.pr.gov.br/proxy_image_3/Interface/Cameras/GetJPEGStream?Camera=TE003CFTV01&amp;AuthUser=copom_DDTQ&amp;AuthPass=DDTQcopom&amp;Width=1024&amp;Height=768&amp;Quality=70&amp;FPS=10&amp;ResponseFormat=Text</v>
      </c>
      <c r="P356" s="106">
        <f>Cadastro!$P356</f>
        <v>1</v>
      </c>
    </row>
    <row r="357">
      <c r="A357" s="104" t="str">
        <f>Cadastro!$A357</f>
        <v>URBS 3</v>
      </c>
      <c r="B357" s="104" t="str">
        <f>Cadastro!$B357</f>
        <v>CURITIBA</v>
      </c>
      <c r="C357" s="107" t="str">
        <f>Cadastro!$C357</f>
        <v>https://monitoramento.pm.pr.gov.br/proxy_image_3/</v>
      </c>
      <c r="D357" s="105">
        <f>Cadastro!$D357</f>
        <v>38601</v>
      </c>
      <c r="E357" s="104" t="str">
        <f>Cadastro!$E357</f>
        <v>TE003CFTV02</v>
      </c>
      <c r="F357" s="104" t="str">
        <f>Cadastro!$F357</f>
        <v>PANE Terminal Boa Vista&gt;B, Alto BoaVista</v>
      </c>
      <c r="G357" s="104" t="str">
        <f>Cadastro!$G357</f>
        <v>-25.393324</v>
      </c>
      <c r="H357" s="104" t="str">
        <f>Cadastro!$H357</f>
        <v>-49.240952</v>
      </c>
      <c r="I357" s="104" t="str">
        <f>Cadastro!$I357</f>
        <v>copom_DDTQ</v>
      </c>
      <c r="J357" s="104" t="str">
        <f>Cadastro!$J357</f>
        <v>DDTQcopom</v>
      </c>
      <c r="K357" s="104" t="s">
        <v>4536</v>
      </c>
      <c r="L357" s="104" t="s">
        <v>26</v>
      </c>
      <c r="M357" s="104" t="s">
        <v>27</v>
      </c>
      <c r="N357" s="108" t="str">
        <f t="shared" si="1"/>
        <v>URBS 3</v>
      </c>
      <c r="O357" s="109" t="str">
        <f>Cadastro!$O357</f>
        <v>https://monitoramento.pm.pr.gov.br/proxy_image_3/Interface/Cameras/GetJPEGStream?Camera=TE003CFTV02&amp;AuthUser=copom_DDTQ&amp;AuthPass=DDTQcopom&amp;Width=1024&amp;Height=768&amp;Quality=70&amp;FPS=10&amp;ResponseFormat=Text</v>
      </c>
      <c r="P357" s="106">
        <f>Cadastro!$P357</f>
        <v>1</v>
      </c>
    </row>
    <row r="358">
      <c r="A358" s="104" t="str">
        <f>Cadastro!$A358</f>
        <v>URBS 3</v>
      </c>
      <c r="B358" s="104" t="str">
        <f>Cadastro!$B358</f>
        <v>CURITIBA</v>
      </c>
      <c r="C358" s="107" t="str">
        <f>Cadastro!$C358</f>
        <v>https://monitoramento.pm.pr.gov.br/proxy_image_3/</v>
      </c>
      <c r="D358" s="105">
        <f>Cadastro!$D358</f>
        <v>38601</v>
      </c>
      <c r="E358" s="104" t="str">
        <f>Cadastro!$E358</f>
        <v>TE003CFTV03</v>
      </c>
      <c r="F358" s="104" t="str">
        <f>Cadastro!$F358</f>
        <v>PANE Terminal Boa Vista&gt; Expresso &gt; Centro</v>
      </c>
      <c r="G358" s="104" t="str">
        <f>Cadastro!$G358</f>
        <v>-25.393520</v>
      </c>
      <c r="H358" s="104" t="str">
        <f>Cadastro!$H358</f>
        <v>-49.240659</v>
      </c>
      <c r="I358" s="104" t="str">
        <f>Cadastro!$I358</f>
        <v>copom_DDTQ</v>
      </c>
      <c r="J358" s="104" t="str">
        <f>Cadastro!$J358</f>
        <v>DDTQcopom</v>
      </c>
      <c r="K358" s="104" t="s">
        <v>4536</v>
      </c>
      <c r="L358" s="104" t="s">
        <v>26</v>
      </c>
      <c r="M358" s="104" t="s">
        <v>27</v>
      </c>
      <c r="N358" s="108" t="str">
        <f t="shared" si="1"/>
        <v>URBS 3</v>
      </c>
      <c r="O358" s="109" t="str">
        <f>Cadastro!$O358</f>
        <v>https://monitoramento.pm.pr.gov.br/proxy_image_3/Interface/Cameras/GetJPEGStream?Camera=TE003CFTV03&amp;AuthUser=copom_DDTQ&amp;AuthPass=DDTQcopom&amp;Width=1024&amp;Height=768&amp;Quality=70&amp;FPS=10&amp;ResponseFormat=Text</v>
      </c>
      <c r="P358" s="106">
        <f>Cadastro!$P358</f>
        <v>1</v>
      </c>
    </row>
    <row r="359">
      <c r="A359" s="104" t="str">
        <f>Cadastro!$A359</f>
        <v>URBS 3</v>
      </c>
      <c r="B359" s="104" t="str">
        <f>Cadastro!$B359</f>
        <v>CURITIBA</v>
      </c>
      <c r="C359" s="107" t="str">
        <f>Cadastro!$C359</f>
        <v>https://monitoramento.pm.pr.gov.br/proxy_image_3/</v>
      </c>
      <c r="D359" s="105">
        <f>Cadastro!$D359</f>
        <v>38601</v>
      </c>
      <c r="E359" s="104" t="str">
        <f>Cadastro!$E359</f>
        <v>TE003CFTV04</v>
      </c>
      <c r="F359" s="104" t="str">
        <f>Cadastro!$F359</f>
        <v>Terminal Boa Vista&gt; Expresso &gt; Boa Vista</v>
      </c>
      <c r="G359" s="104" t="str">
        <f>Cadastro!$G359</f>
        <v>-25.393587</v>
      </c>
      <c r="H359" s="104" t="str">
        <f>Cadastro!$H359</f>
        <v>-49.240585</v>
      </c>
      <c r="I359" s="104" t="str">
        <f>Cadastro!$I359</f>
        <v>copom_DDTQ</v>
      </c>
      <c r="J359" s="104" t="str">
        <f>Cadastro!$J359</f>
        <v>DDTQcopom</v>
      </c>
      <c r="K359" s="104" t="s">
        <v>4536</v>
      </c>
      <c r="L359" s="104" t="s">
        <v>26</v>
      </c>
      <c r="M359" s="104" t="s">
        <v>27</v>
      </c>
      <c r="N359" s="108" t="str">
        <f t="shared" si="1"/>
        <v>URBS 3</v>
      </c>
      <c r="O359" s="109" t="str">
        <f>Cadastro!$O359</f>
        <v>https://monitoramento.pm.pr.gov.br/proxy_image_3/Interface/Cameras/GetJPEGStream?Camera=TE003CFTV04&amp;AuthUser=copom_DDTQ&amp;AuthPass=DDTQcopom&amp;Width=1024&amp;Height=768&amp;Quality=70&amp;FPS=10&amp;ResponseFormat=Text</v>
      </c>
      <c r="P359" s="106">
        <f>Cadastro!$P359</f>
        <v>1</v>
      </c>
    </row>
    <row r="360">
      <c r="A360" s="104" t="str">
        <f>Cadastro!$A360</f>
        <v>URBS 3</v>
      </c>
      <c r="B360" s="104" t="str">
        <f>Cadastro!$B360</f>
        <v>CURITIBA</v>
      </c>
      <c r="C360" s="107" t="str">
        <f>Cadastro!$C360</f>
        <v>https://monitoramento.pm.pr.gov.br/proxy_image_3/</v>
      </c>
      <c r="D360" s="105">
        <f>Cadastro!$D360</f>
        <v>38601</v>
      </c>
      <c r="E360" s="104" t="str">
        <f>Cadastro!$E360</f>
        <v>TE003CFTV05</v>
      </c>
      <c r="F360" s="104" t="str">
        <f>Cadastro!$F360</f>
        <v>Terminal Boa Vista&gt; ET Santa Cândida &gt; Pinheirinho</v>
      </c>
      <c r="G360" s="104" t="str">
        <f>Cadastro!$G360</f>
        <v>-25.393587</v>
      </c>
      <c r="H360" s="104" t="str">
        <f>Cadastro!$H360</f>
        <v>-49.240585</v>
      </c>
      <c r="I360" s="104" t="str">
        <f>Cadastro!$I360</f>
        <v>copom_DDTQ</v>
      </c>
      <c r="J360" s="104" t="str">
        <f>Cadastro!$J360</f>
        <v>DDTQcopom</v>
      </c>
      <c r="K360" s="104" t="s">
        <v>4536</v>
      </c>
      <c r="L360" s="104" t="s">
        <v>26</v>
      </c>
      <c r="M360" s="104" t="s">
        <v>27</v>
      </c>
      <c r="N360" s="108" t="str">
        <f t="shared" si="1"/>
        <v>URBS 3</v>
      </c>
      <c r="O360" s="109" t="str">
        <f>Cadastro!$O360</f>
        <v>https://monitoramento.pm.pr.gov.br/proxy_image_3/Interface/Cameras/GetJPEGStream?Camera=TE003CFTV05&amp;AuthUser=copom_DDTQ&amp;AuthPass=DDTQcopom&amp;Width=1024&amp;Height=768&amp;Quality=70&amp;FPS=10&amp;ResponseFormat=Text</v>
      </c>
      <c r="P360" s="106">
        <f>Cadastro!$P360</f>
        <v>1</v>
      </c>
    </row>
    <row r="361">
      <c r="A361" s="104" t="str">
        <f>Cadastro!$A361</f>
        <v>URBS 3</v>
      </c>
      <c r="B361" s="104" t="str">
        <f>Cadastro!$B361</f>
        <v>CURITIBA</v>
      </c>
      <c r="C361" s="107" t="str">
        <f>Cadastro!$C361</f>
        <v>https://monitoramento.pm.pr.gov.br/proxy_image_3/</v>
      </c>
      <c r="D361" s="105">
        <f>Cadastro!$D361</f>
        <v>38601</v>
      </c>
      <c r="E361" s="104" t="str">
        <f>Cadastro!$E361</f>
        <v>TE003CFTV06</v>
      </c>
      <c r="F361" s="104" t="str">
        <f>Cadastro!$F361</f>
        <v>Terminal Boa Vista&gt; ET Pinheirinho &gt; Santa Candida</v>
      </c>
      <c r="G361" s="104" t="str">
        <f>Cadastro!$G361</f>
        <v>-25.393403</v>
      </c>
      <c r="H361" s="104" t="str">
        <f>Cadastro!$H361</f>
        <v>-49.240377</v>
      </c>
      <c r="I361" s="104" t="str">
        <f>Cadastro!$I361</f>
        <v>copom_DDTQ</v>
      </c>
      <c r="J361" s="104" t="str">
        <f>Cadastro!$J361</f>
        <v>DDTQcopom</v>
      </c>
      <c r="K361" s="104" t="s">
        <v>4536</v>
      </c>
      <c r="L361" s="104" t="s">
        <v>26</v>
      </c>
      <c r="M361" s="104" t="s">
        <v>27</v>
      </c>
      <c r="N361" s="108" t="str">
        <f t="shared" si="1"/>
        <v>URBS 3</v>
      </c>
      <c r="O361" s="109" t="str">
        <f>Cadastro!$O361</f>
        <v>https://monitoramento.pm.pr.gov.br/proxy_image_3/Interface/Cameras/GetJPEGStream?Camera=TE003CFTV06&amp;AuthUser=copom_DDTQ&amp;AuthPass=DDTQcopom&amp;Width=1024&amp;Height=768&amp;Quality=70&amp;FPS=10&amp;ResponseFormat=Text</v>
      </c>
      <c r="P361" s="106">
        <f>Cadastro!$P361</f>
        <v>1</v>
      </c>
    </row>
    <row r="362">
      <c r="A362" s="104" t="str">
        <f>Cadastro!$A362</f>
        <v>URBS 3</v>
      </c>
      <c r="B362" s="104" t="str">
        <f>Cadastro!$B362</f>
        <v>CURITIBA</v>
      </c>
      <c r="C362" s="107" t="str">
        <f>Cadastro!$C362</f>
        <v>https://monitoramento.pm.pr.gov.br/proxy_image_3/</v>
      </c>
      <c r="D362" s="105">
        <f>Cadastro!$D362</f>
        <v>38601</v>
      </c>
      <c r="E362" s="104" t="str">
        <f>Cadastro!$E362</f>
        <v>TE004CFTV11</v>
      </c>
      <c r="F362" s="104" t="str">
        <f>Cadastro!$F362</f>
        <v>Terminal Boqueirão &gt; Èrico Verissimo</v>
      </c>
      <c r="G362" s="104" t="str">
        <f>Cadastro!$G362</f>
        <v>-25.516754</v>
      </c>
      <c r="H362" s="104" t="str">
        <f>Cadastro!$H362</f>
        <v>-49.230646</v>
      </c>
      <c r="I362" s="104" t="str">
        <f>Cadastro!$I362</f>
        <v>copom_DDTQ</v>
      </c>
      <c r="J362" s="104" t="str">
        <f>Cadastro!$J362</f>
        <v>DDTQcopom</v>
      </c>
      <c r="K362" s="104" t="s">
        <v>4536</v>
      </c>
      <c r="L362" s="104" t="s">
        <v>26</v>
      </c>
      <c r="M362" s="104" t="s">
        <v>27</v>
      </c>
      <c r="N362" s="108" t="str">
        <f t="shared" si="1"/>
        <v>URBS 3</v>
      </c>
      <c r="O362" s="109" t="str">
        <f>Cadastro!$O362</f>
        <v>https://monitoramento.pm.pr.gov.br/proxy_image_3/Interface/Cameras/GetJPEGStream?Camera=TE004CFTV11&amp;AuthUser=copom_DDTQ&amp;AuthPass=DDTQcopom&amp;Width=1024&amp;Height=768&amp;Quality=70&amp;FPS=10&amp;ResponseFormat=Text</v>
      </c>
      <c r="P362" s="106">
        <f>Cadastro!$P362</f>
        <v>1</v>
      </c>
    </row>
    <row r="363">
      <c r="A363" s="104" t="str">
        <f>Cadastro!$A363</f>
        <v>URBS 3</v>
      </c>
      <c r="B363" s="104" t="str">
        <f>Cadastro!$B363</f>
        <v>CURITIBA</v>
      </c>
      <c r="C363" s="107" t="str">
        <f>Cadastro!$C363</f>
        <v>https://monitoramento.pm.pr.gov.br/proxy_image_3/</v>
      </c>
      <c r="D363" s="105">
        <f>Cadastro!$D363</f>
        <v>38601</v>
      </c>
      <c r="E363" s="104" t="str">
        <f>Cadastro!$E363</f>
        <v>TE004CFTV12</v>
      </c>
      <c r="F363" s="104" t="str">
        <f>Cadastro!$F363</f>
        <v>Terminal Boqueirão &gt; Saída 1</v>
      </c>
      <c r="G363" s="104" t="str">
        <f>Cadastro!$G363</f>
        <v>-25.517400</v>
      </c>
      <c r="H363" s="104" t="str">
        <f>Cadastro!$H363</f>
        <v>-49.229988</v>
      </c>
      <c r="I363" s="104" t="str">
        <f>Cadastro!$I363</f>
        <v>copom_DDTQ</v>
      </c>
      <c r="J363" s="104" t="str">
        <f>Cadastro!$J363</f>
        <v>DDTQcopom</v>
      </c>
      <c r="K363" s="104" t="s">
        <v>4536</v>
      </c>
      <c r="L363" s="104" t="s">
        <v>26</v>
      </c>
      <c r="M363" s="104" t="s">
        <v>27</v>
      </c>
      <c r="N363" s="108" t="str">
        <f t="shared" si="1"/>
        <v>URBS 3</v>
      </c>
      <c r="O363" s="109" t="str">
        <f>Cadastro!$O363</f>
        <v>https://monitoramento.pm.pr.gov.br/proxy_image_3/Interface/Cameras/GetJPEGStream?Camera=TE004CFTV12&amp;AuthUser=copom_DDTQ&amp;AuthPass=DDTQcopom&amp;Width=1024&amp;Height=768&amp;Quality=70&amp;FPS=10&amp;ResponseFormat=Text</v>
      </c>
      <c r="P363" s="106">
        <f>Cadastro!$P363</f>
        <v>1</v>
      </c>
    </row>
    <row r="364">
      <c r="A364" s="104" t="str">
        <f>Cadastro!$A364</f>
        <v>URBS 3</v>
      </c>
      <c r="B364" s="104" t="str">
        <f>Cadastro!$B364</f>
        <v>CURITIBA</v>
      </c>
      <c r="C364" s="107" t="str">
        <f>Cadastro!$C364</f>
        <v>https://monitoramento.pm.pr.gov.br/proxy_image_3/</v>
      </c>
      <c r="D364" s="105">
        <f>Cadastro!$D364</f>
        <v>38601</v>
      </c>
      <c r="E364" s="104" t="str">
        <f>Cadastro!$E364</f>
        <v>TE004CFTV13</v>
      </c>
      <c r="F364" s="104" t="str">
        <f>Cadastro!$F364</f>
        <v>Terminal Boqueirão &gt; Saída 2</v>
      </c>
      <c r="G364" s="104" t="str">
        <f>Cadastro!$G364</f>
        <v>-25.516414</v>
      </c>
      <c r="H364" s="104" t="str">
        <f>Cadastro!$H364</f>
        <v>-49.230446</v>
      </c>
      <c r="I364" s="104" t="str">
        <f>Cadastro!$I364</f>
        <v>copom_DDTQ</v>
      </c>
      <c r="J364" s="104" t="str">
        <f>Cadastro!$J364</f>
        <v>DDTQcopom</v>
      </c>
      <c r="K364" s="104" t="s">
        <v>4536</v>
      </c>
      <c r="L364" s="104" t="s">
        <v>26</v>
      </c>
      <c r="M364" s="104" t="s">
        <v>27</v>
      </c>
      <c r="N364" s="108" t="str">
        <f t="shared" si="1"/>
        <v>URBS 3</v>
      </c>
      <c r="O364" s="109" t="str">
        <f>Cadastro!$O364</f>
        <v>https://monitoramento.pm.pr.gov.br/proxy_image_3/Interface/Cameras/GetJPEGStream?Camera=TE004CFTV13&amp;AuthUser=copom_DDTQ&amp;AuthPass=DDTQcopom&amp;Width=1024&amp;Height=768&amp;Quality=70&amp;FPS=10&amp;ResponseFormat=Text</v>
      </c>
      <c r="P364" s="106">
        <f>Cadastro!$P364</f>
        <v>1</v>
      </c>
    </row>
    <row r="365">
      <c r="A365" s="104" t="str">
        <f>Cadastro!$A365</f>
        <v>URBS 3</v>
      </c>
      <c r="B365" s="104" t="str">
        <f>Cadastro!$B365</f>
        <v>CURITIBA</v>
      </c>
      <c r="C365" s="107" t="str">
        <f>Cadastro!$C365</f>
        <v>https://monitoramento.pm.pr.gov.br/proxy_image_3/</v>
      </c>
      <c r="D365" s="105">
        <f>Cadastro!$D365</f>
        <v>38601</v>
      </c>
      <c r="E365" s="104" t="str">
        <f>Cadastro!$E365</f>
        <v>TE004CFTV14</v>
      </c>
      <c r="F365" s="104" t="str">
        <f>Cadastro!$F365</f>
        <v>Terminal Boqueirão &gt; Hauer Boqueirão</v>
      </c>
      <c r="G365" s="104" t="str">
        <f>Cadastro!$G365</f>
        <v>-25.517382</v>
      </c>
      <c r="H365" s="104" t="str">
        <f>Cadastro!$H365</f>
        <v>-49.230310</v>
      </c>
      <c r="I365" s="104" t="str">
        <f>Cadastro!$I365</f>
        <v>copom_DDTQ</v>
      </c>
      <c r="J365" s="104" t="str">
        <f>Cadastro!$J365</f>
        <v>DDTQcopom</v>
      </c>
      <c r="K365" s="104" t="s">
        <v>4536</v>
      </c>
      <c r="L365" s="104" t="s">
        <v>26</v>
      </c>
      <c r="M365" s="104" t="s">
        <v>27</v>
      </c>
      <c r="N365" s="108" t="str">
        <f t="shared" si="1"/>
        <v>URBS 3</v>
      </c>
      <c r="O365" s="109" t="str">
        <f>Cadastro!$O365</f>
        <v>https://monitoramento.pm.pr.gov.br/proxy_image_3/Interface/Cameras/GetJPEGStream?Camera=TE004CFTV14&amp;AuthUser=copom_DDTQ&amp;AuthPass=DDTQcopom&amp;Width=1024&amp;Height=768&amp;Quality=70&amp;FPS=10&amp;ResponseFormat=Text</v>
      </c>
      <c r="P365" s="106">
        <f>Cadastro!$P365</f>
        <v>1</v>
      </c>
    </row>
    <row r="366">
      <c r="A366" s="104" t="str">
        <f>Cadastro!$A366</f>
        <v>URBS 3</v>
      </c>
      <c r="B366" s="104" t="str">
        <f>Cadastro!$B366</f>
        <v>CURITIBA</v>
      </c>
      <c r="C366" s="107" t="str">
        <f>Cadastro!$C366</f>
        <v>https://monitoramento.pm.pr.gov.br/proxy_image_3/</v>
      </c>
      <c r="D366" s="105">
        <f>Cadastro!$D366</f>
        <v>38601</v>
      </c>
      <c r="E366" s="104" t="str">
        <f>Cadastro!$E366</f>
        <v>TE004CFTV15</v>
      </c>
      <c r="F366" s="104" t="str">
        <f>Cadastro!$F366</f>
        <v>Terminal Boqueirão &gt; Boqueirão</v>
      </c>
      <c r="G366" s="104" t="str">
        <f>Cadastro!$G366</f>
        <v>-25.517075</v>
      </c>
      <c r="H366" s="104" t="str">
        <f>Cadastro!$H366</f>
        <v>-49.230241</v>
      </c>
      <c r="I366" s="104" t="str">
        <f>Cadastro!$I366</f>
        <v>copom_DDTQ</v>
      </c>
      <c r="J366" s="104" t="str">
        <f>Cadastro!$J366</f>
        <v>DDTQcopom</v>
      </c>
      <c r="K366" s="104" t="s">
        <v>4536</v>
      </c>
      <c r="L366" s="104" t="s">
        <v>26</v>
      </c>
      <c r="M366" s="104" t="s">
        <v>27</v>
      </c>
      <c r="N366" s="108" t="str">
        <f t="shared" si="1"/>
        <v>URBS 3</v>
      </c>
      <c r="O366" s="109" t="str">
        <f>Cadastro!$O366</f>
        <v>https://monitoramento.pm.pr.gov.br/proxy_image_3/Interface/Cameras/GetJPEGStream?Camera=TE004CFTV15&amp;AuthUser=copom_DDTQ&amp;AuthPass=DDTQcopom&amp;Width=1024&amp;Height=768&amp;Quality=70&amp;FPS=10&amp;ResponseFormat=Text</v>
      </c>
      <c r="P366" s="106">
        <f>Cadastro!$P366</f>
        <v>1</v>
      </c>
    </row>
    <row r="367">
      <c r="A367" s="104" t="str">
        <f>Cadastro!$A367</f>
        <v>URBS 3</v>
      </c>
      <c r="B367" s="104" t="str">
        <f>Cadastro!$B367</f>
        <v>CURITIBA</v>
      </c>
      <c r="C367" s="107" t="str">
        <f>Cadastro!$C367</f>
        <v>https://monitoramento.pm.pr.gov.br/proxy_image_3/</v>
      </c>
      <c r="D367" s="105">
        <f>Cadastro!$D367</f>
        <v>38601</v>
      </c>
      <c r="E367" s="104" t="str">
        <f>Cadastro!$E367</f>
        <v>TE004CFTV16</v>
      </c>
      <c r="F367" s="104" t="str">
        <f>Cadastro!$F367</f>
        <v>Terminal Boqueirão &gt; Centenário Boqueirão</v>
      </c>
      <c r="G367" s="104" t="str">
        <f>Cadastro!$G367</f>
        <v>-25.516677</v>
      </c>
      <c r="H367" s="104" t="str">
        <f>Cadastro!$H367</f>
        <v>-49.230623</v>
      </c>
      <c r="I367" s="104" t="str">
        <f>Cadastro!$I367</f>
        <v>copom_DDTQ</v>
      </c>
      <c r="J367" s="104" t="str">
        <f>Cadastro!$J367</f>
        <v>DDTQcopom</v>
      </c>
      <c r="K367" s="104" t="s">
        <v>4536</v>
      </c>
      <c r="L367" s="104" t="s">
        <v>26</v>
      </c>
      <c r="M367" s="104" t="s">
        <v>27</v>
      </c>
      <c r="N367" s="108" t="str">
        <f t="shared" si="1"/>
        <v>URBS 3</v>
      </c>
      <c r="O367" s="109" t="str">
        <f>Cadastro!$O367</f>
        <v>https://monitoramento.pm.pr.gov.br/proxy_image_3/Interface/Cameras/GetJPEGStream?Camera=TE004CFTV16&amp;AuthUser=copom_DDTQ&amp;AuthPass=DDTQcopom&amp;Width=1024&amp;Height=768&amp;Quality=70&amp;FPS=10&amp;ResponseFormat=Text</v>
      </c>
      <c r="P367" s="106">
        <f>Cadastro!$P367</f>
        <v>1</v>
      </c>
    </row>
    <row r="368">
      <c r="A368" s="104" t="str">
        <f>Cadastro!$A368</f>
        <v>URBS 3</v>
      </c>
      <c r="B368" s="104" t="str">
        <f>Cadastro!$B368</f>
        <v>CURITIBA</v>
      </c>
      <c r="C368" s="107" t="str">
        <f>Cadastro!$C368</f>
        <v>https://monitoramento.pm.pr.gov.br/proxy_image_3/</v>
      </c>
      <c r="D368" s="105">
        <f>Cadastro!$D368</f>
        <v>38601</v>
      </c>
      <c r="E368" s="104" t="str">
        <f>Cadastro!$E368</f>
        <v>TE004CFTV17</v>
      </c>
      <c r="F368" s="104" t="str">
        <f>Cadastro!$F368</f>
        <v>Terminal Boqueirão &gt; Ligeirão</v>
      </c>
      <c r="G368" s="104" t="str">
        <f>Cadastro!$G368</f>
        <v>-25.517159</v>
      </c>
      <c r="H368" s="104" t="str">
        <f>Cadastro!$H368</f>
        <v>-49.230047</v>
      </c>
      <c r="I368" s="104" t="str">
        <f>Cadastro!$I368</f>
        <v>copom_DDTQ</v>
      </c>
      <c r="J368" s="104" t="str">
        <f>Cadastro!$J368</f>
        <v>DDTQcopom</v>
      </c>
      <c r="K368" s="104" t="s">
        <v>4536</v>
      </c>
      <c r="L368" s="104" t="s">
        <v>26</v>
      </c>
      <c r="M368" s="104" t="s">
        <v>27</v>
      </c>
      <c r="N368" s="108" t="str">
        <f t="shared" si="1"/>
        <v>URBS 3</v>
      </c>
      <c r="O368" s="109" t="str">
        <f>Cadastro!$O368</f>
        <v>https://monitoramento.pm.pr.gov.br/proxy_image_3/Interface/Cameras/GetJPEGStream?Camera=TE004CFTV17&amp;AuthUser=copom_DDTQ&amp;AuthPass=DDTQcopom&amp;Width=1024&amp;Height=768&amp;Quality=70&amp;FPS=10&amp;ResponseFormat=Text</v>
      </c>
      <c r="P368" s="106">
        <f>Cadastro!$P368</f>
        <v>1</v>
      </c>
    </row>
    <row r="369">
      <c r="A369" s="104" t="str">
        <f>Cadastro!$A369</f>
        <v>URBS 3</v>
      </c>
      <c r="B369" s="104" t="str">
        <f>Cadastro!$B369</f>
        <v>CURITIBA</v>
      </c>
      <c r="C369" s="107" t="str">
        <f>Cadastro!$C369</f>
        <v>https://monitoramento.pm.pr.gov.br/proxy_image_3/</v>
      </c>
      <c r="D369" s="105">
        <f>Cadastro!$D369</f>
        <v>38601</v>
      </c>
      <c r="E369" s="104" t="str">
        <f>Cadastro!$E369</f>
        <v>TE004CFTV18</v>
      </c>
      <c r="F369" s="104" t="str">
        <f>Cadastro!$F369</f>
        <v>Terminal Boqueirão &gt; Circular Sul Anti-horario</v>
      </c>
      <c r="G369" s="104" t="str">
        <f>Cadastro!$G369</f>
        <v>-25.516956</v>
      </c>
      <c r="H369" s="104" t="str">
        <f>Cadastro!$H369</f>
        <v>-49.230001</v>
      </c>
      <c r="I369" s="104" t="str">
        <f>Cadastro!$I369</f>
        <v>copom_DDTQ</v>
      </c>
      <c r="J369" s="104" t="str">
        <f>Cadastro!$J369</f>
        <v>DDTQcopom</v>
      </c>
      <c r="K369" s="104" t="s">
        <v>4536</v>
      </c>
      <c r="L369" s="104" t="s">
        <v>26</v>
      </c>
      <c r="M369" s="104" t="s">
        <v>27</v>
      </c>
      <c r="N369" s="108" t="str">
        <f t="shared" si="1"/>
        <v>URBS 3</v>
      </c>
      <c r="O369" s="109" t="str">
        <f>Cadastro!$O369</f>
        <v>https://monitoramento.pm.pr.gov.br/proxy_image_3/Interface/Cameras/GetJPEGStream?Camera=TE004CFTV18&amp;AuthUser=copom_DDTQ&amp;AuthPass=DDTQcopom&amp;Width=1024&amp;Height=768&amp;Quality=70&amp;FPS=10&amp;ResponseFormat=Text</v>
      </c>
      <c r="P369" s="106">
        <f>Cadastro!$P369</f>
        <v>1</v>
      </c>
    </row>
    <row r="370">
      <c r="A370" s="104" t="str">
        <f>Cadastro!$A370</f>
        <v>URBS 3</v>
      </c>
      <c r="B370" s="104" t="str">
        <f>Cadastro!$B370</f>
        <v>CURITIBA</v>
      </c>
      <c r="C370" s="107" t="str">
        <f>Cadastro!$C370</f>
        <v>https://monitoramento.pm.pr.gov.br/proxy_image_3/</v>
      </c>
      <c r="D370" s="105">
        <f>Cadastro!$D370</f>
        <v>38601</v>
      </c>
      <c r="E370" s="104" t="str">
        <f>Cadastro!$E370</f>
        <v>TE008CFTV01</v>
      </c>
      <c r="F370" s="104" t="str">
        <f>Cadastro!$F370</f>
        <v>Terminal C. Cumprido &gt; Interbairros IV</v>
      </c>
      <c r="G370" s="104" t="str">
        <f>Cadastro!$G370</f>
        <v>-25.441528</v>
      </c>
      <c r="H370" s="104" t="str">
        <f>Cadastro!$H370</f>
        <v>-49.346679</v>
      </c>
      <c r="I370" s="104" t="str">
        <f>Cadastro!$I370</f>
        <v>copom_DDTQ</v>
      </c>
      <c r="J370" s="104" t="str">
        <f>Cadastro!$J370</f>
        <v>DDTQcopom</v>
      </c>
      <c r="K370" s="104" t="s">
        <v>4536</v>
      </c>
      <c r="L370" s="104" t="s">
        <v>26</v>
      </c>
      <c r="M370" s="104" t="s">
        <v>27</v>
      </c>
      <c r="N370" s="108" t="str">
        <f t="shared" si="1"/>
        <v>URBS 3</v>
      </c>
      <c r="O370" s="109" t="str">
        <f>Cadastro!$O370</f>
        <v>https://monitoramento.pm.pr.gov.br/proxy_image_3/Interface/Cameras/GetJPEGStream?Camera=TE008CFTV01&amp;AuthUser=copom_DDTQ&amp;AuthPass=DDTQcopom&amp;Width=1024&amp;Height=768&amp;Quality=70&amp;FPS=10&amp;ResponseFormat=Text</v>
      </c>
      <c r="P370" s="106">
        <f>Cadastro!$P370</f>
        <v>1</v>
      </c>
    </row>
    <row r="371">
      <c r="A371" s="104" t="str">
        <f>Cadastro!$A371</f>
        <v>URBS 3</v>
      </c>
      <c r="B371" s="104" t="str">
        <f>Cadastro!$B371</f>
        <v>CURITIBA</v>
      </c>
      <c r="C371" s="107" t="str">
        <f>Cadastro!$C371</f>
        <v>https://monitoramento.pm.pr.gov.br/proxy_image_3/</v>
      </c>
      <c r="D371" s="105">
        <f>Cadastro!$D371</f>
        <v>38601</v>
      </c>
      <c r="E371" s="104" t="str">
        <f>Cadastro!$E371</f>
        <v>TE008CFTV02</v>
      </c>
      <c r="F371" s="104" t="str">
        <f>Cadastro!$F371</f>
        <v>Terminal C. Cumprido &gt; Universidade Positivo</v>
      </c>
      <c r="G371" s="104" t="str">
        <f>Cadastro!$G371</f>
        <v>-25.441699</v>
      </c>
      <c r="H371" s="104" t="str">
        <f>Cadastro!$H371</f>
        <v>-49.346935</v>
      </c>
      <c r="I371" s="104" t="str">
        <f>Cadastro!$I371</f>
        <v>copom_DDTQ</v>
      </c>
      <c r="J371" s="104" t="str">
        <f>Cadastro!$J371</f>
        <v>DDTQcopom</v>
      </c>
      <c r="K371" s="104" t="s">
        <v>4536</v>
      </c>
      <c r="L371" s="104" t="s">
        <v>26</v>
      </c>
      <c r="M371" s="104" t="s">
        <v>27</v>
      </c>
      <c r="N371" s="108" t="str">
        <f t="shared" si="1"/>
        <v>URBS 3</v>
      </c>
      <c r="O371" s="109" t="str">
        <f>Cadastro!$O371</f>
        <v>https://monitoramento.pm.pr.gov.br/proxy_image_3/Interface/Cameras/GetJPEGStream?Camera=TE008CFTV02&amp;AuthUser=copom_DDTQ&amp;AuthPass=DDTQcopom&amp;Width=1024&amp;Height=768&amp;Quality=70&amp;FPS=10&amp;ResponseFormat=Text</v>
      </c>
      <c r="P371" s="106">
        <f>Cadastro!$P371</f>
        <v>1</v>
      </c>
    </row>
    <row r="372">
      <c r="A372" s="104" t="str">
        <f>Cadastro!$A372</f>
        <v>URBS 3</v>
      </c>
      <c r="B372" s="104" t="str">
        <f>Cadastro!$B372</f>
        <v>CURITIBA</v>
      </c>
      <c r="C372" s="107" t="str">
        <f>Cadastro!$C372</f>
        <v>https://monitoramento.pm.pr.gov.br/proxy_image_3/</v>
      </c>
      <c r="D372" s="105">
        <f>Cadastro!$D372</f>
        <v>38601</v>
      </c>
      <c r="E372" s="104" t="str">
        <f>Cadastro!$E372</f>
        <v>TE008CFTV03</v>
      </c>
      <c r="F372" s="104" t="str">
        <f>Cadastro!$F372</f>
        <v>Terminal C. Cumprido &gt; Interbairros IV &gt; Fazendinha</v>
      </c>
      <c r="G372" s="104" t="str">
        <f>Cadastro!$G372</f>
        <v>-25.441670</v>
      </c>
      <c r="H372" s="104" t="str">
        <f>Cadastro!$H372</f>
        <v>-49.346317</v>
      </c>
      <c r="I372" s="104" t="str">
        <f>Cadastro!$I372</f>
        <v>copom_DDTQ</v>
      </c>
      <c r="J372" s="104" t="str">
        <f>Cadastro!$J372</f>
        <v>DDTQcopom</v>
      </c>
      <c r="K372" s="104" t="s">
        <v>4536</v>
      </c>
      <c r="L372" s="104" t="s">
        <v>26</v>
      </c>
      <c r="M372" s="104" t="s">
        <v>27</v>
      </c>
      <c r="N372" s="108" t="str">
        <f t="shared" si="1"/>
        <v>URBS 3</v>
      </c>
      <c r="O372" s="109" t="str">
        <f>Cadastro!$O372</f>
        <v>https://monitoramento.pm.pr.gov.br/proxy_image_3/Interface/Cameras/GetJPEGStream?Camera=TE008CFTV03&amp;AuthUser=copom_DDTQ&amp;AuthPass=DDTQcopom&amp;Width=1024&amp;Height=768&amp;Quality=70&amp;FPS=10&amp;ResponseFormat=Text</v>
      </c>
      <c r="P372" s="106">
        <f>Cadastro!$P372</f>
        <v>1</v>
      </c>
    </row>
    <row r="373">
      <c r="A373" s="104" t="str">
        <f>Cadastro!$A373</f>
        <v>URBS 3</v>
      </c>
      <c r="B373" s="104" t="str">
        <f>Cadastro!$B373</f>
        <v>CURITIBA</v>
      </c>
      <c r="C373" s="107" t="str">
        <f>Cadastro!$C373</f>
        <v>https://monitoramento.pm.pr.gov.br/proxy_image_3/</v>
      </c>
      <c r="D373" s="105">
        <f>Cadastro!$D373</f>
        <v>38601</v>
      </c>
      <c r="E373" s="104" t="str">
        <f>Cadastro!$E373</f>
        <v>TE008CFTV04</v>
      </c>
      <c r="F373" s="104" t="str">
        <f>Cadastro!$F373</f>
        <v>Terminal C. Cumprido &gt; Expresso</v>
      </c>
      <c r="G373" s="104" t="str">
        <f>Cadastro!$G373</f>
        <v>-25.441534</v>
      </c>
      <c r="H373" s="104" t="str">
        <f>Cadastro!$H373</f>
        <v>-49.346331</v>
      </c>
      <c r="I373" s="104" t="str">
        <f>Cadastro!$I373</f>
        <v>copom_DDTQ</v>
      </c>
      <c r="J373" s="104" t="str">
        <f>Cadastro!$J373</f>
        <v>DDTQcopom</v>
      </c>
      <c r="K373" s="104" t="s">
        <v>4536</v>
      </c>
      <c r="L373" s="104" t="s">
        <v>26</v>
      </c>
      <c r="M373" s="104" t="s">
        <v>27</v>
      </c>
      <c r="N373" s="108" t="str">
        <f t="shared" si="1"/>
        <v>URBS 3</v>
      </c>
      <c r="O373" s="109" t="str">
        <f>Cadastro!$O373</f>
        <v>https://monitoramento.pm.pr.gov.br/proxy_image_3/Interface/Cameras/GetJPEGStream?Camera=TE008CFTV04&amp;AuthUser=copom_DDTQ&amp;AuthPass=DDTQcopom&amp;Width=1024&amp;Height=768&amp;Quality=70&amp;FPS=10&amp;ResponseFormat=Text</v>
      </c>
      <c r="P373" s="106">
        <f>Cadastro!$P373</f>
        <v>1</v>
      </c>
    </row>
    <row r="374">
      <c r="A374" s="104" t="str">
        <f>Cadastro!$A374</f>
        <v>URBS 3</v>
      </c>
      <c r="B374" s="104" t="str">
        <f>Cadastro!$B374</f>
        <v>CURITIBA</v>
      </c>
      <c r="C374" s="107" t="str">
        <f>Cadastro!$C374</f>
        <v>https://monitoramento.pm.pr.gov.br/proxy_image_3/</v>
      </c>
      <c r="D374" s="105">
        <f>Cadastro!$D374</f>
        <v>38601</v>
      </c>
      <c r="E374" s="104" t="str">
        <f>Cadastro!$E374</f>
        <v>TE008CFTV05</v>
      </c>
      <c r="F374" s="104" t="str">
        <f>Cadastro!$F374</f>
        <v>Terminal C. Cumprido &gt; Expresso II</v>
      </c>
      <c r="G374" s="104" t="str">
        <f>Cadastro!$G374</f>
        <v>-25.441691</v>
      </c>
      <c r="H374" s="104" t="str">
        <f>Cadastro!$H374</f>
        <v>-49.346522</v>
      </c>
      <c r="I374" s="104" t="str">
        <f>Cadastro!$I374</f>
        <v>copom_DDTQ</v>
      </c>
      <c r="J374" s="104" t="str">
        <f>Cadastro!$J374</f>
        <v>DDTQcopom</v>
      </c>
      <c r="K374" s="104" t="s">
        <v>4536</v>
      </c>
      <c r="L374" s="104" t="s">
        <v>26</v>
      </c>
      <c r="M374" s="104" t="s">
        <v>27</v>
      </c>
      <c r="N374" s="108" t="str">
        <f t="shared" si="1"/>
        <v>URBS 3</v>
      </c>
      <c r="O374" s="109" t="str">
        <f>Cadastro!$O374</f>
        <v>https://monitoramento.pm.pr.gov.br/proxy_image_3/Interface/Cameras/GetJPEGStream?Camera=TE008CFTV05&amp;AuthUser=copom_DDTQ&amp;AuthPass=DDTQcopom&amp;Width=1024&amp;Height=768&amp;Quality=70&amp;FPS=10&amp;ResponseFormat=Text</v>
      </c>
      <c r="P374" s="106">
        <f>Cadastro!$P374</f>
        <v>1</v>
      </c>
    </row>
    <row r="375">
      <c r="A375" s="104" t="str">
        <f>Cadastro!$A375</f>
        <v>URBS 3</v>
      </c>
      <c r="B375" s="104" t="str">
        <f>Cadastro!$B375</f>
        <v>CURITIBA</v>
      </c>
      <c r="C375" s="107" t="str">
        <f>Cadastro!$C375</f>
        <v>https://monitoramento.pm.pr.gov.br/proxy_image_3/</v>
      </c>
      <c r="D375" s="105">
        <f>Cadastro!$D375</f>
        <v>38601</v>
      </c>
      <c r="E375" s="104" t="str">
        <f>Cadastro!$E375</f>
        <v>TE008CFTV06</v>
      </c>
      <c r="F375" s="104" t="str">
        <f>Cadastro!$F375</f>
        <v>Terminal C. Cumprido &gt; Interbairros IV &gt; Santa Felicidade</v>
      </c>
      <c r="G375" s="104" t="str">
        <f>Cadastro!$G375</f>
        <v>-25.441689</v>
      </c>
      <c r="H375" s="104" t="str">
        <f>Cadastro!$H375</f>
        <v>-49.346031</v>
      </c>
      <c r="I375" s="104" t="str">
        <f>Cadastro!$I375</f>
        <v>copom_DDTQ</v>
      </c>
      <c r="J375" s="104" t="str">
        <f>Cadastro!$J375</f>
        <v>DDTQcopom</v>
      </c>
      <c r="K375" s="104" t="s">
        <v>4536</v>
      </c>
      <c r="L375" s="104" t="s">
        <v>26</v>
      </c>
      <c r="M375" s="104" t="s">
        <v>27</v>
      </c>
      <c r="N375" s="108" t="str">
        <f t="shared" si="1"/>
        <v>URBS 3</v>
      </c>
      <c r="O375" s="109" t="str">
        <f>Cadastro!$O375</f>
        <v>https://monitoramento.pm.pr.gov.br/proxy_image_3/Interface/Cameras/GetJPEGStream?Camera=TE008CFTV06&amp;AuthUser=copom_DDTQ&amp;AuthPass=DDTQcopom&amp;Width=1024&amp;Height=768&amp;Quality=70&amp;FPS=10&amp;ResponseFormat=Text</v>
      </c>
      <c r="P375" s="106">
        <f>Cadastro!$P375</f>
        <v>1</v>
      </c>
    </row>
    <row r="376">
      <c r="A376" s="104" t="str">
        <f>Cadastro!$A376</f>
        <v>URBS 3</v>
      </c>
      <c r="B376" s="104" t="str">
        <f>Cadastro!$B376</f>
        <v>CURITIBA</v>
      </c>
      <c r="C376" s="107" t="str">
        <f>Cadastro!$C376</f>
        <v>https://monitoramento.pm.pr.gov.br/proxy_image_3/</v>
      </c>
      <c r="D376" s="105">
        <f>Cadastro!$D376</f>
        <v>38601</v>
      </c>
      <c r="E376" s="104" t="str">
        <f>Cadastro!$E376</f>
        <v>TE008CFTV07</v>
      </c>
      <c r="F376" s="104" t="str">
        <f>Cadastro!$F376</f>
        <v>Terminal C. Cumprido &gt; ET CIC Norte</v>
      </c>
      <c r="G376" s="104" t="str">
        <f>Cadastro!$G376</f>
        <v>-25.441472</v>
      </c>
      <c r="H376" s="104" t="str">
        <f>Cadastro!$H376</f>
        <v>-49.347281</v>
      </c>
      <c r="I376" s="104" t="str">
        <f>Cadastro!$I376</f>
        <v>copom_DDTQ</v>
      </c>
      <c r="J376" s="104" t="str">
        <f>Cadastro!$J376</f>
        <v>DDTQcopom</v>
      </c>
      <c r="K376" s="104" t="s">
        <v>4536</v>
      </c>
      <c r="L376" s="104" t="s">
        <v>26</v>
      </c>
      <c r="M376" s="104" t="s">
        <v>27</v>
      </c>
      <c r="N376" s="108" t="str">
        <f t="shared" si="1"/>
        <v>URBS 3</v>
      </c>
      <c r="O376" s="109" t="str">
        <f>Cadastro!$O376</f>
        <v>https://monitoramento.pm.pr.gov.br/proxy_image_3/Interface/Cameras/GetJPEGStream?Camera=TE008CFTV07&amp;AuthUser=copom_DDTQ&amp;AuthPass=DDTQcopom&amp;Width=1024&amp;Height=768&amp;Quality=70&amp;FPS=10&amp;ResponseFormat=Text</v>
      </c>
      <c r="P376" s="106">
        <f>Cadastro!$P376</f>
        <v>1</v>
      </c>
    </row>
    <row r="377">
      <c r="A377" s="104" t="str">
        <f>Cadastro!$A377</f>
        <v>URBS 3</v>
      </c>
      <c r="B377" s="104" t="str">
        <f>Cadastro!$B377</f>
        <v>CURITIBA</v>
      </c>
      <c r="C377" s="107" t="str">
        <f>Cadastro!$C377</f>
        <v>https://monitoramento.pm.pr.gov.br/proxy_image_3/</v>
      </c>
      <c r="D377" s="105">
        <f>Cadastro!$D377</f>
        <v>38601</v>
      </c>
      <c r="E377" s="104" t="str">
        <f>Cadastro!$E377</f>
        <v>TE008CFTV08</v>
      </c>
      <c r="F377" s="104" t="str">
        <f>Cadastro!$F377</f>
        <v>Terminal C. Cumprido &gt; ET Centro</v>
      </c>
      <c r="G377" s="104" t="str">
        <f>Cadastro!$G377</f>
        <v>-25.441446</v>
      </c>
      <c r="H377" s="104" t="str">
        <f>Cadastro!$H377</f>
        <v>-49.346631</v>
      </c>
      <c r="I377" s="104" t="str">
        <f>Cadastro!$I377</f>
        <v>copom_DDTQ</v>
      </c>
      <c r="J377" s="104" t="str">
        <f>Cadastro!$J377</f>
        <v>DDTQcopom</v>
      </c>
      <c r="K377" s="104" t="s">
        <v>4536</v>
      </c>
      <c r="L377" s="104" t="s">
        <v>26</v>
      </c>
      <c r="M377" s="104" t="s">
        <v>27</v>
      </c>
      <c r="N377" s="108" t="str">
        <f t="shared" si="1"/>
        <v>URBS 3</v>
      </c>
      <c r="O377" s="109" t="str">
        <f>Cadastro!$O377</f>
        <v>https://monitoramento.pm.pr.gov.br/proxy_image_3/Interface/Cameras/GetJPEGStream?Camera=TE008CFTV08&amp;AuthUser=copom_DDTQ&amp;AuthPass=DDTQcopom&amp;Width=1024&amp;Height=768&amp;Quality=70&amp;FPS=10&amp;ResponseFormat=Text</v>
      </c>
      <c r="P377" s="106">
        <f>Cadastro!$P377</f>
        <v>1</v>
      </c>
    </row>
    <row r="378">
      <c r="A378" s="104" t="str">
        <f>Cadastro!$A378</f>
        <v>URBS 3</v>
      </c>
      <c r="B378" s="104" t="str">
        <f>Cadastro!$B378</f>
        <v>CURITIBA</v>
      </c>
      <c r="C378" s="107" t="str">
        <f>Cadastro!$C378</f>
        <v>https://monitoramento.pm.pr.gov.br/proxy_image_3/</v>
      </c>
      <c r="D378" s="105">
        <f>Cadastro!$D378</f>
        <v>38601</v>
      </c>
      <c r="E378" s="104" t="str">
        <f>Cadastro!$E378</f>
        <v>TE008CFTV09</v>
      </c>
      <c r="F378" s="104" t="str">
        <f>Cadastro!$F378</f>
        <v>Terminal C. Cumprido &gt; Entrada</v>
      </c>
      <c r="G378" s="104" t="str">
        <f>Cadastro!$G378</f>
        <v>-25.441729</v>
      </c>
      <c r="H378" s="104" t="str">
        <f>Cadastro!$H378</f>
        <v>-49.347247</v>
      </c>
      <c r="I378" s="104" t="str">
        <f>Cadastro!$I378</f>
        <v>copom_DDTQ</v>
      </c>
      <c r="J378" s="104" t="str">
        <f>Cadastro!$J378</f>
        <v>DDTQcopom</v>
      </c>
      <c r="K378" s="104" t="s">
        <v>4536</v>
      </c>
      <c r="L378" s="104" t="s">
        <v>26</v>
      </c>
      <c r="M378" s="104" t="s">
        <v>27</v>
      </c>
      <c r="N378" s="108" t="str">
        <f t="shared" si="1"/>
        <v>URBS 3</v>
      </c>
      <c r="O378" s="109" t="str">
        <f>Cadastro!$O378</f>
        <v>https://monitoramento.pm.pr.gov.br/proxy_image_3/Interface/Cameras/GetJPEGStream?Camera=TE008CFTV09&amp;AuthUser=copom_DDTQ&amp;AuthPass=DDTQcopom&amp;Width=1024&amp;Height=768&amp;Quality=70&amp;FPS=10&amp;ResponseFormat=Text</v>
      </c>
      <c r="P378" s="106">
        <f>Cadastro!$P378</f>
        <v>1</v>
      </c>
    </row>
    <row r="379">
      <c r="A379" s="104" t="str">
        <f>Cadastro!$A379</f>
        <v>URBS 3</v>
      </c>
      <c r="B379" s="104" t="str">
        <f>Cadastro!$B379</f>
        <v>CURITIBA</v>
      </c>
      <c r="C379" s="107" t="str">
        <f>Cadastro!$C379</f>
        <v>https://monitoramento.pm.pr.gov.br/proxy_image_3/</v>
      </c>
      <c r="D379" s="105">
        <f>Cadastro!$D379</f>
        <v>38601</v>
      </c>
      <c r="E379" s="104" t="str">
        <f>Cadastro!$E379</f>
        <v>TE008CFTV10</v>
      </c>
      <c r="F379" s="104" t="str">
        <f>Cadastro!$F379</f>
        <v>Terminal C. Cumprido &gt; Capão Raso</v>
      </c>
      <c r="G379" s="104" t="str">
        <f>Cadastro!$G379</f>
        <v>-25.441693</v>
      </c>
      <c r="H379" s="104" t="str">
        <f>Cadastro!$H379</f>
        <v>-49.346740</v>
      </c>
      <c r="I379" s="104" t="str">
        <f>Cadastro!$I379</f>
        <v>copom_DDTQ</v>
      </c>
      <c r="J379" s="104" t="str">
        <f>Cadastro!$J379</f>
        <v>DDTQcopom</v>
      </c>
      <c r="K379" s="104" t="s">
        <v>4536</v>
      </c>
      <c r="L379" s="104" t="s">
        <v>26</v>
      </c>
      <c r="M379" s="104" t="s">
        <v>27</v>
      </c>
      <c r="N379" s="108" t="str">
        <f t="shared" si="1"/>
        <v>URBS 3</v>
      </c>
      <c r="O379" s="109" t="str">
        <f>Cadastro!$O379</f>
        <v>https://monitoramento.pm.pr.gov.br/proxy_image_3/Interface/Cameras/GetJPEGStream?Camera=TE008CFTV10&amp;AuthUser=copom_DDTQ&amp;AuthPass=DDTQcopom&amp;Width=1024&amp;Height=768&amp;Quality=70&amp;FPS=10&amp;ResponseFormat=Text</v>
      </c>
      <c r="P379" s="106">
        <f>Cadastro!$P379</f>
        <v>1</v>
      </c>
    </row>
    <row r="380">
      <c r="A380" s="104" t="str">
        <f>Cadastro!$A380</f>
        <v>URBS 3</v>
      </c>
      <c r="B380" s="104" t="str">
        <f>Cadastro!$B380</f>
        <v>CURITIBA</v>
      </c>
      <c r="C380" s="107" t="str">
        <f>Cadastro!$C380</f>
        <v>https://monitoramento.pm.pr.gov.br/proxy_image_3/</v>
      </c>
      <c r="D380" s="105">
        <f>Cadastro!$D380</f>
        <v>38601</v>
      </c>
      <c r="E380" s="104" t="str">
        <f>Cadastro!$E380</f>
        <v>TE008CFTV11</v>
      </c>
      <c r="F380" s="104" t="str">
        <f>Cadastro!$F380</f>
        <v>Terminal C. Cumprido &gt; Fernão Dias</v>
      </c>
      <c r="G380" s="104" t="str">
        <f>Cadastro!$G380</f>
        <v>-25.441517</v>
      </c>
      <c r="H380" s="104" t="str">
        <f>Cadastro!$H380</f>
        <v>-49.346327</v>
      </c>
      <c r="I380" s="104" t="str">
        <f>Cadastro!$I380</f>
        <v>copom_DDTQ</v>
      </c>
      <c r="J380" s="104" t="str">
        <f>Cadastro!$J380</f>
        <v>DDTQcopom</v>
      </c>
      <c r="K380" s="104" t="s">
        <v>4536</v>
      </c>
      <c r="L380" s="104" t="s">
        <v>26</v>
      </c>
      <c r="M380" s="104" t="s">
        <v>27</v>
      </c>
      <c r="N380" s="108" t="str">
        <f t="shared" si="1"/>
        <v>URBS 3</v>
      </c>
      <c r="O380" s="109" t="str">
        <f>Cadastro!$O380</f>
        <v>https://monitoramento.pm.pr.gov.br/proxy_image_3/Interface/Cameras/GetJPEGStream?Camera=TE008CFTV11&amp;AuthUser=copom_DDTQ&amp;AuthPass=DDTQcopom&amp;Width=1024&amp;Height=768&amp;Quality=70&amp;FPS=10&amp;ResponseFormat=Text</v>
      </c>
      <c r="P380" s="106">
        <f>Cadastro!$P380</f>
        <v>1</v>
      </c>
    </row>
    <row r="381">
      <c r="A381" s="104" t="str">
        <f>Cadastro!$A381</f>
        <v>URBS 3</v>
      </c>
      <c r="B381" s="104" t="str">
        <f>Cadastro!$B381</f>
        <v>CURITIBA</v>
      </c>
      <c r="C381" s="107" t="str">
        <f>Cadastro!$C381</f>
        <v>https://monitoramento.pm.pr.gov.br/proxy_image_3/</v>
      </c>
      <c r="D381" s="105">
        <f>Cadastro!$D381</f>
        <v>38601</v>
      </c>
      <c r="E381" s="104" t="str">
        <f>Cadastro!$E381</f>
        <v>TE008CFTV12</v>
      </c>
      <c r="F381" s="104" t="str">
        <f>Cadastro!$F381</f>
        <v>Terminal C. Cumprido &gt; CIC</v>
      </c>
      <c r="G381" s="104" t="str">
        <f>Cadastro!$G381</f>
        <v>-25.441510</v>
      </c>
      <c r="H381" s="104" t="str">
        <f>Cadastro!$H381</f>
        <v>-49.346121</v>
      </c>
      <c r="I381" s="104" t="str">
        <f>Cadastro!$I381</f>
        <v>copom_DDTQ</v>
      </c>
      <c r="J381" s="104" t="str">
        <f>Cadastro!$J381</f>
        <v>DDTQcopom</v>
      </c>
      <c r="K381" s="104" t="s">
        <v>4536</v>
      </c>
      <c r="L381" s="104" t="s">
        <v>26</v>
      </c>
      <c r="M381" s="104" t="s">
        <v>27</v>
      </c>
      <c r="N381" s="108" t="str">
        <f t="shared" si="1"/>
        <v>URBS 3</v>
      </c>
      <c r="O381" s="109" t="str">
        <f>Cadastro!$O381</f>
        <v>https://monitoramento.pm.pr.gov.br/proxy_image_3/Interface/Cameras/GetJPEGStream?Camera=TE008CFTV12&amp;AuthUser=copom_DDTQ&amp;AuthPass=DDTQcopom&amp;Width=1024&amp;Height=768&amp;Quality=70&amp;FPS=10&amp;ResponseFormat=Text</v>
      </c>
      <c r="P381" s="106">
        <f>Cadastro!$P381</f>
        <v>1</v>
      </c>
    </row>
    <row r="382">
      <c r="A382" s="104" t="str">
        <f>Cadastro!$A382</f>
        <v>URBS 3</v>
      </c>
      <c r="B382" s="104" t="str">
        <f>Cadastro!$B382</f>
        <v>CURITIBA</v>
      </c>
      <c r="C382" s="107" t="str">
        <f>Cadastro!$C382</f>
        <v>https://monitoramento.pm.pr.gov.br/proxy_image_3/</v>
      </c>
      <c r="D382" s="105">
        <f>Cadastro!$D382</f>
        <v>38601</v>
      </c>
      <c r="E382" s="104" t="str">
        <f>Cadastro!$E382</f>
        <v>TE008CFTV13</v>
      </c>
      <c r="F382" s="104" t="str">
        <f>Cadastro!$F382</f>
        <v>Terminal C. Cumprido &gt; Rebouças</v>
      </c>
      <c r="G382" s="104" t="str">
        <f>Cadastro!$G382</f>
        <v>-25.441437</v>
      </c>
      <c r="H382" s="104" t="str">
        <f>Cadastro!$H382</f>
        <v>-49.346353</v>
      </c>
      <c r="I382" s="104" t="str">
        <f>Cadastro!$I382</f>
        <v>copom_DDTQ</v>
      </c>
      <c r="J382" s="104" t="str">
        <f>Cadastro!$J382</f>
        <v>DDTQcopom</v>
      </c>
      <c r="K382" s="104" t="s">
        <v>4536</v>
      </c>
      <c r="L382" s="104" t="s">
        <v>26</v>
      </c>
      <c r="M382" s="104" t="s">
        <v>27</v>
      </c>
      <c r="N382" s="108" t="str">
        <f t="shared" si="1"/>
        <v>URBS 3</v>
      </c>
      <c r="O382" s="109" t="str">
        <f>Cadastro!$O382</f>
        <v>https://monitoramento.pm.pr.gov.br/proxy_image_3/Interface/Cameras/GetJPEGStream?Camera=TE008CFTV13&amp;AuthUser=copom_DDTQ&amp;AuthPass=DDTQcopom&amp;Width=1024&amp;Height=768&amp;Quality=70&amp;FPS=10&amp;ResponseFormat=Text</v>
      </c>
      <c r="P382" s="106">
        <f>Cadastro!$P382</f>
        <v>1</v>
      </c>
    </row>
    <row r="383">
      <c r="A383" s="104" t="str">
        <f>Cadastro!$A383</f>
        <v>URBS 3</v>
      </c>
      <c r="B383" s="104" t="str">
        <f>Cadastro!$B383</f>
        <v>CURITIBA</v>
      </c>
      <c r="C383" s="107" t="str">
        <f>Cadastro!$C383</f>
        <v>https://monitoramento.pm.pr.gov.br/proxy_image_3/</v>
      </c>
      <c r="D383" s="105">
        <f>Cadastro!$D383</f>
        <v>38601</v>
      </c>
      <c r="E383" s="104" t="str">
        <f>Cadastro!$E383</f>
        <v>TE009CFTV09</v>
      </c>
      <c r="F383" s="104" t="str">
        <f>Cadastro!$F383</f>
        <v>Terminal Capão da Imbuia &gt; Entrada</v>
      </c>
      <c r="G383" s="104" t="str">
        <f>Cadastro!$G383</f>
        <v>-25.439904</v>
      </c>
      <c r="H383" s="104" t="str">
        <f>Cadastro!$H383</f>
        <v>-49.221646</v>
      </c>
      <c r="I383" s="104" t="str">
        <f>Cadastro!$I383</f>
        <v>copom_DDTQ</v>
      </c>
      <c r="J383" s="104" t="str">
        <f>Cadastro!$J383</f>
        <v>DDTQcopom</v>
      </c>
      <c r="K383" s="104" t="s">
        <v>4536</v>
      </c>
      <c r="L383" s="104" t="s">
        <v>26</v>
      </c>
      <c r="M383" s="104" t="s">
        <v>27</v>
      </c>
      <c r="N383" s="108" t="str">
        <f t="shared" si="1"/>
        <v>URBS 3</v>
      </c>
      <c r="O383" s="109" t="str">
        <f>Cadastro!$O383</f>
        <v>https://monitoramento.pm.pr.gov.br/proxy_image_3/Interface/Cameras/GetJPEGStream?Camera=TE009CFTV09&amp;AuthUser=copom_DDTQ&amp;AuthPass=DDTQcopom&amp;Width=1024&amp;Height=768&amp;Quality=70&amp;FPS=10&amp;ResponseFormat=Text</v>
      </c>
      <c r="P383" s="106">
        <f>Cadastro!$P383</f>
        <v>1</v>
      </c>
    </row>
    <row r="384">
      <c r="A384" s="104" t="str">
        <f>Cadastro!$A384</f>
        <v>URBS 3</v>
      </c>
      <c r="B384" s="104" t="str">
        <f>Cadastro!$B384</f>
        <v>CURITIBA</v>
      </c>
      <c r="C384" s="107" t="str">
        <f>Cadastro!$C384</f>
        <v>https://monitoramento.pm.pr.gov.br/proxy_image_3/</v>
      </c>
      <c r="D384" s="105">
        <f>Cadastro!$D384</f>
        <v>38601</v>
      </c>
      <c r="E384" s="104" t="str">
        <f>Cadastro!$E384</f>
        <v>TE009CFTV11</v>
      </c>
      <c r="F384" s="104" t="str">
        <f>Cadastro!$F384</f>
        <v>Terminal Capão da Imbuia &gt; Centenario</v>
      </c>
      <c r="G384" s="104" t="str">
        <f>Cadastro!$G384</f>
        <v>-25.440183</v>
      </c>
      <c r="H384" s="104" t="str">
        <f>Cadastro!$H384</f>
        <v>-49.221454</v>
      </c>
      <c r="I384" s="104" t="str">
        <f>Cadastro!$I384</f>
        <v>copom_DDTQ</v>
      </c>
      <c r="J384" s="104" t="str">
        <f>Cadastro!$J384</f>
        <v>DDTQcopom</v>
      </c>
      <c r="K384" s="104" t="s">
        <v>4536</v>
      </c>
      <c r="L384" s="104" t="s">
        <v>26</v>
      </c>
      <c r="M384" s="104" t="s">
        <v>27</v>
      </c>
      <c r="N384" s="108" t="str">
        <f t="shared" si="1"/>
        <v>URBS 3</v>
      </c>
      <c r="O384" s="109" t="str">
        <f>Cadastro!$O384</f>
        <v>https://monitoramento.pm.pr.gov.br/proxy_image_3/Interface/Cameras/GetJPEGStream?Camera=TE009CFTV11&amp;AuthUser=copom_DDTQ&amp;AuthPass=DDTQcopom&amp;Width=1024&amp;Height=768&amp;Quality=70&amp;FPS=10&amp;ResponseFormat=Text</v>
      </c>
      <c r="P384" s="106">
        <f>Cadastro!$P384</f>
        <v>1</v>
      </c>
    </row>
    <row r="385">
      <c r="A385" s="104" t="str">
        <f>Cadastro!$A385</f>
        <v>URBS 3</v>
      </c>
      <c r="B385" s="104" t="str">
        <f>Cadastro!$B385</f>
        <v>CURITIBA</v>
      </c>
      <c r="C385" s="107" t="str">
        <f>Cadastro!$C385</f>
        <v>https://monitoramento.pm.pr.gov.br/proxy_image_3/</v>
      </c>
      <c r="D385" s="105">
        <f>Cadastro!$D385</f>
        <v>38601</v>
      </c>
      <c r="E385" s="104" t="str">
        <f>Cadastro!$E385</f>
        <v>TE010CFTV01</v>
      </c>
      <c r="F385" s="104" t="str">
        <f>Cadastro!$F385</f>
        <v>Terminal Capão Raso &gt; Pinheirinho</v>
      </c>
      <c r="G385" s="104" t="str">
        <f>Cadastro!$G385</f>
        <v>-25.491832</v>
      </c>
      <c r="H385" s="104" t="str">
        <f>Cadastro!$H385</f>
        <v>-49.293658</v>
      </c>
      <c r="I385" s="104" t="str">
        <f>Cadastro!$I385</f>
        <v>copom_DDTQ</v>
      </c>
      <c r="J385" s="104" t="str">
        <f>Cadastro!$J385</f>
        <v>DDTQcopom</v>
      </c>
      <c r="K385" s="104" t="s">
        <v>4536</v>
      </c>
      <c r="L385" s="104" t="s">
        <v>26</v>
      </c>
      <c r="M385" s="104" t="s">
        <v>27</v>
      </c>
      <c r="N385" s="108" t="str">
        <f t="shared" si="1"/>
        <v>URBS 3</v>
      </c>
      <c r="O385" s="109" t="str">
        <f>Cadastro!$O385</f>
        <v>https://monitoramento.pm.pr.gov.br/proxy_image_3/Interface/Cameras/GetJPEGStream?Camera=TE010CFTV01&amp;AuthUser=copom_DDTQ&amp;AuthPass=DDTQcopom&amp;Width=1024&amp;Height=768&amp;Quality=70&amp;FPS=10&amp;ResponseFormat=Text</v>
      </c>
      <c r="P385" s="106">
        <f>Cadastro!$P385</f>
        <v>1</v>
      </c>
    </row>
    <row r="386">
      <c r="A386" s="104" t="str">
        <f>Cadastro!$A386</f>
        <v>URBS 3</v>
      </c>
      <c r="B386" s="104" t="str">
        <f>Cadastro!$B386</f>
        <v>CURITIBA</v>
      </c>
      <c r="C386" s="107" t="str">
        <f>Cadastro!$C386</f>
        <v>https://monitoramento.pm.pr.gov.br/proxy_image_3/</v>
      </c>
      <c r="D386" s="105">
        <f>Cadastro!$D386</f>
        <v>38601</v>
      </c>
      <c r="E386" s="104" t="str">
        <f>Cadastro!$E386</f>
        <v>TE010CFTV02</v>
      </c>
      <c r="F386" s="104" t="str">
        <f>Cadastro!$F386</f>
        <v>Terminal Capão Raso &gt; Interbairros II</v>
      </c>
      <c r="G386" s="104" t="str">
        <f>Cadastro!$G386</f>
        <v>-25.491897</v>
      </c>
      <c r="H386" s="104" t="str">
        <f>Cadastro!$H386</f>
        <v>-49.293302</v>
      </c>
      <c r="I386" s="104" t="str">
        <f>Cadastro!$I386</f>
        <v>copom_DDTQ</v>
      </c>
      <c r="J386" s="104" t="str">
        <f>Cadastro!$J386</f>
        <v>DDTQcopom</v>
      </c>
      <c r="K386" s="104" t="s">
        <v>4536</v>
      </c>
      <c r="L386" s="104" t="s">
        <v>26</v>
      </c>
      <c r="M386" s="104" t="s">
        <v>27</v>
      </c>
      <c r="N386" s="108" t="str">
        <f t="shared" si="1"/>
        <v>URBS 3</v>
      </c>
      <c r="O386" s="109" t="str">
        <f>Cadastro!$O386</f>
        <v>https://monitoramento.pm.pr.gov.br/proxy_image_3/Interface/Cameras/GetJPEGStream?Camera=TE010CFTV02&amp;AuthUser=copom_DDTQ&amp;AuthPass=DDTQcopom&amp;Width=1024&amp;Height=768&amp;Quality=70&amp;FPS=10&amp;ResponseFormat=Text</v>
      </c>
      <c r="P386" s="106">
        <f>Cadastro!$P386</f>
        <v>1</v>
      </c>
    </row>
    <row r="387">
      <c r="A387" s="104" t="str">
        <f>Cadastro!$A387</f>
        <v>URBS 3</v>
      </c>
      <c r="B387" s="104" t="str">
        <f>Cadastro!$B387</f>
        <v>CURITIBA</v>
      </c>
      <c r="C387" s="107" t="str">
        <f>Cadastro!$C387</f>
        <v>https://monitoramento.pm.pr.gov.br/proxy_image_3/</v>
      </c>
      <c r="D387" s="105">
        <f>Cadastro!$D387</f>
        <v>38601</v>
      </c>
      <c r="E387" s="104" t="str">
        <f>Cadastro!$E387</f>
        <v>TE010CFTV03</v>
      </c>
      <c r="F387" s="104" t="str">
        <f>Cadastro!$F387</f>
        <v>Terminal Capão Raso &gt; Santa Cândida/C. Raso</v>
      </c>
      <c r="G387" s="104" t="str">
        <f>Cadastro!$G387</f>
        <v>-25.492085</v>
      </c>
      <c r="H387" s="104" t="str">
        <f>Cadastro!$H387</f>
        <v>-49.293374</v>
      </c>
      <c r="I387" s="104" t="str">
        <f>Cadastro!$I387</f>
        <v>copom_DDTQ</v>
      </c>
      <c r="J387" s="104" t="str">
        <f>Cadastro!$J387</f>
        <v>DDTQcopom</v>
      </c>
      <c r="K387" s="104" t="s">
        <v>4536</v>
      </c>
      <c r="L387" s="104" t="s">
        <v>26</v>
      </c>
      <c r="M387" s="104" t="s">
        <v>27</v>
      </c>
      <c r="N387" s="108" t="str">
        <f t="shared" si="1"/>
        <v>URBS 3</v>
      </c>
      <c r="O387" s="109" t="str">
        <f>Cadastro!$O387</f>
        <v>https://monitoramento.pm.pr.gov.br/proxy_image_3/Interface/Cameras/GetJPEGStream?Camera=TE010CFTV03&amp;AuthUser=copom_DDTQ&amp;AuthPass=DDTQcopom&amp;Width=1024&amp;Height=768&amp;Quality=70&amp;FPS=10&amp;ResponseFormat=Text</v>
      </c>
      <c r="P387" s="106">
        <f>Cadastro!$P387</f>
        <v>1</v>
      </c>
    </row>
    <row r="388">
      <c r="A388" s="104" t="str">
        <f>Cadastro!$A388</f>
        <v>URBS 3</v>
      </c>
      <c r="B388" s="104" t="str">
        <f>Cadastro!$B388</f>
        <v>CURITIBA</v>
      </c>
      <c r="C388" s="107" t="str">
        <f>Cadastro!$C388</f>
        <v>https://monitoramento.pm.pr.gov.br/proxy_image_3/</v>
      </c>
      <c r="D388" s="105">
        <f>Cadastro!$D388</f>
        <v>38601</v>
      </c>
      <c r="E388" s="104" t="str">
        <f>Cadastro!$E388</f>
        <v>TE010CFTV04</v>
      </c>
      <c r="F388" s="104" t="str">
        <f>Cadastro!$F388</f>
        <v>Terminal Capão Raso &gt; Rui Barbosa/ Portão</v>
      </c>
      <c r="G388" s="104" t="str">
        <f>Cadastro!$G388</f>
        <v>-25.492251</v>
      </c>
      <c r="H388" s="104" t="str">
        <f>Cadastro!$H388</f>
        <v>-49.293427</v>
      </c>
      <c r="I388" s="104" t="str">
        <f>Cadastro!$I388</f>
        <v>copom_DDTQ</v>
      </c>
      <c r="J388" s="104" t="str">
        <f>Cadastro!$J388</f>
        <v>DDTQcopom</v>
      </c>
      <c r="K388" s="104" t="s">
        <v>4536</v>
      </c>
      <c r="L388" s="104" t="s">
        <v>26</v>
      </c>
      <c r="M388" s="104" t="s">
        <v>27</v>
      </c>
      <c r="N388" s="108" t="str">
        <f t="shared" si="1"/>
        <v>URBS 3</v>
      </c>
      <c r="O388" s="109" t="str">
        <f>Cadastro!$O388</f>
        <v>https://monitoramento.pm.pr.gov.br/proxy_image_3/Interface/Cameras/GetJPEGStream?Camera=TE010CFTV04&amp;AuthUser=copom_DDTQ&amp;AuthPass=DDTQcopom&amp;Width=1024&amp;Height=768&amp;Quality=70&amp;FPS=10&amp;ResponseFormat=Text</v>
      </c>
      <c r="P388" s="106">
        <f>Cadastro!$P388</f>
        <v>1</v>
      </c>
    </row>
    <row r="389">
      <c r="A389" s="104" t="str">
        <f>Cadastro!$A389</f>
        <v>URBS 3</v>
      </c>
      <c r="B389" s="104" t="str">
        <f>Cadastro!$B389</f>
        <v>CURITIBA</v>
      </c>
      <c r="C389" s="107" t="str">
        <f>Cadastro!$C389</f>
        <v>https://monitoramento.pm.pr.gov.br/proxy_image_3/</v>
      </c>
      <c r="D389" s="105">
        <f>Cadastro!$D389</f>
        <v>38601</v>
      </c>
      <c r="E389" s="104" t="str">
        <f>Cadastro!$E389</f>
        <v>TE010CFTV05</v>
      </c>
      <c r="F389" s="104" t="str">
        <f>Cadastro!$F389</f>
        <v>Terminal Capão Raso &gt; Interbairros III</v>
      </c>
      <c r="G389" s="104" t="str">
        <f>Cadastro!$G389</f>
        <v>-25.491859</v>
      </c>
      <c r="H389" s="104" t="str">
        <f>Cadastro!$H389</f>
        <v>-49.293258</v>
      </c>
      <c r="I389" s="104" t="str">
        <f>Cadastro!$I389</f>
        <v>copom_DDTQ</v>
      </c>
      <c r="J389" s="104" t="str">
        <f>Cadastro!$J389</f>
        <v>DDTQcopom</v>
      </c>
      <c r="K389" s="104" t="s">
        <v>4536</v>
      </c>
      <c r="L389" s="104" t="s">
        <v>26</v>
      </c>
      <c r="M389" s="104" t="s">
        <v>27</v>
      </c>
      <c r="N389" s="108" t="str">
        <f t="shared" si="1"/>
        <v>URBS 3</v>
      </c>
      <c r="O389" s="109" t="str">
        <f>Cadastro!$O389</f>
        <v>https://monitoramento.pm.pr.gov.br/proxy_image_3/Interface/Cameras/GetJPEGStream?Camera=TE010CFTV05&amp;AuthUser=copom_DDTQ&amp;AuthPass=DDTQcopom&amp;Width=1024&amp;Height=768&amp;Quality=70&amp;FPS=10&amp;ResponseFormat=Text</v>
      </c>
      <c r="P389" s="106">
        <f>Cadastro!$P389</f>
        <v>1</v>
      </c>
    </row>
    <row r="390">
      <c r="A390" s="104" t="str">
        <f>Cadastro!$A390</f>
        <v>URBS 3</v>
      </c>
      <c r="B390" s="104" t="str">
        <f>Cadastro!$B390</f>
        <v>CURITIBA</v>
      </c>
      <c r="C390" s="107" t="str">
        <f>Cadastro!$C390</f>
        <v>https://monitoramento.pm.pr.gov.br/proxy_image_3/</v>
      </c>
      <c r="D390" s="105">
        <f>Cadastro!$D390</f>
        <v>38601</v>
      </c>
      <c r="E390" s="104" t="str">
        <f>Cadastro!$E390</f>
        <v>TE010CFTV06</v>
      </c>
      <c r="F390" s="104" t="str">
        <f>Cadastro!$F390</f>
        <v>Terminal Capão Raso &gt; Interbairros II Horário</v>
      </c>
      <c r="G390" s="104" t="str">
        <f>Cadastro!$G390</f>
        <v>-25.492129</v>
      </c>
      <c r="H390" s="104" t="str">
        <f>Cadastro!$H390</f>
        <v>-49.293073</v>
      </c>
      <c r="I390" s="104" t="str">
        <f>Cadastro!$I390</f>
        <v>copom_DDTQ</v>
      </c>
      <c r="J390" s="104" t="str">
        <f>Cadastro!$J390</f>
        <v>DDTQcopom</v>
      </c>
      <c r="K390" s="104" t="s">
        <v>4536</v>
      </c>
      <c r="L390" s="104" t="s">
        <v>26</v>
      </c>
      <c r="M390" s="104" t="s">
        <v>27</v>
      </c>
      <c r="N390" s="108" t="str">
        <f t="shared" si="1"/>
        <v>URBS 3</v>
      </c>
      <c r="O390" s="109" t="str">
        <f>Cadastro!$O390</f>
        <v>https://monitoramento.pm.pr.gov.br/proxy_image_3/Interface/Cameras/GetJPEGStream?Camera=TE010CFTV06&amp;AuthUser=copom_DDTQ&amp;AuthPass=DDTQcopom&amp;Width=1024&amp;Height=768&amp;Quality=70&amp;FPS=10&amp;ResponseFormat=Text</v>
      </c>
      <c r="P390" s="106">
        <f>Cadastro!$P390</f>
        <v>1</v>
      </c>
    </row>
    <row r="391">
      <c r="A391" s="104" t="str">
        <f>Cadastro!$A391</f>
        <v>URBS 3</v>
      </c>
      <c r="B391" s="104" t="str">
        <f>Cadastro!$B391</f>
        <v>CURITIBA</v>
      </c>
      <c r="C391" s="107" t="str">
        <f>Cadastro!$C391</f>
        <v>https://monitoramento.pm.pr.gov.br/proxy_image_3/</v>
      </c>
      <c r="D391" s="105">
        <f>Cadastro!$D391</f>
        <v>38601</v>
      </c>
      <c r="E391" s="104" t="str">
        <f>Cadastro!$E391</f>
        <v>TE010CFTV07</v>
      </c>
      <c r="F391" s="104" t="str">
        <f>Cadastro!$F391</f>
        <v>Terminal Capão Raso &gt; ET Araucaria</v>
      </c>
      <c r="G391" s="104" t="str">
        <f>Cadastro!$G391</f>
        <v>-25.491887</v>
      </c>
      <c r="H391" s="104" t="str">
        <f>Cadastro!$H391</f>
        <v>-49.293730</v>
      </c>
      <c r="I391" s="104" t="str">
        <f>Cadastro!$I391</f>
        <v>copom_DDTQ</v>
      </c>
      <c r="J391" s="104" t="str">
        <f>Cadastro!$J391</f>
        <v>DDTQcopom</v>
      </c>
      <c r="K391" s="104" t="s">
        <v>4536</v>
      </c>
      <c r="L391" s="104" t="s">
        <v>26</v>
      </c>
      <c r="M391" s="104" t="s">
        <v>27</v>
      </c>
      <c r="N391" s="108" t="str">
        <f t="shared" si="1"/>
        <v>URBS 3</v>
      </c>
      <c r="O391" s="109" t="str">
        <f>Cadastro!$O391</f>
        <v>https://monitoramento.pm.pr.gov.br/proxy_image_3/Interface/Cameras/GetJPEGStream?Camera=TE010CFTV07&amp;AuthUser=copom_DDTQ&amp;AuthPass=DDTQcopom&amp;Width=1024&amp;Height=768&amp;Quality=70&amp;FPS=10&amp;ResponseFormat=Text</v>
      </c>
      <c r="P391" s="106">
        <f>Cadastro!$P391</f>
        <v>1</v>
      </c>
    </row>
    <row r="392">
      <c r="A392" s="104" t="str">
        <f>Cadastro!$A392</f>
        <v>URBS 3</v>
      </c>
      <c r="B392" s="104" t="str">
        <f>Cadastro!$B392</f>
        <v>CURITIBA</v>
      </c>
      <c r="C392" s="107" t="str">
        <f>Cadastro!$C392</f>
        <v>https://monitoramento.pm.pr.gov.br/proxy_image_3/</v>
      </c>
      <c r="D392" s="105">
        <f>Cadastro!$D392</f>
        <v>38601</v>
      </c>
      <c r="E392" s="104" t="str">
        <f>Cadastro!$E392</f>
        <v>TE010CFTV08</v>
      </c>
      <c r="F392" s="104" t="str">
        <f>Cadastro!$F392</f>
        <v>Terminal Capão Raso &gt; ET Inter II &gt; Hauer</v>
      </c>
      <c r="G392" s="104" t="str">
        <f>Cadastro!$G392</f>
        <v>-25.492304</v>
      </c>
      <c r="H392" s="104" t="str">
        <f>Cadastro!$H392</f>
        <v>-49.293679</v>
      </c>
      <c r="I392" s="104" t="str">
        <f>Cadastro!$I392</f>
        <v>copom_DDTQ</v>
      </c>
      <c r="J392" s="104" t="str">
        <f>Cadastro!$J392</f>
        <v>DDTQcopom</v>
      </c>
      <c r="K392" s="104" t="s">
        <v>4536</v>
      </c>
      <c r="L392" s="104" t="s">
        <v>26</v>
      </c>
      <c r="M392" s="104" t="s">
        <v>27</v>
      </c>
      <c r="N392" s="108" t="str">
        <f t="shared" si="1"/>
        <v>URBS 3</v>
      </c>
      <c r="O392" s="109" t="str">
        <f>Cadastro!$O392</f>
        <v>https://monitoramento.pm.pr.gov.br/proxy_image_3/Interface/Cameras/GetJPEGStream?Camera=TE010CFTV08&amp;AuthUser=copom_DDTQ&amp;AuthPass=DDTQcopom&amp;Width=1024&amp;Height=768&amp;Quality=70&amp;FPS=10&amp;ResponseFormat=Text</v>
      </c>
      <c r="P392" s="106">
        <f>Cadastro!$P392</f>
        <v>1</v>
      </c>
    </row>
    <row r="393">
      <c r="A393" s="104" t="str">
        <f>Cadastro!$A393</f>
        <v>URBS 3</v>
      </c>
      <c r="B393" s="104" t="str">
        <f>Cadastro!$B393</f>
        <v>CURITIBA</v>
      </c>
      <c r="C393" s="107" t="str">
        <f>Cadastro!$C393</f>
        <v>https://monitoramento.pm.pr.gov.br/proxy_image_3/</v>
      </c>
      <c r="D393" s="105">
        <f>Cadastro!$D393</f>
        <v>38601</v>
      </c>
      <c r="E393" s="104" t="str">
        <f>Cadastro!$E393</f>
        <v>TE010CFTV09</v>
      </c>
      <c r="F393" s="104" t="str">
        <f>Cadastro!$F393</f>
        <v>Terminal Capão Raso &gt; ET Inter II &gt; C. Siqueira</v>
      </c>
      <c r="G393" s="104" t="str">
        <f>Cadastro!$G393</f>
        <v>-25.491727</v>
      </c>
      <c r="H393" s="104" t="str">
        <f>Cadastro!$H393</f>
        <v>-49.293100</v>
      </c>
      <c r="I393" s="104" t="str">
        <f>Cadastro!$I393</f>
        <v>copom_DDTQ</v>
      </c>
      <c r="J393" s="104" t="str">
        <f>Cadastro!$J393</f>
        <v>DDTQcopom</v>
      </c>
      <c r="K393" s="104" t="s">
        <v>4536</v>
      </c>
      <c r="L393" s="104" t="s">
        <v>26</v>
      </c>
      <c r="M393" s="104" t="s">
        <v>27</v>
      </c>
      <c r="N393" s="108" t="str">
        <f t="shared" si="1"/>
        <v>URBS 3</v>
      </c>
      <c r="O393" s="109" t="str">
        <f>Cadastro!$O393</f>
        <v>https://monitoramento.pm.pr.gov.br/proxy_image_3/Interface/Cameras/GetJPEGStream?Camera=TE010CFTV09&amp;AuthUser=copom_DDTQ&amp;AuthPass=DDTQcopom&amp;Width=1024&amp;Height=768&amp;Quality=70&amp;FPS=10&amp;ResponseFormat=Text</v>
      </c>
      <c r="P393" s="106">
        <f>Cadastro!$P393</f>
        <v>1</v>
      </c>
    </row>
    <row r="394">
      <c r="A394" s="104" t="str">
        <f>Cadastro!$A394</f>
        <v>URBS 3</v>
      </c>
      <c r="B394" s="104" t="str">
        <f>Cadastro!$B394</f>
        <v>CURITIBA</v>
      </c>
      <c r="C394" s="107" t="str">
        <f>Cadastro!$C394</f>
        <v>https://monitoramento.pm.pr.gov.br/proxy_image_3/</v>
      </c>
      <c r="D394" s="105">
        <f>Cadastro!$D394</f>
        <v>38601</v>
      </c>
      <c r="E394" s="104" t="str">
        <f>Cadastro!$E394</f>
        <v>TE010CFTV10</v>
      </c>
      <c r="F394" s="104" t="str">
        <f>Cadastro!$F394</f>
        <v>Terminal Capão Raso &gt; ET Inter II &gt; CIC &gt; Cabral</v>
      </c>
      <c r="G394" s="104" t="str">
        <f>Cadastro!$G394</f>
        <v>-25.492077</v>
      </c>
      <c r="H394" s="104" t="str">
        <f>Cadastro!$H394</f>
        <v>-49.293057</v>
      </c>
      <c r="I394" s="104" t="str">
        <f>Cadastro!$I394</f>
        <v>copom_DDTQ</v>
      </c>
      <c r="J394" s="104" t="str">
        <f>Cadastro!$J394</f>
        <v>DDTQcopom</v>
      </c>
      <c r="K394" s="104" t="s">
        <v>4536</v>
      </c>
      <c r="L394" s="104" t="s">
        <v>26</v>
      </c>
      <c r="M394" s="104" t="s">
        <v>27</v>
      </c>
      <c r="N394" s="108" t="str">
        <f t="shared" si="1"/>
        <v>URBS 3</v>
      </c>
      <c r="O394" s="109" t="str">
        <f>Cadastro!$O394</f>
        <v>https://monitoramento.pm.pr.gov.br/proxy_image_3/Interface/Cameras/GetJPEGStream?Camera=TE010CFTV10&amp;AuthUser=copom_DDTQ&amp;AuthPass=DDTQcopom&amp;Width=1024&amp;Height=768&amp;Quality=70&amp;FPS=10&amp;ResponseFormat=Text</v>
      </c>
      <c r="P394" s="106">
        <f>Cadastro!$P394</f>
        <v>1</v>
      </c>
    </row>
    <row r="395">
      <c r="A395" s="104" t="str">
        <f>Cadastro!$A395</f>
        <v>URBS 3</v>
      </c>
      <c r="B395" s="104" t="str">
        <f>Cadastro!$B395</f>
        <v>CURITIBA</v>
      </c>
      <c r="C395" s="107" t="str">
        <f>Cadastro!$C395</f>
        <v>https://monitoramento.pm.pr.gov.br/proxy_image_3/</v>
      </c>
      <c r="D395" s="105">
        <f>Cadastro!$D395</f>
        <v>38601</v>
      </c>
      <c r="E395" s="104" t="str">
        <f>Cadastro!$E395</f>
        <v>TE010CFTV11</v>
      </c>
      <c r="F395" s="104" t="str">
        <f>Cadastro!$F395</f>
        <v>Terminal Capão Raso &gt; Sitio Cercado &gt; Horario</v>
      </c>
      <c r="G395" s="104">
        <f>Cadastro!$G395</f>
        <v>0</v>
      </c>
      <c r="H395" s="104">
        <f>Cadastro!$H395</f>
        <v>0</v>
      </c>
      <c r="I395" s="104" t="str">
        <f>Cadastro!$I395</f>
        <v>copom_DDTQ</v>
      </c>
      <c r="J395" s="104" t="str">
        <f>Cadastro!$J395</f>
        <v>DDTQcopom</v>
      </c>
      <c r="K395" s="104" t="s">
        <v>4536</v>
      </c>
      <c r="L395" s="104" t="s">
        <v>26</v>
      </c>
      <c r="M395" s="104" t="s">
        <v>27</v>
      </c>
      <c r="N395" s="108" t="str">
        <f t="shared" si="1"/>
        <v>URBS 3</v>
      </c>
      <c r="O395" s="109" t="str">
        <f>Cadastro!$O395</f>
        <v>https://monitoramento.pm.pr.gov.br/proxy_image_3/Interface/Cameras/GetJPEGStream?Camera=TE010CFTV11&amp;AuthUser=copom_DDTQ&amp;AuthPass=DDTQcopom&amp;Width=1024&amp;Height=768&amp;Quality=70&amp;FPS=10&amp;ResponseFormat=Text</v>
      </c>
      <c r="P395" s="106">
        <f>Cadastro!$P395</f>
        <v>1</v>
      </c>
    </row>
    <row r="396">
      <c r="A396" s="104" t="str">
        <f>Cadastro!$A396</f>
        <v>URBS 3</v>
      </c>
      <c r="B396" s="104" t="str">
        <f>Cadastro!$B396</f>
        <v>CURITIBA</v>
      </c>
      <c r="C396" s="107" t="str">
        <f>Cadastro!$C396</f>
        <v>https://monitoramento.pm.pr.gov.br/proxy_image_3/</v>
      </c>
      <c r="D396" s="105">
        <f>Cadastro!$D396</f>
        <v>38601</v>
      </c>
      <c r="E396" s="104" t="str">
        <f>Cadastro!$E396</f>
        <v>TE010CFTV12</v>
      </c>
      <c r="F396" s="104" t="str">
        <f>Cadastro!$F396</f>
        <v>Terminal Capão Raso &gt; Entrada 1</v>
      </c>
      <c r="G396" s="104" t="str">
        <f>Cadastro!$G396</f>
        <v>-25.492477</v>
      </c>
      <c r="H396" s="104" t="str">
        <f>Cadastro!$H396</f>
        <v>-49.293015</v>
      </c>
      <c r="I396" s="104" t="str">
        <f>Cadastro!$I396</f>
        <v>copom_DDTQ</v>
      </c>
      <c r="J396" s="104" t="str">
        <f>Cadastro!$J396</f>
        <v>DDTQcopom</v>
      </c>
      <c r="K396" s="104" t="s">
        <v>4536</v>
      </c>
      <c r="L396" s="104" t="s">
        <v>26</v>
      </c>
      <c r="M396" s="104" t="s">
        <v>27</v>
      </c>
      <c r="N396" s="108" t="str">
        <f t="shared" si="1"/>
        <v>URBS 3</v>
      </c>
      <c r="O396" s="109" t="str">
        <f>Cadastro!$O396</f>
        <v>https://monitoramento.pm.pr.gov.br/proxy_image_3/Interface/Cameras/GetJPEGStream?Camera=TE010CFTV12&amp;AuthUser=copom_DDTQ&amp;AuthPass=DDTQcopom&amp;Width=1024&amp;Height=768&amp;Quality=70&amp;FPS=10&amp;ResponseFormat=Text</v>
      </c>
      <c r="P396" s="106">
        <f>Cadastro!$P396</f>
        <v>1</v>
      </c>
    </row>
    <row r="397">
      <c r="A397" s="104" t="str">
        <f>Cadastro!$A397</f>
        <v>URBS 3</v>
      </c>
      <c r="B397" s="104" t="str">
        <f>Cadastro!$B397</f>
        <v>CURITIBA</v>
      </c>
      <c r="C397" s="107" t="str">
        <f>Cadastro!$C397</f>
        <v>https://monitoramento.pm.pr.gov.br/proxy_image_3/</v>
      </c>
      <c r="D397" s="105">
        <f>Cadastro!$D397</f>
        <v>38601</v>
      </c>
      <c r="E397" s="104" t="str">
        <f>Cadastro!$E397</f>
        <v>TE010CFTV13</v>
      </c>
      <c r="F397" s="104" t="str">
        <f>Cadastro!$F397</f>
        <v>Terminal Capão Raso &gt; Expresso Pinheirinho</v>
      </c>
      <c r="G397" s="104" t="str">
        <f>Cadastro!$G397</f>
        <v>-25.491783</v>
      </c>
      <c r="H397" s="104" t="str">
        <f>Cadastro!$H397</f>
        <v>-49.293661</v>
      </c>
      <c r="I397" s="104" t="str">
        <f>Cadastro!$I397</f>
        <v>copom_DDTQ</v>
      </c>
      <c r="J397" s="104" t="str">
        <f>Cadastro!$J397</f>
        <v>DDTQcopom</v>
      </c>
      <c r="K397" s="104" t="s">
        <v>4536</v>
      </c>
      <c r="L397" s="104" t="s">
        <v>26</v>
      </c>
      <c r="M397" s="104" t="s">
        <v>27</v>
      </c>
      <c r="N397" s="108" t="str">
        <f t="shared" si="1"/>
        <v>URBS 3</v>
      </c>
      <c r="O397" s="109" t="str">
        <f>Cadastro!$O397</f>
        <v>https://monitoramento.pm.pr.gov.br/proxy_image_3/Interface/Cameras/GetJPEGStream?Camera=TE010CFTV13&amp;AuthUser=copom_DDTQ&amp;AuthPass=DDTQcopom&amp;Width=1024&amp;Height=768&amp;Quality=70&amp;FPS=10&amp;ResponseFormat=Text</v>
      </c>
      <c r="P397" s="106">
        <f>Cadastro!$P397</f>
        <v>1</v>
      </c>
    </row>
    <row r="398">
      <c r="A398" s="104" t="str">
        <f>Cadastro!$A398</f>
        <v>URBS 3</v>
      </c>
      <c r="B398" s="104" t="str">
        <f>Cadastro!$B398</f>
        <v>CURITIBA</v>
      </c>
      <c r="C398" s="107" t="str">
        <f>Cadastro!$C398</f>
        <v>https://monitoramento.pm.pr.gov.br/proxy_image_3/</v>
      </c>
      <c r="D398" s="105">
        <f>Cadastro!$D398</f>
        <v>38601</v>
      </c>
      <c r="E398" s="104" t="str">
        <f>Cadastro!$E398</f>
        <v>TE010CFTV14</v>
      </c>
      <c r="F398" s="104" t="str">
        <f>Cadastro!$F398</f>
        <v>Terminal Capão Raso &gt; Entrada 2</v>
      </c>
      <c r="G398" s="104" t="str">
        <f>Cadastro!$G398</f>
        <v>-25.492398</v>
      </c>
      <c r="H398" s="104" t="str">
        <f>Cadastro!$H398</f>
        <v>-49.293616</v>
      </c>
      <c r="I398" s="104" t="str">
        <f>Cadastro!$I398</f>
        <v>copom_DDTQ</v>
      </c>
      <c r="J398" s="104" t="str">
        <f>Cadastro!$J398</f>
        <v>DDTQcopom</v>
      </c>
      <c r="K398" s="104" t="s">
        <v>4536</v>
      </c>
      <c r="L398" s="104" t="s">
        <v>26</v>
      </c>
      <c r="M398" s="104" t="s">
        <v>27</v>
      </c>
      <c r="N398" s="108" t="str">
        <f t="shared" si="1"/>
        <v>URBS 3</v>
      </c>
      <c r="O398" s="109" t="str">
        <f>Cadastro!$O398</f>
        <v>https://monitoramento.pm.pr.gov.br/proxy_image_3/Interface/Cameras/GetJPEGStream?Camera=TE010CFTV14&amp;AuthUser=copom_DDTQ&amp;AuthPass=DDTQcopom&amp;Width=1024&amp;Height=768&amp;Quality=70&amp;FPS=10&amp;ResponseFormat=Text</v>
      </c>
      <c r="P398" s="106">
        <f>Cadastro!$P398</f>
        <v>1</v>
      </c>
    </row>
    <row r="399">
      <c r="A399" s="104" t="str">
        <f>Cadastro!$A399</f>
        <v>URBS 3</v>
      </c>
      <c r="B399" s="104" t="str">
        <f>Cadastro!$B399</f>
        <v>CURITIBA</v>
      </c>
      <c r="C399" s="107" t="str">
        <f>Cadastro!$C399</f>
        <v>https://monitoramento.pm.pr.gov.br/proxy_image_3/</v>
      </c>
      <c r="D399" s="105">
        <f>Cadastro!$D399</f>
        <v>38601</v>
      </c>
      <c r="E399" s="104" t="str">
        <f>Cadastro!$E399</f>
        <v>TE010CFTV15</v>
      </c>
      <c r="F399" s="104" t="str">
        <f>Cadastro!$F399</f>
        <v>Terminal Capão Raso &gt; Entrada 3</v>
      </c>
      <c r="G399" s="104" t="str">
        <f>Cadastro!$G399</f>
        <v>-25.492236</v>
      </c>
      <c r="H399" s="104" t="str">
        <f>Cadastro!$H399</f>
        <v>-49.293346</v>
      </c>
      <c r="I399" s="104" t="str">
        <f>Cadastro!$I399</f>
        <v>copom_DDTQ</v>
      </c>
      <c r="J399" s="104" t="str">
        <f>Cadastro!$J399</f>
        <v>DDTQcopom</v>
      </c>
      <c r="K399" s="104" t="s">
        <v>4536</v>
      </c>
      <c r="L399" s="104" t="s">
        <v>26</v>
      </c>
      <c r="M399" s="104" t="s">
        <v>27</v>
      </c>
      <c r="N399" s="108" t="str">
        <f t="shared" si="1"/>
        <v>URBS 3</v>
      </c>
      <c r="O399" s="109" t="str">
        <f>Cadastro!$O399</f>
        <v>https://monitoramento.pm.pr.gov.br/proxy_image_3/Interface/Cameras/GetJPEGStream?Camera=TE010CFTV15&amp;AuthUser=copom_DDTQ&amp;AuthPass=DDTQcopom&amp;Width=1024&amp;Height=768&amp;Quality=70&amp;FPS=10&amp;ResponseFormat=Text</v>
      </c>
      <c r="P399" s="106">
        <f>Cadastro!$P399</f>
        <v>1</v>
      </c>
    </row>
    <row r="400">
      <c r="A400" s="104" t="str">
        <f>Cadastro!$A400</f>
        <v>URBS 3</v>
      </c>
      <c r="B400" s="104" t="str">
        <f>Cadastro!$B400</f>
        <v>CURITIBA</v>
      </c>
      <c r="C400" s="107" t="str">
        <f>Cadastro!$C400</f>
        <v>https://monitoramento.pm.pr.gov.br/proxy_image_3/</v>
      </c>
      <c r="D400" s="105">
        <f>Cadastro!$D400</f>
        <v>38601</v>
      </c>
      <c r="E400" s="104" t="str">
        <f>Cadastro!$E400</f>
        <v>TE010CFTV16</v>
      </c>
      <c r="F400" s="104" t="str">
        <f>Cadastro!$F400</f>
        <v>Terminal Capão Raso &gt; Vila São Pedro</v>
      </c>
      <c r="G400" s="104" t="str">
        <f>Cadastro!$G400</f>
        <v>-25.492267</v>
      </c>
      <c r="H400" s="104" t="str">
        <f>Cadastro!$H400</f>
        <v>-49.293255</v>
      </c>
      <c r="I400" s="104" t="str">
        <f>Cadastro!$I400</f>
        <v>copom_DDTQ</v>
      </c>
      <c r="J400" s="104" t="str">
        <f>Cadastro!$J400</f>
        <v>DDTQcopom</v>
      </c>
      <c r="K400" s="104" t="s">
        <v>4536</v>
      </c>
      <c r="L400" s="104" t="s">
        <v>26</v>
      </c>
      <c r="M400" s="104" t="s">
        <v>27</v>
      </c>
      <c r="N400" s="108" t="str">
        <f t="shared" si="1"/>
        <v>URBS 3</v>
      </c>
      <c r="O400" s="109" t="str">
        <f>Cadastro!$O400</f>
        <v>https://monitoramento.pm.pr.gov.br/proxy_image_3/Interface/Cameras/GetJPEGStream?Camera=TE010CFTV16&amp;AuthUser=copom_DDTQ&amp;AuthPass=DDTQcopom&amp;Width=1024&amp;Height=768&amp;Quality=70&amp;FPS=10&amp;ResponseFormat=Text</v>
      </c>
      <c r="P400" s="106">
        <f>Cadastro!$P400</f>
        <v>1</v>
      </c>
    </row>
    <row r="401">
      <c r="A401" s="104" t="str">
        <f>Cadastro!$A401</f>
        <v>URBS 3</v>
      </c>
      <c r="B401" s="104" t="str">
        <f>Cadastro!$B401</f>
        <v>CURITIBA</v>
      </c>
      <c r="C401" s="107" t="str">
        <f>Cadastro!$C401</f>
        <v>https://monitoramento.pm.pr.gov.br/proxy_image_3/</v>
      </c>
      <c r="D401" s="105">
        <f>Cadastro!$D401</f>
        <v>38601</v>
      </c>
      <c r="E401" s="104" t="str">
        <f>Cadastro!$E401</f>
        <v>TE010CFTV17</v>
      </c>
      <c r="F401" s="104" t="str">
        <f>Cadastro!$F401</f>
        <v>Terminal Capão Raso &gt; Entrada 4</v>
      </c>
      <c r="G401" s="104" t="str">
        <f>Cadastro!$G401</f>
        <v>-25.492226</v>
      </c>
      <c r="H401" s="104" t="str">
        <f>Cadastro!$H401</f>
        <v>-49.293030</v>
      </c>
      <c r="I401" s="104" t="str">
        <f>Cadastro!$I401</f>
        <v>copom_DDTQ</v>
      </c>
      <c r="J401" s="104" t="str">
        <f>Cadastro!$J401</f>
        <v>DDTQcopom</v>
      </c>
      <c r="K401" s="104" t="s">
        <v>4536</v>
      </c>
      <c r="L401" s="104" t="s">
        <v>26</v>
      </c>
      <c r="M401" s="104" t="s">
        <v>27</v>
      </c>
      <c r="N401" s="108" t="str">
        <f t="shared" si="1"/>
        <v>URBS 3</v>
      </c>
      <c r="O401" s="109" t="str">
        <f>Cadastro!$O401</f>
        <v>https://monitoramento.pm.pr.gov.br/proxy_image_3/Interface/Cameras/GetJPEGStream?Camera=TE010CFTV17&amp;AuthUser=copom_DDTQ&amp;AuthPass=DDTQcopom&amp;Width=1024&amp;Height=768&amp;Quality=70&amp;FPS=10&amp;ResponseFormat=Text</v>
      </c>
      <c r="P401" s="106">
        <f>Cadastro!$P401</f>
        <v>1</v>
      </c>
    </row>
    <row r="402">
      <c r="A402" s="104" t="str">
        <f>Cadastro!$A402</f>
        <v>URBS 3</v>
      </c>
      <c r="B402" s="104" t="str">
        <f>Cadastro!$B402</f>
        <v>CURITIBA</v>
      </c>
      <c r="C402" s="107" t="str">
        <f>Cadastro!$C402</f>
        <v>https://monitoramento.pm.pr.gov.br/proxy_image_3/</v>
      </c>
      <c r="D402" s="105">
        <f>Cadastro!$D402</f>
        <v>38601</v>
      </c>
      <c r="E402" s="104" t="str">
        <f>Cadastro!$E402</f>
        <v>TE011CFTV01</v>
      </c>
      <c r="F402" s="104" t="str">
        <f>Cadastro!$F402</f>
        <v>Terminal Carmo &gt; Expresso&gt; Centro</v>
      </c>
      <c r="G402" s="104" t="str">
        <f>Cadastro!$G402</f>
        <v>-25.501797</v>
      </c>
      <c r="H402" s="104" t="str">
        <f>Cadastro!$H402</f>
        <v>-49.237450</v>
      </c>
      <c r="I402" s="104" t="str">
        <f>Cadastro!$I402</f>
        <v>copom_DDTQ</v>
      </c>
      <c r="J402" s="104" t="str">
        <f>Cadastro!$J402</f>
        <v>DDTQcopom</v>
      </c>
      <c r="K402" s="104" t="s">
        <v>4536</v>
      </c>
      <c r="L402" s="104" t="s">
        <v>26</v>
      </c>
      <c r="M402" s="104" t="s">
        <v>27</v>
      </c>
      <c r="N402" s="108" t="str">
        <f t="shared" si="1"/>
        <v>URBS 3</v>
      </c>
      <c r="O402" s="109" t="str">
        <f>Cadastro!$O402</f>
        <v>https://monitoramento.pm.pr.gov.br/proxy_image_3/Interface/Cameras/GetJPEGStream?Camera=TE011CFTV01&amp;AuthUser=copom_DDTQ&amp;AuthPass=DDTQcopom&amp;Width=1024&amp;Height=768&amp;Quality=70&amp;FPS=10&amp;ResponseFormat=Text</v>
      </c>
      <c r="P402" s="106">
        <f>Cadastro!$P402</f>
        <v>1</v>
      </c>
    </row>
    <row r="403">
      <c r="A403" s="104" t="str">
        <f>Cadastro!$A403</f>
        <v>URBS 3</v>
      </c>
      <c r="B403" s="104" t="str">
        <f>Cadastro!$B403</f>
        <v>CURITIBA</v>
      </c>
      <c r="C403" s="107" t="str">
        <f>Cadastro!$C403</f>
        <v>https://monitoramento.pm.pr.gov.br/proxy_image_3/</v>
      </c>
      <c r="D403" s="105">
        <f>Cadastro!$D403</f>
        <v>38601</v>
      </c>
      <c r="E403" s="104" t="str">
        <f>Cadastro!$E403</f>
        <v>TE011CFTV02</v>
      </c>
      <c r="F403" s="104" t="str">
        <f>Cadastro!$F403</f>
        <v>Terminal Carmo &gt; Interbairros III &gt; Capão raso</v>
      </c>
      <c r="G403" s="104" t="str">
        <f>Cadastro!$G403</f>
        <v>-25.501154</v>
      </c>
      <c r="H403" s="104" t="str">
        <f>Cadastro!$H403</f>
        <v>-49.237680</v>
      </c>
      <c r="I403" s="104" t="str">
        <f>Cadastro!$I403</f>
        <v>copom_DDTQ</v>
      </c>
      <c r="J403" s="104" t="str">
        <f>Cadastro!$J403</f>
        <v>DDTQcopom</v>
      </c>
      <c r="K403" s="104" t="s">
        <v>4536</v>
      </c>
      <c r="L403" s="104" t="s">
        <v>26</v>
      </c>
      <c r="M403" s="104" t="s">
        <v>27</v>
      </c>
      <c r="N403" s="108" t="str">
        <f t="shared" si="1"/>
        <v>URBS 3</v>
      </c>
      <c r="O403" s="109" t="str">
        <f>Cadastro!$O403</f>
        <v>https://monitoramento.pm.pr.gov.br/proxy_image_3/Interface/Cameras/GetJPEGStream?Camera=TE011CFTV02&amp;AuthUser=copom_DDTQ&amp;AuthPass=DDTQcopom&amp;Width=1024&amp;Height=768&amp;Quality=70&amp;FPS=10&amp;ResponseFormat=Text</v>
      </c>
      <c r="P403" s="106">
        <f>Cadastro!$P403</f>
        <v>1</v>
      </c>
    </row>
    <row r="404">
      <c r="A404" s="104" t="str">
        <f>Cadastro!$A404</f>
        <v>URBS 3</v>
      </c>
      <c r="B404" s="104" t="str">
        <f>Cadastro!$B404</f>
        <v>CURITIBA</v>
      </c>
      <c r="C404" s="107" t="str">
        <f>Cadastro!$C404</f>
        <v>https://monitoramento.pm.pr.gov.br/proxy_image_3/</v>
      </c>
      <c r="D404" s="105">
        <f>Cadastro!$D404</f>
        <v>38601</v>
      </c>
      <c r="E404" s="104" t="str">
        <f>Cadastro!$E404</f>
        <v>TE011CFTV03</v>
      </c>
      <c r="F404" s="104" t="str">
        <f>Cadastro!$F404</f>
        <v>Terminal Carmo &gt; Iguape 1</v>
      </c>
      <c r="G404" s="104" t="str">
        <f>Cadastro!$G404</f>
        <v>-25.501427</v>
      </c>
      <c r="H404" s="104" t="str">
        <f>Cadastro!$H404</f>
        <v>-49.237643</v>
      </c>
      <c r="I404" s="104" t="str">
        <f>Cadastro!$I404</f>
        <v>copom_DDTQ</v>
      </c>
      <c r="J404" s="104" t="str">
        <f>Cadastro!$J404</f>
        <v>DDTQcopom</v>
      </c>
      <c r="K404" s="104" t="s">
        <v>4536</v>
      </c>
      <c r="L404" s="104" t="s">
        <v>26</v>
      </c>
      <c r="M404" s="104" t="s">
        <v>27</v>
      </c>
      <c r="N404" s="108" t="str">
        <f t="shared" si="1"/>
        <v>URBS 3</v>
      </c>
      <c r="O404" s="109" t="str">
        <f>Cadastro!$O404</f>
        <v>https://monitoramento.pm.pr.gov.br/proxy_image_3/Interface/Cameras/GetJPEGStream?Camera=TE011CFTV03&amp;AuthUser=copom_DDTQ&amp;AuthPass=DDTQcopom&amp;Width=1024&amp;Height=768&amp;Quality=70&amp;FPS=10&amp;ResponseFormat=Text</v>
      </c>
      <c r="P404" s="106">
        <f>Cadastro!$P404</f>
        <v>1</v>
      </c>
    </row>
    <row r="405">
      <c r="A405" s="104" t="str">
        <f>Cadastro!$A405</f>
        <v>URBS 3</v>
      </c>
      <c r="B405" s="104" t="str">
        <f>Cadastro!$B405</f>
        <v>CURITIBA</v>
      </c>
      <c r="C405" s="107" t="str">
        <f>Cadastro!$C405</f>
        <v>https://monitoramento.pm.pr.gov.br/proxy_image_3/</v>
      </c>
      <c r="D405" s="105">
        <f>Cadastro!$D405</f>
        <v>38601</v>
      </c>
      <c r="E405" s="104" t="str">
        <f>Cadastro!$E405</f>
        <v>TE011CFTV04</v>
      </c>
      <c r="F405" s="104" t="str">
        <f>Cadastro!$F405</f>
        <v>Terminal Carmo &gt; Expresso&gt; Boqueirão</v>
      </c>
      <c r="G405" s="104" t="str">
        <f>Cadastro!$G405</f>
        <v>-25.501044</v>
      </c>
      <c r="H405" s="104" t="str">
        <f>Cadastro!$H405</f>
        <v>-49.237723</v>
      </c>
      <c r="I405" s="104" t="str">
        <f>Cadastro!$I405</f>
        <v>copom_DDTQ</v>
      </c>
      <c r="J405" s="104" t="str">
        <f>Cadastro!$J405</f>
        <v>DDTQcopom</v>
      </c>
      <c r="K405" s="104" t="s">
        <v>4536</v>
      </c>
      <c r="L405" s="104" t="s">
        <v>26</v>
      </c>
      <c r="M405" s="104" t="s">
        <v>27</v>
      </c>
      <c r="N405" s="108" t="str">
        <f t="shared" si="1"/>
        <v>URBS 3</v>
      </c>
      <c r="O405" s="109" t="str">
        <f>Cadastro!$O405</f>
        <v>https://monitoramento.pm.pr.gov.br/proxy_image_3/Interface/Cameras/GetJPEGStream?Camera=TE011CFTV04&amp;AuthUser=copom_DDTQ&amp;AuthPass=DDTQcopom&amp;Width=1024&amp;Height=768&amp;Quality=70&amp;FPS=10&amp;ResponseFormat=Text</v>
      </c>
      <c r="P405" s="106">
        <f>Cadastro!$P405</f>
        <v>1</v>
      </c>
    </row>
    <row r="406">
      <c r="A406" s="104" t="str">
        <f>Cadastro!$A406</f>
        <v>URBS 3</v>
      </c>
      <c r="B406" s="104" t="str">
        <f>Cadastro!$B406</f>
        <v>CURITIBA</v>
      </c>
      <c r="C406" s="107" t="str">
        <f>Cadastro!$C406</f>
        <v>https://monitoramento.pm.pr.gov.br/proxy_image_3/</v>
      </c>
      <c r="D406" s="105">
        <f>Cadastro!$D406</f>
        <v>38601</v>
      </c>
      <c r="E406" s="104" t="str">
        <f>Cadastro!$E406</f>
        <v>TE011CFTV05</v>
      </c>
      <c r="F406" s="104" t="str">
        <f>Cadastro!$F406</f>
        <v>PANE Terminal Carmo &gt; ET &gt; Bairro</v>
      </c>
      <c r="G406" s="104" t="str">
        <f>Cadastro!$G406</f>
        <v>-25.500858</v>
      </c>
      <c r="H406" s="104" t="str">
        <f>Cadastro!$H406</f>
        <v>-49.237652</v>
      </c>
      <c r="I406" s="104" t="str">
        <f>Cadastro!$I406</f>
        <v>copom_DDTQ</v>
      </c>
      <c r="J406" s="104" t="str">
        <f>Cadastro!$J406</f>
        <v>DDTQcopom</v>
      </c>
      <c r="K406" s="104" t="s">
        <v>4536</v>
      </c>
      <c r="L406" s="104" t="s">
        <v>26</v>
      </c>
      <c r="M406" s="104" t="s">
        <v>27</v>
      </c>
      <c r="N406" s="108" t="str">
        <f t="shared" si="1"/>
        <v>URBS 3</v>
      </c>
      <c r="O406" s="109" t="str">
        <f>Cadastro!$O406</f>
        <v>https://monitoramento.pm.pr.gov.br/proxy_image_3/Interface/Cameras/GetJPEGStream?Camera=TE011CFTV05&amp;AuthUser=copom_DDTQ&amp;AuthPass=DDTQcopom&amp;Width=1024&amp;Height=768&amp;Quality=70&amp;FPS=10&amp;ResponseFormat=Text</v>
      </c>
      <c r="P406" s="106">
        <f>Cadastro!$P406</f>
        <v>1</v>
      </c>
    </row>
    <row r="407">
      <c r="A407" s="104" t="str">
        <f>Cadastro!$A407</f>
        <v>URBS 3</v>
      </c>
      <c r="B407" s="104" t="str">
        <f>Cadastro!$B407</f>
        <v>CURITIBA</v>
      </c>
      <c r="C407" s="107" t="str">
        <f>Cadastro!$C407</f>
        <v>https://monitoramento.pm.pr.gov.br/proxy_image_3/</v>
      </c>
      <c r="D407" s="105">
        <f>Cadastro!$D407</f>
        <v>38601</v>
      </c>
      <c r="E407" s="104" t="str">
        <f>Cadastro!$E407</f>
        <v>TE011CFTV06</v>
      </c>
      <c r="F407" s="104" t="str">
        <f>Cadastro!$F407</f>
        <v>PANE Terminal Carmo &gt; ET &gt; Centro</v>
      </c>
      <c r="G407" s="104" t="str">
        <f>Cadastro!$G407</f>
        <v>-25.501648</v>
      </c>
      <c r="H407" s="104" t="str">
        <f>Cadastro!$H407</f>
        <v>-49.237677</v>
      </c>
      <c r="I407" s="104" t="str">
        <f>Cadastro!$I407</f>
        <v>copom_DDTQ</v>
      </c>
      <c r="J407" s="104" t="str">
        <f>Cadastro!$J407</f>
        <v>DDTQcopom</v>
      </c>
      <c r="K407" s="104" t="s">
        <v>4536</v>
      </c>
      <c r="L407" s="104" t="s">
        <v>26</v>
      </c>
      <c r="M407" s="104" t="s">
        <v>27</v>
      </c>
      <c r="N407" s="108" t="str">
        <f t="shared" si="1"/>
        <v>URBS 3</v>
      </c>
      <c r="O407" s="109" t="str">
        <f>Cadastro!$O407</f>
        <v>https://monitoramento.pm.pr.gov.br/proxy_image_3/Interface/Cameras/GetJPEGStream?Camera=TE011CFTV06&amp;AuthUser=copom_DDTQ&amp;AuthPass=DDTQcopom&amp;Width=1024&amp;Height=768&amp;Quality=70&amp;FPS=10&amp;ResponseFormat=Text</v>
      </c>
      <c r="P407" s="106">
        <f>Cadastro!$P407</f>
        <v>1</v>
      </c>
    </row>
    <row r="408">
      <c r="A408" s="104" t="str">
        <f>Cadastro!$A408</f>
        <v>URBS 3</v>
      </c>
      <c r="B408" s="104" t="str">
        <f>Cadastro!$B408</f>
        <v>CURITIBA</v>
      </c>
      <c r="C408" s="107" t="str">
        <f>Cadastro!$C408</f>
        <v>https://monitoramento.pm.pr.gov.br/proxy_image_3/</v>
      </c>
      <c r="D408" s="105">
        <f>Cadastro!$D408</f>
        <v>38601</v>
      </c>
      <c r="E408" s="104" t="str">
        <f>Cadastro!$E408</f>
        <v>TE011CFTV07</v>
      </c>
      <c r="F408" s="104" t="str">
        <f>Cadastro!$F408</f>
        <v>Terminal Carmo &gt; Entrada 1</v>
      </c>
      <c r="G408" s="104" t="str">
        <f>Cadastro!$G408</f>
        <v>-25.501150</v>
      </c>
      <c r="H408" s="104" t="str">
        <f>Cadastro!$H408</f>
        <v>-49.237480</v>
      </c>
      <c r="I408" s="104" t="str">
        <f>Cadastro!$I408</f>
        <v>copom_DDTQ</v>
      </c>
      <c r="J408" s="104" t="str">
        <f>Cadastro!$J408</f>
        <v>DDTQcopom</v>
      </c>
      <c r="K408" s="104" t="s">
        <v>4536</v>
      </c>
      <c r="L408" s="104" t="s">
        <v>26</v>
      </c>
      <c r="M408" s="104" t="s">
        <v>27</v>
      </c>
      <c r="N408" s="108" t="str">
        <f t="shared" si="1"/>
        <v>URBS 3</v>
      </c>
      <c r="O408" s="109" t="str">
        <f>Cadastro!$O408</f>
        <v>https://monitoramento.pm.pr.gov.br/proxy_image_3/Interface/Cameras/GetJPEGStream?Camera=TE011CFTV07&amp;AuthUser=copom_DDTQ&amp;AuthPass=DDTQcopom&amp;Width=1024&amp;Height=768&amp;Quality=70&amp;FPS=10&amp;ResponseFormat=Text</v>
      </c>
      <c r="P408" s="106">
        <f>Cadastro!$P408</f>
        <v>1</v>
      </c>
    </row>
    <row r="409">
      <c r="A409" s="104" t="str">
        <f>Cadastro!$A409</f>
        <v>URBS 3</v>
      </c>
      <c r="B409" s="104" t="str">
        <f>Cadastro!$B409</f>
        <v>CURITIBA</v>
      </c>
      <c r="C409" s="107" t="str">
        <f>Cadastro!$C409</f>
        <v>https://monitoramento.pm.pr.gov.br/proxy_image_3/</v>
      </c>
      <c r="D409" s="105">
        <f>Cadastro!$D409</f>
        <v>38601</v>
      </c>
      <c r="E409" s="104" t="str">
        <f>Cadastro!$E409</f>
        <v>TE011CFTV08</v>
      </c>
      <c r="F409" s="104" t="str">
        <f>Cadastro!$F409</f>
        <v>Terminal Carmo &gt; Entrada 2</v>
      </c>
      <c r="G409" s="104" t="str">
        <f>Cadastro!$G409</f>
        <v>-25.501293</v>
      </c>
      <c r="H409" s="104" t="str">
        <f>Cadastro!$H409</f>
        <v>-49.237866</v>
      </c>
      <c r="I409" s="104" t="str">
        <f>Cadastro!$I409</f>
        <v>copom_DDTQ</v>
      </c>
      <c r="J409" s="104" t="str">
        <f>Cadastro!$J409</f>
        <v>DDTQcopom</v>
      </c>
      <c r="K409" s="104" t="s">
        <v>4536</v>
      </c>
      <c r="L409" s="104" t="s">
        <v>26</v>
      </c>
      <c r="M409" s="104" t="s">
        <v>27</v>
      </c>
      <c r="N409" s="108" t="str">
        <f t="shared" si="1"/>
        <v>URBS 3</v>
      </c>
      <c r="O409" s="109" t="str">
        <f>Cadastro!$O409</f>
        <v>https://monitoramento.pm.pr.gov.br/proxy_image_3/Interface/Cameras/GetJPEGStream?Camera=TE011CFTV08&amp;AuthUser=copom_DDTQ&amp;AuthPass=DDTQcopom&amp;Width=1024&amp;Height=768&amp;Quality=70&amp;FPS=10&amp;ResponseFormat=Text</v>
      </c>
      <c r="P409" s="106">
        <f>Cadastro!$P409</f>
        <v>1</v>
      </c>
    </row>
    <row r="410">
      <c r="A410" s="104" t="str">
        <f>Cadastro!$A410</f>
        <v>URBS 3</v>
      </c>
      <c r="B410" s="104" t="str">
        <f>Cadastro!$B410</f>
        <v>CURITIBA</v>
      </c>
      <c r="C410" s="107" t="str">
        <f>Cadastro!$C410</f>
        <v>https://monitoramento.pm.pr.gov.br/proxy_image_3/</v>
      </c>
      <c r="D410" s="105">
        <f>Cadastro!$D410</f>
        <v>38601</v>
      </c>
      <c r="E410" s="104" t="str">
        <f>Cadastro!$E410</f>
        <v>TE011CFTV09</v>
      </c>
      <c r="F410" s="104" t="str">
        <f>Cadastro!$F410</f>
        <v>Terminal Carmo &gt;Interbairros III &gt; Oficinas</v>
      </c>
      <c r="G410" s="104" t="str">
        <f>Cadastro!$G410</f>
        <v>-25.501467</v>
      </c>
      <c r="H410" s="104" t="str">
        <f>Cadastro!$H410</f>
        <v>-49.237521</v>
      </c>
      <c r="I410" s="104" t="str">
        <f>Cadastro!$I410</f>
        <v>copom_DDTQ</v>
      </c>
      <c r="J410" s="104" t="str">
        <f>Cadastro!$J410</f>
        <v>DDTQcopom</v>
      </c>
      <c r="K410" s="104" t="s">
        <v>4536</v>
      </c>
      <c r="L410" s="104" t="s">
        <v>26</v>
      </c>
      <c r="M410" s="104" t="s">
        <v>27</v>
      </c>
      <c r="N410" s="108" t="str">
        <f t="shared" si="1"/>
        <v>URBS 3</v>
      </c>
      <c r="O410" s="109" t="str">
        <f>Cadastro!$O410</f>
        <v>https://monitoramento.pm.pr.gov.br/proxy_image_3/Interface/Cameras/GetJPEGStream?Camera=TE011CFTV09&amp;AuthUser=copom_DDTQ&amp;AuthPass=DDTQcopom&amp;Width=1024&amp;Height=768&amp;Quality=70&amp;FPS=10&amp;ResponseFormat=Text</v>
      </c>
      <c r="P410" s="106">
        <f>Cadastro!$P410</f>
        <v>1</v>
      </c>
    </row>
    <row r="411">
      <c r="A411" s="104" t="str">
        <f>Cadastro!$A411</f>
        <v>URBS 3</v>
      </c>
      <c r="B411" s="104" t="str">
        <f>Cadastro!$B411</f>
        <v>CURITIBA</v>
      </c>
      <c r="C411" s="107" t="str">
        <f>Cadastro!$C411</f>
        <v>https://monitoramento.pm.pr.gov.br/proxy_image_3/</v>
      </c>
      <c r="D411" s="105">
        <f>Cadastro!$D411</f>
        <v>38601</v>
      </c>
      <c r="E411" s="104" t="str">
        <f>Cadastro!$E411</f>
        <v>TE012CFTV01</v>
      </c>
      <c r="F411" s="104" t="str">
        <f>Cadastro!$F411</f>
        <v>Terminal Centenario &gt; Centenario &gt; Hauer</v>
      </c>
      <c r="G411" s="104" t="str">
        <f>Cadastro!$G411</f>
        <v>-25.468890</v>
      </c>
      <c r="H411" s="104" t="str">
        <f>Cadastro!$H411</f>
        <v>-49.208153</v>
      </c>
      <c r="I411" s="104" t="str">
        <f>Cadastro!$I411</f>
        <v>copom_DDTQ</v>
      </c>
      <c r="J411" s="104" t="str">
        <f>Cadastro!$J411</f>
        <v>DDTQcopom</v>
      </c>
      <c r="K411" s="104" t="s">
        <v>4536</v>
      </c>
      <c r="L411" s="104" t="s">
        <v>26</v>
      </c>
      <c r="M411" s="104" t="s">
        <v>27</v>
      </c>
      <c r="N411" s="108" t="str">
        <f t="shared" si="1"/>
        <v>URBS 3</v>
      </c>
      <c r="O411" s="109" t="str">
        <f>Cadastro!$O411</f>
        <v>https://monitoramento.pm.pr.gov.br/proxy_image_3/Interface/Cameras/GetJPEGStream?Camera=TE012CFTV01&amp;AuthUser=copom_DDTQ&amp;AuthPass=DDTQcopom&amp;Width=1024&amp;Height=768&amp;Quality=70&amp;FPS=10&amp;ResponseFormat=Text</v>
      </c>
      <c r="P411" s="106">
        <f>Cadastro!$P411</f>
        <v>1</v>
      </c>
    </row>
    <row r="412">
      <c r="A412" s="104" t="str">
        <f>Cadastro!$A412</f>
        <v>URBS 3</v>
      </c>
      <c r="B412" s="104" t="str">
        <f>Cadastro!$B412</f>
        <v>CURITIBA</v>
      </c>
      <c r="C412" s="107" t="str">
        <f>Cadastro!$C412</f>
        <v>https://monitoramento.pm.pr.gov.br/proxy_image_3/</v>
      </c>
      <c r="D412" s="105">
        <f>Cadastro!$D412</f>
        <v>38601</v>
      </c>
      <c r="E412" s="104" t="str">
        <f>Cadastro!$E412</f>
        <v>TE012CFTV02</v>
      </c>
      <c r="F412" s="104" t="str">
        <f>Cadastro!$F412</f>
        <v>Terminal Centenario &gt; centenario &gt; Boqueirão</v>
      </c>
      <c r="G412" s="104" t="str">
        <f>Cadastro!$G412</f>
        <v>-25.468912</v>
      </c>
      <c r="H412" s="104" t="str">
        <f>Cadastro!$H412</f>
        <v>-49.208330</v>
      </c>
      <c r="I412" s="104" t="str">
        <f>Cadastro!$I412</f>
        <v>copom_DDTQ</v>
      </c>
      <c r="J412" s="104" t="str">
        <f>Cadastro!$J412</f>
        <v>DDTQcopom</v>
      </c>
      <c r="K412" s="104" t="s">
        <v>4536</v>
      </c>
      <c r="L412" s="104" t="s">
        <v>26</v>
      </c>
      <c r="M412" s="104" t="s">
        <v>27</v>
      </c>
      <c r="N412" s="108" t="str">
        <f t="shared" si="1"/>
        <v>URBS 3</v>
      </c>
      <c r="O412" s="109" t="str">
        <f>Cadastro!$O412</f>
        <v>https://monitoramento.pm.pr.gov.br/proxy_image_3/Interface/Cameras/GetJPEGStream?Camera=TE012CFTV02&amp;AuthUser=copom_DDTQ&amp;AuthPass=DDTQcopom&amp;Width=1024&amp;Height=768&amp;Quality=70&amp;FPS=10&amp;ResponseFormat=Text</v>
      </c>
      <c r="P412" s="106">
        <f>Cadastro!$P412</f>
        <v>1</v>
      </c>
    </row>
    <row r="413">
      <c r="A413" s="104" t="str">
        <f>Cadastro!$A413</f>
        <v>URBS 3</v>
      </c>
      <c r="B413" s="104" t="str">
        <f>Cadastro!$B413</f>
        <v>CURITIBA</v>
      </c>
      <c r="C413" s="107" t="str">
        <f>Cadastro!$C413</f>
        <v>https://monitoramento.pm.pr.gov.br/proxy_image_3/</v>
      </c>
      <c r="D413" s="105">
        <f>Cadastro!$D413</f>
        <v>38601</v>
      </c>
      <c r="E413" s="104" t="str">
        <f>Cadastro!$E413</f>
        <v>TE012CFTV03</v>
      </c>
      <c r="F413" s="104" t="str">
        <f>Cadastro!$F413</f>
        <v>Terminal Centenario &gt; Expresso &gt; Centro</v>
      </c>
      <c r="G413" s="104" t="str">
        <f>Cadastro!$G413</f>
        <v>-25.469134</v>
      </c>
      <c r="H413" s="104" t="str">
        <f>Cadastro!$H413</f>
        <v>-49.208174</v>
      </c>
      <c r="I413" s="104" t="str">
        <f>Cadastro!$I413</f>
        <v>copom_DDTQ</v>
      </c>
      <c r="J413" s="104" t="str">
        <f>Cadastro!$J413</f>
        <v>DDTQcopom</v>
      </c>
      <c r="K413" s="104" t="s">
        <v>4536</v>
      </c>
      <c r="L413" s="104" t="s">
        <v>26</v>
      </c>
      <c r="M413" s="104" t="s">
        <v>27</v>
      </c>
      <c r="N413" s="108" t="str">
        <f t="shared" si="1"/>
        <v>URBS 3</v>
      </c>
      <c r="O413" s="109" t="str">
        <f>Cadastro!$O413</f>
        <v>https://monitoramento.pm.pr.gov.br/proxy_image_3/Interface/Cameras/GetJPEGStream?Camera=TE012CFTV03&amp;AuthUser=copom_DDTQ&amp;AuthPass=DDTQcopom&amp;Width=1024&amp;Height=768&amp;Quality=70&amp;FPS=10&amp;ResponseFormat=Text</v>
      </c>
      <c r="P413" s="106">
        <f>Cadastro!$P413</f>
        <v>1</v>
      </c>
    </row>
    <row r="414">
      <c r="A414" s="104" t="str">
        <f>Cadastro!$A414</f>
        <v>URBS 3</v>
      </c>
      <c r="B414" s="104" t="str">
        <f>Cadastro!$B414</f>
        <v>CURITIBA</v>
      </c>
      <c r="C414" s="107" t="str">
        <f>Cadastro!$C414</f>
        <v>https://monitoramento.pm.pr.gov.br/proxy_image_3/</v>
      </c>
      <c r="D414" s="105">
        <f>Cadastro!$D414</f>
        <v>38601</v>
      </c>
      <c r="E414" s="104" t="str">
        <f>Cadastro!$E414</f>
        <v>TE012CFTV04</v>
      </c>
      <c r="F414" s="104" t="str">
        <f>Cadastro!$F414</f>
        <v>Terminal Centenario &gt; Agricola</v>
      </c>
      <c r="G414" s="104" t="str">
        <f>Cadastro!$G414</f>
        <v>-25.469226</v>
      </c>
      <c r="H414" s="104" t="str">
        <f>Cadastro!$H414</f>
        <v>-49.208359</v>
      </c>
      <c r="I414" s="104" t="str">
        <f>Cadastro!$I414</f>
        <v>copom_DDTQ</v>
      </c>
      <c r="J414" s="104" t="str">
        <f>Cadastro!$J414</f>
        <v>DDTQcopom</v>
      </c>
      <c r="K414" s="104" t="s">
        <v>4536</v>
      </c>
      <c r="L414" s="104" t="s">
        <v>26</v>
      </c>
      <c r="M414" s="104" t="s">
        <v>27</v>
      </c>
      <c r="N414" s="108" t="str">
        <f t="shared" si="1"/>
        <v>URBS 3</v>
      </c>
      <c r="O414" s="109" t="str">
        <f>Cadastro!$O414</f>
        <v>https://monitoramento.pm.pr.gov.br/proxy_image_3/Interface/Cameras/GetJPEGStream?Camera=TE012CFTV04&amp;AuthUser=copom_DDTQ&amp;AuthPass=DDTQcopom&amp;Width=1024&amp;Height=768&amp;Quality=70&amp;FPS=10&amp;ResponseFormat=Text</v>
      </c>
      <c r="P414" s="106">
        <f>Cadastro!$P414</f>
        <v>1</v>
      </c>
    </row>
    <row r="415">
      <c r="A415" s="104" t="str">
        <f>Cadastro!$A415</f>
        <v>URBS 3</v>
      </c>
      <c r="B415" s="104" t="str">
        <f>Cadastro!$B415</f>
        <v>CURITIBA</v>
      </c>
      <c r="C415" s="107" t="str">
        <f>Cadastro!$C415</f>
        <v>https://monitoramento.pm.pr.gov.br/proxy_image_3/</v>
      </c>
      <c r="D415" s="105">
        <f>Cadastro!$D415</f>
        <v>38601</v>
      </c>
      <c r="E415" s="104" t="str">
        <f>Cadastro!$E415</f>
        <v>TE012CFTV05</v>
      </c>
      <c r="F415" s="104" t="str">
        <f>Cadastro!$F415</f>
        <v>Terminal Centenario &gt;Vila Reno</v>
      </c>
      <c r="G415" s="104" t="str">
        <f>Cadastro!$G415</f>
        <v>-25.469095</v>
      </c>
      <c r="H415" s="104" t="str">
        <f>Cadastro!$H415</f>
        <v>-49.207853</v>
      </c>
      <c r="I415" s="104" t="str">
        <f>Cadastro!$I415</f>
        <v>copom_DDTQ</v>
      </c>
      <c r="J415" s="104" t="str">
        <f>Cadastro!$J415</f>
        <v>DDTQcopom</v>
      </c>
      <c r="K415" s="104" t="s">
        <v>4536</v>
      </c>
      <c r="L415" s="104" t="s">
        <v>26</v>
      </c>
      <c r="M415" s="104" t="s">
        <v>27</v>
      </c>
      <c r="N415" s="108" t="str">
        <f t="shared" si="1"/>
        <v>URBS 3</v>
      </c>
      <c r="O415" s="109" t="str">
        <f>Cadastro!$O415</f>
        <v>https://monitoramento.pm.pr.gov.br/proxy_image_3/Interface/Cameras/GetJPEGStream?Camera=TE012CFTV05&amp;AuthUser=copom_DDTQ&amp;AuthPass=DDTQcopom&amp;Width=1024&amp;Height=768&amp;Quality=70&amp;FPS=10&amp;ResponseFormat=Text</v>
      </c>
      <c r="P415" s="106">
        <f>Cadastro!$P415</f>
        <v>1</v>
      </c>
    </row>
    <row r="416">
      <c r="A416" s="104" t="str">
        <f>Cadastro!$A416</f>
        <v>URBS 3</v>
      </c>
      <c r="B416" s="104" t="str">
        <f>Cadastro!$B416</f>
        <v>CURITIBA</v>
      </c>
      <c r="C416" s="107" t="str">
        <f>Cadastro!$C416</f>
        <v>https://monitoramento.pm.pr.gov.br/proxy_image_3/</v>
      </c>
      <c r="D416" s="105">
        <f>Cadastro!$D416</f>
        <v>38601</v>
      </c>
      <c r="E416" s="104" t="str">
        <f>Cadastro!$E416</f>
        <v>TE012CFTV06</v>
      </c>
      <c r="F416" s="104" t="str">
        <f>Cadastro!$F416</f>
        <v>Terminal Centenario &gt;ET Centenário</v>
      </c>
      <c r="G416" s="104" t="str">
        <f>Cadastro!$G416</f>
        <v>-25.468735</v>
      </c>
      <c r="H416" s="104" t="str">
        <f>Cadastro!$H416</f>
        <v>-49.207969</v>
      </c>
      <c r="I416" s="104" t="str">
        <f>Cadastro!$I416</f>
        <v>copom_DDTQ</v>
      </c>
      <c r="J416" s="104" t="str">
        <f>Cadastro!$J416</f>
        <v>DDTQcopom</v>
      </c>
      <c r="K416" s="104" t="s">
        <v>4536</v>
      </c>
      <c r="L416" s="104" t="s">
        <v>26</v>
      </c>
      <c r="M416" s="104" t="s">
        <v>27</v>
      </c>
      <c r="N416" s="108" t="str">
        <f t="shared" si="1"/>
        <v>URBS 3</v>
      </c>
      <c r="O416" s="109" t="str">
        <f>Cadastro!$O416</f>
        <v>https://monitoramento.pm.pr.gov.br/proxy_image_3/Interface/Cameras/GetJPEGStream?Camera=TE012CFTV06&amp;AuthUser=copom_DDTQ&amp;AuthPass=DDTQcopom&amp;Width=1024&amp;Height=768&amp;Quality=70&amp;FPS=10&amp;ResponseFormat=Text</v>
      </c>
      <c r="P416" s="106">
        <f>Cadastro!$P416</f>
        <v>1</v>
      </c>
    </row>
    <row r="417">
      <c r="A417" s="104" t="str">
        <f>Cadastro!$A417</f>
        <v>URBS 3</v>
      </c>
      <c r="B417" s="104" t="str">
        <f>Cadastro!$B417</f>
        <v>CURITIBA</v>
      </c>
      <c r="C417" s="107" t="str">
        <f>Cadastro!$C417</f>
        <v>https://monitoramento.pm.pr.gov.br/proxy_image_3/</v>
      </c>
      <c r="D417" s="105">
        <f>Cadastro!$D417</f>
        <v>38601</v>
      </c>
      <c r="E417" s="104" t="str">
        <f>Cadastro!$E417</f>
        <v>TE014CFTV01</v>
      </c>
      <c r="F417" s="104" t="str">
        <f>Cadastro!$F417</f>
        <v>Terminal Fazendinha &gt; Interbairros IV &gt; CIC</v>
      </c>
      <c r="G417" s="104" t="str">
        <f>Cadastro!$G417</f>
        <v>-25.477228</v>
      </c>
      <c r="H417" s="104" t="str">
        <f>Cadastro!$H417</f>
        <v>-49.327275</v>
      </c>
      <c r="I417" s="104" t="str">
        <f>Cadastro!$I417</f>
        <v>copom_DDTQ</v>
      </c>
      <c r="J417" s="104" t="str">
        <f>Cadastro!$J417</f>
        <v>DDTQcopom</v>
      </c>
      <c r="K417" s="104" t="s">
        <v>4536</v>
      </c>
      <c r="L417" s="104" t="s">
        <v>26</v>
      </c>
      <c r="M417" s="104" t="s">
        <v>27</v>
      </c>
      <c r="N417" s="108" t="str">
        <f t="shared" si="1"/>
        <v>URBS 3</v>
      </c>
      <c r="O417" s="109" t="str">
        <f>Cadastro!$O417</f>
        <v>https://monitoramento.pm.pr.gov.br/proxy_image_3/Interface/Cameras/GetJPEGStream?Camera=TE014CFTV01&amp;AuthUser=copom_DDTQ&amp;AuthPass=DDTQcopom&amp;Width=1024&amp;Height=768&amp;Quality=70&amp;FPS=10&amp;ResponseFormat=Text</v>
      </c>
      <c r="P417" s="106">
        <f>Cadastro!$P417</f>
        <v>1</v>
      </c>
    </row>
    <row r="418">
      <c r="A418" s="104" t="str">
        <f>Cadastro!$A418</f>
        <v>URBS 3</v>
      </c>
      <c r="B418" s="104" t="str">
        <f>Cadastro!$B418</f>
        <v>CURITIBA</v>
      </c>
      <c r="C418" s="107" t="str">
        <f>Cadastro!$C418</f>
        <v>https://monitoramento.pm.pr.gov.br/proxy_image_3/</v>
      </c>
      <c r="D418" s="105">
        <f>Cadastro!$D418</f>
        <v>38601</v>
      </c>
      <c r="E418" s="104" t="str">
        <f>Cadastro!$E418</f>
        <v>TE014CFTV02</v>
      </c>
      <c r="F418" s="104" t="str">
        <f>Cadastro!$F418</f>
        <v>Terminal Fazendinha &gt; Itatiaia</v>
      </c>
      <c r="G418" s="104" t="str">
        <f>Cadastro!$G418</f>
        <v>-25.477356</v>
      </c>
      <c r="H418" s="104" t="str">
        <f>Cadastro!$H418</f>
        <v>-49.326960</v>
      </c>
      <c r="I418" s="104" t="str">
        <f>Cadastro!$I418</f>
        <v>copom_DDTQ</v>
      </c>
      <c r="J418" s="104" t="str">
        <f>Cadastro!$J418</f>
        <v>DDTQcopom</v>
      </c>
      <c r="K418" s="104" t="s">
        <v>4536</v>
      </c>
      <c r="L418" s="104" t="s">
        <v>26</v>
      </c>
      <c r="M418" s="104" t="s">
        <v>27</v>
      </c>
      <c r="N418" s="108" t="str">
        <f t="shared" si="1"/>
        <v>URBS 3</v>
      </c>
      <c r="O418" s="109" t="str">
        <f>Cadastro!$O418</f>
        <v>https://monitoramento.pm.pr.gov.br/proxy_image_3/Interface/Cameras/GetJPEGStream?Camera=TE014CFTV02&amp;AuthUser=copom_DDTQ&amp;AuthPass=DDTQcopom&amp;Width=1024&amp;Height=768&amp;Quality=70&amp;FPS=10&amp;ResponseFormat=Text</v>
      </c>
      <c r="P418" s="106">
        <f>Cadastro!$P418</f>
        <v>1</v>
      </c>
    </row>
    <row r="419">
      <c r="A419" s="104" t="str">
        <f>Cadastro!$A419</f>
        <v>URBS 3</v>
      </c>
      <c r="B419" s="104" t="str">
        <f>Cadastro!$B419</f>
        <v>CURITIBA</v>
      </c>
      <c r="C419" s="107" t="str">
        <f>Cadastro!$C419</f>
        <v>https://monitoramento.pm.pr.gov.br/proxy_image_3/</v>
      </c>
      <c r="D419" s="105">
        <f>Cadastro!$D419</f>
        <v>38601</v>
      </c>
      <c r="E419" s="104" t="str">
        <f>Cadastro!$E419</f>
        <v>TE014CFTV03</v>
      </c>
      <c r="F419" s="104" t="str">
        <f>Cadastro!$F419</f>
        <v>Terminal Fazendinha &gt; Bairro  Fazendinha</v>
      </c>
      <c r="G419" s="104" t="str">
        <f>Cadastro!$G419</f>
        <v>-25.477334</v>
      </c>
      <c r="H419" s="104" t="str">
        <f>Cadastro!$H419</f>
        <v>-49.326551</v>
      </c>
      <c r="I419" s="104" t="str">
        <f>Cadastro!$I419</f>
        <v>copom_DDTQ</v>
      </c>
      <c r="J419" s="104" t="str">
        <f>Cadastro!$J419</f>
        <v>DDTQcopom</v>
      </c>
      <c r="K419" s="104" t="s">
        <v>4536</v>
      </c>
      <c r="L419" s="104" t="s">
        <v>26</v>
      </c>
      <c r="M419" s="104" t="s">
        <v>27</v>
      </c>
      <c r="N419" s="108" t="str">
        <f t="shared" si="1"/>
        <v>URBS 3</v>
      </c>
      <c r="O419" s="109" t="str">
        <f>Cadastro!$O419</f>
        <v>https://monitoramento.pm.pr.gov.br/proxy_image_3/Interface/Cameras/GetJPEGStream?Camera=TE014CFTV03&amp;AuthUser=copom_DDTQ&amp;AuthPass=DDTQcopom&amp;Width=1024&amp;Height=768&amp;Quality=70&amp;FPS=10&amp;ResponseFormat=Text</v>
      </c>
      <c r="P419" s="106">
        <f>Cadastro!$P419</f>
        <v>1</v>
      </c>
    </row>
    <row r="420">
      <c r="A420" s="104" t="str">
        <f>Cadastro!$A420</f>
        <v>URBS 3</v>
      </c>
      <c r="B420" s="104" t="str">
        <f>Cadastro!$B420</f>
        <v>CURITIBA</v>
      </c>
      <c r="C420" s="107" t="str">
        <f>Cadastro!$C420</f>
        <v>https://monitoramento.pm.pr.gov.br/proxy_image_3/</v>
      </c>
      <c r="D420" s="105">
        <f>Cadastro!$D420</f>
        <v>38601</v>
      </c>
      <c r="E420" s="104" t="str">
        <f>Cadastro!$E420</f>
        <v>TE014CFTV04</v>
      </c>
      <c r="F420" s="104" t="str">
        <f>Cadastro!$F420</f>
        <v>Terminal Fazendinha &gt; Fazendinha/Portão</v>
      </c>
      <c r="G420" s="104" t="str">
        <f>Cadastro!$G420</f>
        <v>-25.477266</v>
      </c>
      <c r="H420" s="104" t="str">
        <f>Cadastro!$H420</f>
        <v>-49.327560</v>
      </c>
      <c r="I420" s="104" t="str">
        <f>Cadastro!$I420</f>
        <v>copom_DDTQ</v>
      </c>
      <c r="J420" s="104" t="str">
        <f>Cadastro!$J420</f>
        <v>DDTQcopom</v>
      </c>
      <c r="K420" s="104" t="s">
        <v>4536</v>
      </c>
      <c r="L420" s="104" t="s">
        <v>26</v>
      </c>
      <c r="M420" s="104" t="s">
        <v>27</v>
      </c>
      <c r="N420" s="108" t="str">
        <f t="shared" si="1"/>
        <v>URBS 3</v>
      </c>
      <c r="O420" s="109" t="str">
        <f>Cadastro!$O420</f>
        <v>https://monitoramento.pm.pr.gov.br/proxy_image_3/Interface/Cameras/GetJPEGStream?Camera=TE014CFTV04&amp;AuthUser=copom_DDTQ&amp;AuthPass=DDTQcopom&amp;Width=1024&amp;Height=768&amp;Quality=70&amp;FPS=10&amp;ResponseFormat=Text</v>
      </c>
      <c r="P420" s="106">
        <f>Cadastro!$P420</f>
        <v>1</v>
      </c>
    </row>
    <row r="421">
      <c r="A421" s="104" t="str">
        <f>Cadastro!$A421</f>
        <v>URBS 3</v>
      </c>
      <c r="B421" s="104" t="str">
        <f>Cadastro!$B421</f>
        <v>CURITIBA</v>
      </c>
      <c r="C421" s="107" t="str">
        <f>Cadastro!$C421</f>
        <v>https://monitoramento.pm.pr.gov.br/proxy_image_3/</v>
      </c>
      <c r="D421" s="105">
        <f>Cadastro!$D421</f>
        <v>38601</v>
      </c>
      <c r="E421" s="104" t="str">
        <f>Cadastro!$E421</f>
        <v>TE014CFTV05</v>
      </c>
      <c r="F421" s="104" t="str">
        <f>Cadastro!$F421</f>
        <v>Terminal Fazendinha &gt; STA Amélia</v>
      </c>
      <c r="G421" s="104" t="str">
        <f>Cadastro!$G421</f>
        <v>-25.477367</v>
      </c>
      <c r="H421" s="104" t="str">
        <f>Cadastro!$H421</f>
        <v>-49.326893</v>
      </c>
      <c r="I421" s="104" t="str">
        <f>Cadastro!$I421</f>
        <v>copom_DDTQ</v>
      </c>
      <c r="J421" s="104" t="str">
        <f>Cadastro!$J421</f>
        <v>DDTQcopom</v>
      </c>
      <c r="K421" s="104" t="s">
        <v>4536</v>
      </c>
      <c r="L421" s="104" t="s">
        <v>26</v>
      </c>
      <c r="M421" s="104" t="s">
        <v>27</v>
      </c>
      <c r="N421" s="108" t="str">
        <f t="shared" si="1"/>
        <v>URBS 3</v>
      </c>
      <c r="O421" s="109" t="str">
        <f>Cadastro!$O421</f>
        <v>https://monitoramento.pm.pr.gov.br/proxy_image_3/Interface/Cameras/GetJPEGStream?Camera=TE014CFTV05&amp;AuthUser=copom_DDTQ&amp;AuthPass=DDTQcopom&amp;Width=1024&amp;Height=768&amp;Quality=70&amp;FPS=10&amp;ResponseFormat=Text</v>
      </c>
      <c r="P421" s="106">
        <f>Cadastro!$P421</f>
        <v>1</v>
      </c>
    </row>
    <row r="422">
      <c r="A422" s="104" t="str">
        <f>Cadastro!$A422</f>
        <v>URBS 3</v>
      </c>
      <c r="B422" s="104" t="str">
        <f>Cadastro!$B422</f>
        <v>CURITIBA</v>
      </c>
      <c r="C422" s="107" t="str">
        <f>Cadastro!$C422</f>
        <v>https://monitoramento.pm.pr.gov.br/proxy_image_3/</v>
      </c>
      <c r="D422" s="105">
        <f>Cadastro!$D422</f>
        <v>38601</v>
      </c>
      <c r="E422" s="104" t="str">
        <f>Cadastro!$E422</f>
        <v>TE014CFTV06</v>
      </c>
      <c r="F422" s="104" t="str">
        <f>Cadastro!$F422</f>
        <v>Terminal Fazendinha &gt;Interbairros IV &gt; C. Comprido</v>
      </c>
      <c r="G422" s="104" t="str">
        <f>Cadastro!$G422</f>
        <v>-25.477410</v>
      </c>
      <c r="H422" s="104" t="str">
        <f>Cadastro!$H422</f>
        <v>-49.326599</v>
      </c>
      <c r="I422" s="104" t="str">
        <f>Cadastro!$I422</f>
        <v>copom_DDTQ</v>
      </c>
      <c r="J422" s="104" t="str">
        <f>Cadastro!$J422</f>
        <v>DDTQcopom</v>
      </c>
      <c r="K422" s="104" t="s">
        <v>4536</v>
      </c>
      <c r="L422" s="104" t="s">
        <v>26</v>
      </c>
      <c r="M422" s="104" t="s">
        <v>27</v>
      </c>
      <c r="N422" s="108" t="str">
        <f t="shared" si="1"/>
        <v>URBS 3</v>
      </c>
      <c r="O422" s="109" t="str">
        <f>Cadastro!$O422</f>
        <v>https://monitoramento.pm.pr.gov.br/proxy_image_3/Interface/Cameras/GetJPEGStream?Camera=TE014CFTV06&amp;AuthUser=copom_DDTQ&amp;AuthPass=DDTQcopom&amp;Width=1024&amp;Height=768&amp;Quality=70&amp;FPS=10&amp;ResponseFormat=Text</v>
      </c>
      <c r="P422" s="106">
        <f>Cadastro!$P422</f>
        <v>1</v>
      </c>
    </row>
    <row r="423">
      <c r="A423" s="104" t="str">
        <f>Cadastro!$A423</f>
        <v>URBS 3</v>
      </c>
      <c r="B423" s="104" t="str">
        <f>Cadastro!$B423</f>
        <v>CURITIBA</v>
      </c>
      <c r="C423" s="107" t="str">
        <f>Cadastro!$C423</f>
        <v>https://monitoramento.pm.pr.gov.br/proxy_image_3/</v>
      </c>
      <c r="D423" s="105">
        <f>Cadastro!$D423</f>
        <v>38601</v>
      </c>
      <c r="E423" s="104" t="str">
        <f>Cadastro!$E423</f>
        <v>TE014CFTV07</v>
      </c>
      <c r="F423" s="104" t="str">
        <f>Cadastro!$F423</f>
        <v>Terminal Fazendinha &gt;Entrada 1</v>
      </c>
      <c r="G423" s="104" t="str">
        <f>Cadastro!$G423</f>
        <v>-25.477403</v>
      </c>
      <c r="H423" s="104" t="str">
        <f>Cadastro!$H423</f>
        <v>-49.326396</v>
      </c>
      <c r="I423" s="104" t="str">
        <f>Cadastro!$I423</f>
        <v>copom_DDTQ</v>
      </c>
      <c r="J423" s="104" t="str">
        <f>Cadastro!$J423</f>
        <v>DDTQcopom</v>
      </c>
      <c r="K423" s="104" t="s">
        <v>4536</v>
      </c>
      <c r="L423" s="104" t="s">
        <v>26</v>
      </c>
      <c r="M423" s="104" t="s">
        <v>27</v>
      </c>
      <c r="N423" s="108" t="str">
        <f t="shared" si="1"/>
        <v>URBS 3</v>
      </c>
      <c r="O423" s="109" t="str">
        <f>Cadastro!$O423</f>
        <v>https://monitoramento.pm.pr.gov.br/proxy_image_3/Interface/Cameras/GetJPEGStream?Camera=TE014CFTV07&amp;AuthUser=copom_DDTQ&amp;AuthPass=DDTQcopom&amp;Width=1024&amp;Height=768&amp;Quality=70&amp;FPS=10&amp;ResponseFormat=Text</v>
      </c>
      <c r="P423" s="106">
        <f>Cadastro!$P423</f>
        <v>1</v>
      </c>
    </row>
    <row r="424">
      <c r="A424" s="104" t="str">
        <f>Cadastro!$A424</f>
        <v>URBS 3</v>
      </c>
      <c r="B424" s="104" t="str">
        <f>Cadastro!$B424</f>
        <v>CURITIBA</v>
      </c>
      <c r="C424" s="107" t="str">
        <f>Cadastro!$C424</f>
        <v>https://monitoramento.pm.pr.gov.br/proxy_image_3/</v>
      </c>
      <c r="D424" s="105">
        <f>Cadastro!$D424</f>
        <v>38601</v>
      </c>
      <c r="E424" s="104" t="str">
        <f>Cadastro!$E424</f>
        <v>TE014CFTV08</v>
      </c>
      <c r="F424" s="104" t="str">
        <f>Cadastro!$F424</f>
        <v>Terminal Fazendinha &gt;Entrada 2</v>
      </c>
      <c r="G424" s="104" t="str">
        <f>Cadastro!$G424</f>
        <v>-25.477468</v>
      </c>
      <c r="H424" s="104" t="str">
        <f>Cadastro!$H424</f>
        <v>-49.327165</v>
      </c>
      <c r="I424" s="104" t="str">
        <f>Cadastro!$I424</f>
        <v>copom_DDTQ</v>
      </c>
      <c r="J424" s="104" t="str">
        <f>Cadastro!$J424</f>
        <v>DDTQcopom</v>
      </c>
      <c r="K424" s="104" t="s">
        <v>4536</v>
      </c>
      <c r="L424" s="104" t="s">
        <v>26</v>
      </c>
      <c r="M424" s="104" t="s">
        <v>27</v>
      </c>
      <c r="N424" s="108" t="str">
        <f t="shared" si="1"/>
        <v>URBS 3</v>
      </c>
      <c r="O424" s="109" t="str">
        <f>Cadastro!$O424</f>
        <v>https://monitoramento.pm.pr.gov.br/proxy_image_3/Interface/Cameras/GetJPEGStream?Camera=TE014CFTV08&amp;AuthUser=copom_DDTQ&amp;AuthPass=DDTQcopom&amp;Width=1024&amp;Height=768&amp;Quality=70&amp;FPS=10&amp;ResponseFormat=Text</v>
      </c>
      <c r="P424" s="106">
        <f>Cadastro!$P424</f>
        <v>1</v>
      </c>
    </row>
    <row r="425">
      <c r="A425" s="104" t="str">
        <f>Cadastro!$A425</f>
        <v>URBS 3</v>
      </c>
      <c r="B425" s="104" t="str">
        <f>Cadastro!$B425</f>
        <v>CURITIBA</v>
      </c>
      <c r="C425" s="107" t="str">
        <f>Cadastro!$C425</f>
        <v>https://monitoramento.pm.pr.gov.br/proxy_image_3/</v>
      </c>
      <c r="D425" s="105">
        <f>Cadastro!$D425</f>
        <v>38601</v>
      </c>
      <c r="E425" s="104" t="str">
        <f>Cadastro!$E425</f>
        <v>TE015CFTV12</v>
      </c>
      <c r="F425" s="104" t="str">
        <f>Cadastro!$F425</f>
        <v>Terminal Hauer &gt; Entrada 1</v>
      </c>
      <c r="G425" s="104" t="str">
        <f>Cadastro!$G425</f>
        <v>-25.481374</v>
      </c>
      <c r="H425" s="104" t="str">
        <f>Cadastro!$H425</f>
        <v>-49.247380</v>
      </c>
      <c r="I425" s="104" t="str">
        <f>Cadastro!$I425</f>
        <v>copom_DDTQ</v>
      </c>
      <c r="J425" s="104" t="str">
        <f>Cadastro!$J425</f>
        <v>DDTQcopom</v>
      </c>
      <c r="K425" s="104" t="s">
        <v>4536</v>
      </c>
      <c r="L425" s="104" t="s">
        <v>26</v>
      </c>
      <c r="M425" s="104" t="s">
        <v>27</v>
      </c>
      <c r="N425" s="108" t="str">
        <f t="shared" si="1"/>
        <v>URBS 3</v>
      </c>
      <c r="O425" s="109" t="str">
        <f>Cadastro!$O425</f>
        <v>https://monitoramento.pm.pr.gov.br/proxy_image_3/Interface/Cameras/GetJPEGStream?Camera=TE015CFTV12&amp;AuthUser=copom_DDTQ&amp;AuthPass=DDTQcopom&amp;Width=1024&amp;Height=768&amp;Quality=70&amp;FPS=10&amp;ResponseFormat=Text</v>
      </c>
      <c r="P425" s="106">
        <f>Cadastro!$P425</f>
        <v>1</v>
      </c>
    </row>
    <row r="426">
      <c r="A426" s="104" t="str">
        <f>Cadastro!$A426</f>
        <v>URBS 3</v>
      </c>
      <c r="B426" s="104" t="str">
        <f>Cadastro!$B426</f>
        <v>CURITIBA</v>
      </c>
      <c r="C426" s="107" t="str">
        <f>Cadastro!$C426</f>
        <v>https://monitoramento.pm.pr.gov.br/proxy_image_3/</v>
      </c>
      <c r="D426" s="105">
        <f>Cadastro!$D426</f>
        <v>38601</v>
      </c>
      <c r="E426" s="104" t="str">
        <f>Cadastro!$E426</f>
        <v>TE015CFTV14</v>
      </c>
      <c r="F426" s="104" t="str">
        <f>Cadastro!$F426</f>
        <v>Terminal Hauer &gt; Expresso &gt; Bairro</v>
      </c>
      <c r="G426" s="104" t="str">
        <f>Cadastro!$G426</f>
        <v>-25.481901</v>
      </c>
      <c r="H426" s="104" t="str">
        <f>Cadastro!$H426</f>
        <v>-49.247078</v>
      </c>
      <c r="I426" s="104" t="str">
        <f>Cadastro!$I426</f>
        <v>copom_DDTQ</v>
      </c>
      <c r="J426" s="104" t="str">
        <f>Cadastro!$J426</f>
        <v>DDTQcopom</v>
      </c>
      <c r="K426" s="104" t="s">
        <v>4536</v>
      </c>
      <c r="L426" s="104" t="s">
        <v>26</v>
      </c>
      <c r="M426" s="104" t="s">
        <v>27</v>
      </c>
      <c r="N426" s="108" t="str">
        <f t="shared" si="1"/>
        <v>URBS 3</v>
      </c>
      <c r="O426" s="109" t="str">
        <f>Cadastro!$O426</f>
        <v>https://monitoramento.pm.pr.gov.br/proxy_image_3/Interface/Cameras/GetJPEGStream?Camera=TE015CFTV14&amp;AuthUser=copom_DDTQ&amp;AuthPass=DDTQcopom&amp;Width=1024&amp;Height=768&amp;Quality=70&amp;FPS=10&amp;ResponseFormat=Text</v>
      </c>
      <c r="P426" s="106">
        <f>Cadastro!$P426</f>
        <v>1</v>
      </c>
    </row>
    <row r="427">
      <c r="A427" s="104" t="str">
        <f>Cadastro!$A427</f>
        <v>URBS 3</v>
      </c>
      <c r="B427" s="104" t="str">
        <f>Cadastro!$B427</f>
        <v>CURITIBA</v>
      </c>
      <c r="C427" s="107" t="str">
        <f>Cadastro!$C427</f>
        <v>https://monitoramento.pm.pr.gov.br/proxy_image_3/</v>
      </c>
      <c r="D427" s="105">
        <f>Cadastro!$D427</f>
        <v>38601</v>
      </c>
      <c r="E427" s="104" t="str">
        <f>Cadastro!$E427</f>
        <v>TE015CFTV13</v>
      </c>
      <c r="F427" s="104" t="str">
        <f>Cadastro!$F427</f>
        <v>Terminal Hauer &gt; Entrada 2</v>
      </c>
      <c r="G427" s="104" t="str">
        <f>Cadastro!$G427</f>
        <v>-25.482569</v>
      </c>
      <c r="H427" s="104" t="str">
        <f>Cadastro!$H427</f>
        <v>-49.246800</v>
      </c>
      <c r="I427" s="104" t="str">
        <f>Cadastro!$I427</f>
        <v>copom_DDTQ</v>
      </c>
      <c r="J427" s="104" t="str">
        <f>Cadastro!$J427</f>
        <v>DDTQcopom</v>
      </c>
      <c r="K427" s="104" t="s">
        <v>4536</v>
      </c>
      <c r="L427" s="104" t="s">
        <v>26</v>
      </c>
      <c r="M427" s="104" t="s">
        <v>27</v>
      </c>
      <c r="N427" s="108" t="str">
        <f t="shared" si="1"/>
        <v>URBS 3</v>
      </c>
      <c r="O427" s="109" t="str">
        <f>Cadastro!$O427</f>
        <v>https://monitoramento.pm.pr.gov.br/proxy_image_3/Interface/Cameras/GetJPEGStream?Camera=TE015CFTV13&amp;AuthUser=copom_DDTQ&amp;AuthPass=DDTQcopom&amp;Width=1024&amp;Height=768&amp;Quality=70&amp;FPS=10&amp;ResponseFormat=Text</v>
      </c>
      <c r="P427" s="106">
        <f>Cadastro!$P427</f>
        <v>1</v>
      </c>
    </row>
    <row r="428">
      <c r="A428" s="104" t="str">
        <f>Cadastro!$A428</f>
        <v>URBS 3</v>
      </c>
      <c r="B428" s="104" t="str">
        <f>Cadastro!$B428</f>
        <v>CURITIBA</v>
      </c>
      <c r="C428" s="107" t="str">
        <f>Cadastro!$C428</f>
        <v>https://monitoramento.pm.pr.gov.br/proxy_image_3/</v>
      </c>
      <c r="D428" s="105">
        <f>Cadastro!$D428</f>
        <v>38601</v>
      </c>
      <c r="E428" s="104" t="str">
        <f>Cadastro!$E428</f>
        <v>TE017CFTV01</v>
      </c>
      <c r="F428" s="104" t="str">
        <f>Cadastro!$F428</f>
        <v>Terminal Pinheirinho &gt; Circular Sul &gt; Sitio Cercado</v>
      </c>
      <c r="G428" s="104" t="str">
        <f>Cadastro!$G428</f>
        <v>-25.512071</v>
      </c>
      <c r="H428" s="104" t="str">
        <f>Cadastro!$H428</f>
        <v>-49.295723</v>
      </c>
      <c r="I428" s="104" t="str">
        <f>Cadastro!$I428</f>
        <v>copom_DDTQ</v>
      </c>
      <c r="J428" s="104" t="str">
        <f>Cadastro!$J428</f>
        <v>DDTQcopom</v>
      </c>
      <c r="K428" s="104" t="s">
        <v>4536</v>
      </c>
      <c r="L428" s="104" t="s">
        <v>26</v>
      </c>
      <c r="M428" s="104" t="s">
        <v>27</v>
      </c>
      <c r="N428" s="108" t="str">
        <f t="shared" si="1"/>
        <v>URBS 3</v>
      </c>
      <c r="O428" s="109" t="str">
        <f>Cadastro!$O428</f>
        <v>https://monitoramento.pm.pr.gov.br/proxy_image_3/Interface/Cameras/GetJPEGStream?Camera=TE017CFTV01&amp;AuthUser=copom_DDTQ&amp;AuthPass=DDTQcopom&amp;Width=1024&amp;Height=768&amp;Quality=70&amp;FPS=10&amp;ResponseFormat=Text</v>
      </c>
      <c r="P428" s="106">
        <f>Cadastro!$P428</f>
        <v>1</v>
      </c>
    </row>
    <row r="429">
      <c r="A429" s="104" t="str">
        <f>Cadastro!$A429</f>
        <v>URBS 3</v>
      </c>
      <c r="B429" s="104" t="str">
        <f>Cadastro!$B429</f>
        <v>CURITIBA</v>
      </c>
      <c r="C429" s="107" t="str">
        <f>Cadastro!$C429</f>
        <v>https://monitoramento.pm.pr.gov.br/proxy_image_3/</v>
      </c>
      <c r="D429" s="105">
        <f>Cadastro!$D429</f>
        <v>38601</v>
      </c>
      <c r="E429" s="104" t="str">
        <f>Cadastro!$E429</f>
        <v>TE017CFTV02</v>
      </c>
      <c r="F429" s="104" t="str">
        <f>Cadastro!$F429</f>
        <v>Terminal Pinheirinho &gt; Circular Sul &gt; Capão Raso</v>
      </c>
      <c r="G429" s="104" t="str">
        <f>Cadastro!$G429</f>
        <v>-25.513121</v>
      </c>
      <c r="H429" s="104" t="str">
        <f>Cadastro!$H429</f>
        <v>-49.295561</v>
      </c>
      <c r="I429" s="104" t="str">
        <f>Cadastro!$I429</f>
        <v>copom_DDTQ</v>
      </c>
      <c r="J429" s="104" t="str">
        <f>Cadastro!$J429</f>
        <v>DDTQcopom</v>
      </c>
      <c r="K429" s="104" t="s">
        <v>4536</v>
      </c>
      <c r="L429" s="104" t="s">
        <v>26</v>
      </c>
      <c r="M429" s="104" t="s">
        <v>27</v>
      </c>
      <c r="N429" s="108" t="str">
        <f t="shared" si="1"/>
        <v>URBS 3</v>
      </c>
      <c r="O429" s="109" t="str">
        <f>Cadastro!$O429</f>
        <v>https://monitoramento.pm.pr.gov.br/proxy_image_3/Interface/Cameras/GetJPEGStream?Camera=TE017CFTV02&amp;AuthUser=copom_DDTQ&amp;AuthPass=DDTQcopom&amp;Width=1024&amp;Height=768&amp;Quality=70&amp;FPS=10&amp;ResponseFormat=Text</v>
      </c>
      <c r="P429" s="106">
        <f>Cadastro!$P429</f>
        <v>1</v>
      </c>
    </row>
    <row r="430">
      <c r="A430" s="104" t="str">
        <f>Cadastro!$A430</f>
        <v>URBS 3</v>
      </c>
      <c r="B430" s="104" t="str">
        <f>Cadastro!$B430</f>
        <v>CURITIBA</v>
      </c>
      <c r="C430" s="107" t="str">
        <f>Cadastro!$C430</f>
        <v>https://monitoramento.pm.pr.gov.br/proxy_image_3/</v>
      </c>
      <c r="D430" s="105">
        <f>Cadastro!$D430</f>
        <v>38601</v>
      </c>
      <c r="E430" s="104" t="str">
        <f>Cadastro!$E430</f>
        <v>TE017CFTV03</v>
      </c>
      <c r="F430" s="104" t="str">
        <f>Cadastro!$F430</f>
        <v>Terminal Pinheirinho &gt; Expresso &gt; Rui Barbosa</v>
      </c>
      <c r="G430" s="104" t="str">
        <f>Cadastro!$G430</f>
        <v>-25.512418</v>
      </c>
      <c r="H430" s="104" t="str">
        <f>Cadastro!$H430</f>
        <v>-49.295587</v>
      </c>
      <c r="I430" s="104" t="str">
        <f>Cadastro!$I430</f>
        <v>copom_DDTQ</v>
      </c>
      <c r="J430" s="104" t="str">
        <f>Cadastro!$J430</f>
        <v>DDTQcopom</v>
      </c>
      <c r="K430" s="104" t="s">
        <v>4536</v>
      </c>
      <c r="L430" s="104" t="s">
        <v>26</v>
      </c>
      <c r="M430" s="104" t="s">
        <v>27</v>
      </c>
      <c r="N430" s="108" t="str">
        <f t="shared" si="1"/>
        <v>URBS 3</v>
      </c>
      <c r="O430" s="109" t="str">
        <f>Cadastro!$O430</f>
        <v>https://monitoramento.pm.pr.gov.br/proxy_image_3/Interface/Cameras/GetJPEGStream?Camera=TE017CFTV03&amp;AuthUser=copom_DDTQ&amp;AuthPass=DDTQcopom&amp;Width=1024&amp;Height=768&amp;Quality=70&amp;FPS=10&amp;ResponseFormat=Text</v>
      </c>
      <c r="P430" s="106">
        <f>Cadastro!$P430</f>
        <v>1</v>
      </c>
    </row>
    <row r="431">
      <c r="A431" s="104" t="str">
        <f>Cadastro!$A431</f>
        <v>URBS 3</v>
      </c>
      <c r="B431" s="104" t="str">
        <f>Cadastro!$B431</f>
        <v>CURITIBA</v>
      </c>
      <c r="C431" s="107" t="str">
        <f>Cadastro!$C431</f>
        <v>https://monitoramento.pm.pr.gov.br/proxy_image_3/</v>
      </c>
      <c r="D431" s="105">
        <f>Cadastro!$D431</f>
        <v>38601</v>
      </c>
      <c r="E431" s="104" t="str">
        <f>Cadastro!$E431</f>
        <v>TE017CFTV05</v>
      </c>
      <c r="F431" s="104" t="str">
        <f>Cadastro!$F431</f>
        <v>Terminal Pinheirinho &gt; Fazenda Rio Grande</v>
      </c>
      <c r="G431" s="104" t="str">
        <f>Cadastro!$G431</f>
        <v>-25.512016</v>
      </c>
      <c r="H431" s="104" t="str">
        <f>Cadastro!$H431</f>
        <v>-49.295294</v>
      </c>
      <c r="I431" s="104" t="str">
        <f>Cadastro!$I431</f>
        <v>copom_DDTQ</v>
      </c>
      <c r="J431" s="104" t="str">
        <f>Cadastro!$J431</f>
        <v>DDTQcopom</v>
      </c>
      <c r="K431" s="104" t="s">
        <v>4536</v>
      </c>
      <c r="L431" s="104" t="s">
        <v>26</v>
      </c>
      <c r="M431" s="104" t="s">
        <v>27</v>
      </c>
      <c r="N431" s="108" t="str">
        <f t="shared" si="1"/>
        <v>URBS 3</v>
      </c>
      <c r="O431" s="109" t="str">
        <f>Cadastro!$O431</f>
        <v>https://monitoramento.pm.pr.gov.br/proxy_image_3/Interface/Cameras/GetJPEGStream?Camera=TE017CFTV05&amp;AuthUser=copom_DDTQ&amp;AuthPass=DDTQcopom&amp;Width=1024&amp;Height=768&amp;Quality=70&amp;FPS=10&amp;ResponseFormat=Text</v>
      </c>
      <c r="P431" s="106">
        <f>Cadastro!$P431</f>
        <v>1</v>
      </c>
    </row>
    <row r="432">
      <c r="A432" s="104" t="str">
        <f>Cadastro!$A432</f>
        <v>URBS 3</v>
      </c>
      <c r="B432" s="104" t="str">
        <f>Cadastro!$B432</f>
        <v>CURITIBA</v>
      </c>
      <c r="C432" s="107" t="str">
        <f>Cadastro!$C432</f>
        <v>https://monitoramento.pm.pr.gov.br/proxy_image_3/</v>
      </c>
      <c r="D432" s="105">
        <f>Cadastro!$D432</f>
        <v>38601</v>
      </c>
      <c r="E432" s="104" t="str">
        <f>Cadastro!$E432</f>
        <v>TE017CFTV06</v>
      </c>
      <c r="F432" s="104" t="str">
        <f>Cadastro!$F432</f>
        <v>Terminal Pinheirinho &gt; Cachimba &gt; Olaria</v>
      </c>
      <c r="G432" s="104" t="str">
        <f>Cadastro!$G432</f>
        <v>-25.513297</v>
      </c>
      <c r="H432" s="104" t="str">
        <f>Cadastro!$H432</f>
        <v>-49.295064</v>
      </c>
      <c r="I432" s="104" t="str">
        <f>Cadastro!$I432</f>
        <v>copom_DDTQ</v>
      </c>
      <c r="J432" s="104" t="str">
        <f>Cadastro!$J432</f>
        <v>DDTQcopom</v>
      </c>
      <c r="K432" s="104" t="s">
        <v>4536</v>
      </c>
      <c r="L432" s="104" t="s">
        <v>26</v>
      </c>
      <c r="M432" s="104" t="s">
        <v>27</v>
      </c>
      <c r="N432" s="108" t="str">
        <f t="shared" si="1"/>
        <v>URBS 3</v>
      </c>
      <c r="O432" s="109" t="str">
        <f>Cadastro!$O432</f>
        <v>https://monitoramento.pm.pr.gov.br/proxy_image_3/Interface/Cameras/GetJPEGStream?Camera=TE017CFTV06&amp;AuthUser=copom_DDTQ&amp;AuthPass=DDTQcopom&amp;Width=1024&amp;Height=768&amp;Quality=70&amp;FPS=10&amp;ResponseFormat=Text</v>
      </c>
      <c r="P432" s="106">
        <f>Cadastro!$P432</f>
        <v>1</v>
      </c>
    </row>
    <row r="433">
      <c r="A433" s="104" t="str">
        <f>Cadastro!$A433</f>
        <v>URBS 3</v>
      </c>
      <c r="B433" s="104" t="str">
        <f>Cadastro!$B433</f>
        <v>CURITIBA</v>
      </c>
      <c r="C433" s="107" t="str">
        <f>Cadastro!$C433</f>
        <v>https://monitoramento.pm.pr.gov.br/proxy_image_3/</v>
      </c>
      <c r="D433" s="105">
        <f>Cadastro!$D433</f>
        <v>38601</v>
      </c>
      <c r="E433" s="104" t="str">
        <f>Cadastro!$E433</f>
        <v>TE017CFTV08</v>
      </c>
      <c r="F433" s="104" t="str">
        <f>Cadastro!$F433</f>
        <v>Terminal Pinheirinho &gt; Pinheirinho CIC</v>
      </c>
      <c r="G433" s="104" t="str">
        <f>Cadastro!$G433</f>
        <v>-25.512512</v>
      </c>
      <c r="H433" s="104" t="str">
        <f>Cadastro!$H433</f>
        <v>-49.295012</v>
      </c>
      <c r="I433" s="104" t="str">
        <f>Cadastro!$I433</f>
        <v>copom_DDTQ</v>
      </c>
      <c r="J433" s="104" t="str">
        <f>Cadastro!$J433</f>
        <v>DDTQcopom</v>
      </c>
      <c r="K433" s="104" t="s">
        <v>4536</v>
      </c>
      <c r="L433" s="104" t="s">
        <v>26</v>
      </c>
      <c r="M433" s="104" t="s">
        <v>27</v>
      </c>
      <c r="N433" s="108" t="str">
        <f t="shared" si="1"/>
        <v>URBS 3</v>
      </c>
      <c r="O433" s="109" t="str">
        <f>Cadastro!$O433</f>
        <v>https://monitoramento.pm.pr.gov.br/proxy_image_3/Interface/Cameras/GetJPEGStream?Camera=TE017CFTV08&amp;AuthUser=copom_DDTQ&amp;AuthPass=DDTQcopom&amp;Width=1024&amp;Height=768&amp;Quality=70&amp;FPS=10&amp;ResponseFormat=Text</v>
      </c>
      <c r="P433" s="106">
        <f>Cadastro!$P433</f>
        <v>1</v>
      </c>
    </row>
    <row r="434">
      <c r="A434" s="104" t="str">
        <f>Cadastro!$A434</f>
        <v>URBS 3</v>
      </c>
      <c r="B434" s="104" t="str">
        <f>Cadastro!$B434</f>
        <v>CURITIBA</v>
      </c>
      <c r="C434" s="107" t="str">
        <f>Cadastro!$C434</f>
        <v>https://monitoramento.pm.pr.gov.br/proxy_image_3/</v>
      </c>
      <c r="D434" s="105">
        <f>Cadastro!$D434</f>
        <v>38601</v>
      </c>
      <c r="E434" s="104" t="str">
        <f>Cadastro!$E434</f>
        <v>TE017CFTV09</v>
      </c>
      <c r="F434" s="104" t="str">
        <f>Cadastro!$F434</f>
        <v>Terminal Pinheirinho &gt; Rio Negro</v>
      </c>
      <c r="G434" s="104" t="str">
        <f>Cadastro!$G434</f>
        <v>-25.512461</v>
      </c>
      <c r="H434" s="104" t="str">
        <f>Cadastro!$H434</f>
        <v>-49.294817</v>
      </c>
      <c r="I434" s="104" t="str">
        <f>Cadastro!$I434</f>
        <v>copom_DDTQ</v>
      </c>
      <c r="J434" s="104" t="str">
        <f>Cadastro!$J434</f>
        <v>DDTQcopom</v>
      </c>
      <c r="K434" s="104" t="s">
        <v>4536</v>
      </c>
      <c r="L434" s="104" t="s">
        <v>26</v>
      </c>
      <c r="M434" s="104" t="s">
        <v>27</v>
      </c>
      <c r="N434" s="108" t="str">
        <f t="shared" si="1"/>
        <v>URBS 3</v>
      </c>
      <c r="O434" s="109" t="str">
        <f>Cadastro!$O434</f>
        <v>https://monitoramento.pm.pr.gov.br/proxy_image_3/Interface/Cameras/GetJPEGStream?Camera=TE017CFTV09&amp;AuthUser=copom_DDTQ&amp;AuthPass=DDTQcopom&amp;Width=1024&amp;Height=768&amp;Quality=70&amp;FPS=10&amp;ResponseFormat=Text</v>
      </c>
      <c r="P434" s="106">
        <f>Cadastro!$P434</f>
        <v>1</v>
      </c>
    </row>
    <row r="435">
      <c r="A435" s="104" t="str">
        <f>Cadastro!$A435</f>
        <v>URBS 3</v>
      </c>
      <c r="B435" s="104" t="str">
        <f>Cadastro!$B435</f>
        <v>CURITIBA</v>
      </c>
      <c r="C435" s="107" t="str">
        <f>Cadastro!$C435</f>
        <v>https://monitoramento.pm.pr.gov.br/proxy_image_3/</v>
      </c>
      <c r="D435" s="105">
        <f>Cadastro!$D435</f>
        <v>38601</v>
      </c>
      <c r="E435" s="104" t="str">
        <f>Cadastro!$E435</f>
        <v>TE017CFTV10</v>
      </c>
      <c r="F435" s="104" t="str">
        <f>Cadastro!$F435</f>
        <v>Terminal Pinheirinho &gt; Alimentador Pinheirinho</v>
      </c>
      <c r="G435" s="104" t="str">
        <f>Cadastro!$G435</f>
        <v>-25.511896</v>
      </c>
      <c r="H435" s="104" t="str">
        <f>Cadastro!$H435</f>
        <v>-49.294834</v>
      </c>
      <c r="I435" s="104" t="str">
        <f>Cadastro!$I435</f>
        <v>copom_DDTQ</v>
      </c>
      <c r="J435" s="104" t="str">
        <f>Cadastro!$J435</f>
        <v>DDTQcopom</v>
      </c>
      <c r="K435" s="104" t="s">
        <v>4536</v>
      </c>
      <c r="L435" s="104" t="s">
        <v>26</v>
      </c>
      <c r="M435" s="104" t="s">
        <v>27</v>
      </c>
      <c r="N435" s="108" t="str">
        <f t="shared" si="1"/>
        <v>URBS 3</v>
      </c>
      <c r="O435" s="109" t="str">
        <f>Cadastro!$O435</f>
        <v>https://monitoramento.pm.pr.gov.br/proxy_image_3/Interface/Cameras/GetJPEGStream?Camera=TE017CFTV10&amp;AuthUser=copom_DDTQ&amp;AuthPass=DDTQcopom&amp;Width=1024&amp;Height=768&amp;Quality=70&amp;FPS=10&amp;ResponseFormat=Text</v>
      </c>
      <c r="P435" s="106">
        <f>Cadastro!$P435</f>
        <v>1</v>
      </c>
    </row>
    <row r="436">
      <c r="A436" s="104" t="str">
        <f>Cadastro!$A436</f>
        <v>URBS 3</v>
      </c>
      <c r="B436" s="104" t="str">
        <f>Cadastro!$B436</f>
        <v>CURITIBA</v>
      </c>
      <c r="C436" s="107" t="str">
        <f>Cadastro!$C436</f>
        <v>https://monitoramento.pm.pr.gov.br/proxy_image_3/</v>
      </c>
      <c r="D436" s="105">
        <f>Cadastro!$D436</f>
        <v>38601</v>
      </c>
      <c r="E436" s="104" t="str">
        <f>Cadastro!$E436</f>
        <v>TE017CFTV11</v>
      </c>
      <c r="F436" s="104" t="str">
        <f>Cadastro!$F436</f>
        <v>Terminal Pinheirinho &gt; JD da Ordem</v>
      </c>
      <c r="G436" s="104" t="str">
        <f>Cadastro!$G436</f>
        <v>-25.512022</v>
      </c>
      <c r="H436" s="104" t="str">
        <f>Cadastro!$H436</f>
        <v>-49.295018</v>
      </c>
      <c r="I436" s="104" t="str">
        <f>Cadastro!$I436</f>
        <v>copom_DDTQ</v>
      </c>
      <c r="J436" s="104" t="str">
        <f>Cadastro!$J436</f>
        <v>DDTQcopom</v>
      </c>
      <c r="K436" s="104" t="s">
        <v>4536</v>
      </c>
      <c r="L436" s="104" t="s">
        <v>26</v>
      </c>
      <c r="M436" s="104" t="s">
        <v>27</v>
      </c>
      <c r="N436" s="108" t="str">
        <f t="shared" si="1"/>
        <v>URBS 3</v>
      </c>
      <c r="O436" s="109" t="str">
        <f>Cadastro!$O436</f>
        <v>https://monitoramento.pm.pr.gov.br/proxy_image_3/Interface/Cameras/GetJPEGStream?Camera=TE017CFTV11&amp;AuthUser=copom_DDTQ&amp;AuthPass=DDTQcopom&amp;Width=1024&amp;Height=768&amp;Quality=70&amp;FPS=10&amp;ResponseFormat=Text</v>
      </c>
      <c r="P436" s="106">
        <f>Cadastro!$P436</f>
        <v>1</v>
      </c>
    </row>
    <row r="437">
      <c r="A437" s="104" t="str">
        <f>Cadastro!$A437</f>
        <v>URBS 3</v>
      </c>
      <c r="B437" s="104" t="str">
        <f>Cadastro!$B437</f>
        <v>CURITIBA</v>
      </c>
      <c r="C437" s="107" t="str">
        <f>Cadastro!$C437</f>
        <v>https://monitoramento.pm.pr.gov.br/proxy_image_3/</v>
      </c>
      <c r="D437" s="105">
        <f>Cadastro!$D437</f>
        <v>38601</v>
      </c>
      <c r="E437" s="104" t="str">
        <f>Cadastro!$E437</f>
        <v>TE017CFTV12</v>
      </c>
      <c r="F437" s="104" t="str">
        <f>Cadastro!$F437</f>
        <v>Terminal Pinheirinho &gt; Expresso &gt; Sta Cândida</v>
      </c>
      <c r="G437" s="104" t="str">
        <f>Cadastro!$G437</f>
        <v>-25.513164</v>
      </c>
      <c r="H437" s="104" t="str">
        <f>Cadastro!$H437</f>
        <v>-49.294576</v>
      </c>
      <c r="I437" s="104" t="str">
        <f>Cadastro!$I437</f>
        <v>copom_DDTQ</v>
      </c>
      <c r="J437" s="104" t="str">
        <f>Cadastro!$J437</f>
        <v>DDTQcopom</v>
      </c>
      <c r="K437" s="104" t="s">
        <v>4536</v>
      </c>
      <c r="L437" s="104" t="s">
        <v>26</v>
      </c>
      <c r="M437" s="104" t="s">
        <v>27</v>
      </c>
      <c r="N437" s="108" t="str">
        <f t="shared" si="1"/>
        <v>URBS 3</v>
      </c>
      <c r="O437" s="109" t="str">
        <f>Cadastro!$O437</f>
        <v>https://monitoramento.pm.pr.gov.br/proxy_image_3/Interface/Cameras/GetJPEGStream?Camera=TE017CFTV12&amp;AuthUser=copom_DDTQ&amp;AuthPass=DDTQcopom&amp;Width=1024&amp;Height=768&amp;Quality=70&amp;FPS=10&amp;ResponseFormat=Text</v>
      </c>
      <c r="P437" s="106">
        <f>Cadastro!$P437</f>
        <v>1</v>
      </c>
    </row>
    <row r="438">
      <c r="A438" s="104" t="str">
        <f>Cadastro!$A438</f>
        <v>URBS 3</v>
      </c>
      <c r="B438" s="104" t="str">
        <f>Cadastro!$B438</f>
        <v>CURITIBA</v>
      </c>
      <c r="C438" s="107" t="str">
        <f>Cadastro!$C438</f>
        <v>https://monitoramento.pm.pr.gov.br/proxy_image_3/</v>
      </c>
      <c r="D438" s="105">
        <f>Cadastro!$D438</f>
        <v>38601</v>
      </c>
      <c r="E438" s="104" t="str">
        <f>Cadastro!$E438</f>
        <v>TE017CFTV13</v>
      </c>
      <c r="F438" s="104" t="str">
        <f>Cadastro!$F438</f>
        <v>Terminal Pinheirinho &gt; Expresso &gt; Carlos Gomes</v>
      </c>
      <c r="G438" s="104" t="str">
        <f>Cadastro!$G438</f>
        <v>-25.512296</v>
      </c>
      <c r="H438" s="104" t="str">
        <f>Cadastro!$H438</f>
        <v>-49.294533</v>
      </c>
      <c r="I438" s="104" t="str">
        <f>Cadastro!$I438</f>
        <v>copom_DDTQ</v>
      </c>
      <c r="J438" s="104" t="str">
        <f>Cadastro!$J438</f>
        <v>DDTQcopom</v>
      </c>
      <c r="K438" s="104" t="s">
        <v>4536</v>
      </c>
      <c r="L438" s="104" t="s">
        <v>26</v>
      </c>
      <c r="M438" s="104" t="s">
        <v>27</v>
      </c>
      <c r="N438" s="108" t="str">
        <f t="shared" si="1"/>
        <v>URBS 3</v>
      </c>
      <c r="O438" s="109" t="str">
        <f>Cadastro!$O438</f>
        <v>https://monitoramento.pm.pr.gov.br/proxy_image_3/Interface/Cameras/GetJPEGStream?Camera=TE017CFTV13&amp;AuthUser=copom_DDTQ&amp;AuthPass=DDTQcopom&amp;Width=1024&amp;Height=768&amp;Quality=70&amp;FPS=10&amp;ResponseFormat=Text</v>
      </c>
      <c r="P438" s="106">
        <f>Cadastro!$P438</f>
        <v>1</v>
      </c>
    </row>
    <row r="439">
      <c r="A439" s="104" t="str">
        <f>Cadastro!$A439</f>
        <v>URBS 3</v>
      </c>
      <c r="B439" s="104" t="str">
        <f>Cadastro!$B439</f>
        <v>CURITIBA</v>
      </c>
      <c r="C439" s="107" t="str">
        <f>Cadastro!$C439</f>
        <v>https://monitoramento.pm.pr.gov.br/proxy_image_3/</v>
      </c>
      <c r="D439" s="105">
        <f>Cadastro!$D439</f>
        <v>38601</v>
      </c>
      <c r="E439" s="104" t="str">
        <f>Cadastro!$E439</f>
        <v>TE017CFTV14</v>
      </c>
      <c r="F439" s="104" t="str">
        <f>Cadastro!$F439</f>
        <v>Terminal Pinheirinho &gt; ET Sitio Cercado</v>
      </c>
      <c r="G439" s="104" t="str">
        <f>Cadastro!$G439</f>
        <v>-25.512250</v>
      </c>
      <c r="H439" s="104" t="str">
        <f>Cadastro!$H439</f>
        <v>-49.295743</v>
      </c>
      <c r="I439" s="104" t="str">
        <f>Cadastro!$I439</f>
        <v>copom_DDTQ</v>
      </c>
      <c r="J439" s="104" t="str">
        <f>Cadastro!$J439</f>
        <v>DDTQcopom</v>
      </c>
      <c r="K439" s="104" t="s">
        <v>4536</v>
      </c>
      <c r="L439" s="104" t="s">
        <v>26</v>
      </c>
      <c r="M439" s="104" t="s">
        <v>27</v>
      </c>
      <c r="N439" s="108" t="str">
        <f t="shared" si="1"/>
        <v>URBS 3</v>
      </c>
      <c r="O439" s="109" t="str">
        <f>Cadastro!$O439</f>
        <v>https://monitoramento.pm.pr.gov.br/proxy_image_3/Interface/Cameras/GetJPEGStream?Camera=TE017CFTV14&amp;AuthUser=copom_DDTQ&amp;AuthPass=DDTQcopom&amp;Width=1024&amp;Height=768&amp;Quality=70&amp;FPS=10&amp;ResponseFormat=Text</v>
      </c>
      <c r="P439" s="106">
        <f>Cadastro!$P439</f>
        <v>1</v>
      </c>
    </row>
    <row r="440">
      <c r="A440" s="104" t="str">
        <f>Cadastro!$A440</f>
        <v>URBS 3</v>
      </c>
      <c r="B440" s="104" t="str">
        <f>Cadastro!$B440</f>
        <v>CURITIBA</v>
      </c>
      <c r="C440" s="107" t="str">
        <f>Cadastro!$C440</f>
        <v>https://monitoramento.pm.pr.gov.br/proxy_image_3/</v>
      </c>
      <c r="D440" s="105">
        <f>Cadastro!$D440</f>
        <v>38601</v>
      </c>
      <c r="E440" s="104" t="str">
        <f>Cadastro!$E440</f>
        <v>TE017CFTV15</v>
      </c>
      <c r="F440" s="104" t="str">
        <f>Cadastro!$F440</f>
        <v>Terminal Pinheirinho &gt; Entrada 1</v>
      </c>
      <c r="G440" s="104" t="str">
        <f>Cadastro!$G440</f>
        <v>-25.513365</v>
      </c>
      <c r="H440" s="104" t="str">
        <f>Cadastro!$H440</f>
        <v>-49.295527</v>
      </c>
      <c r="I440" s="104" t="str">
        <f>Cadastro!$I440</f>
        <v>copom_DDTQ</v>
      </c>
      <c r="J440" s="104" t="str">
        <f>Cadastro!$J440</f>
        <v>DDTQcopom</v>
      </c>
      <c r="K440" s="104" t="s">
        <v>4536</v>
      </c>
      <c r="L440" s="104" t="s">
        <v>26</v>
      </c>
      <c r="M440" s="104" t="s">
        <v>27</v>
      </c>
      <c r="N440" s="108" t="str">
        <f t="shared" si="1"/>
        <v>URBS 3</v>
      </c>
      <c r="O440" s="109" t="str">
        <f>Cadastro!$O440</f>
        <v>https://monitoramento.pm.pr.gov.br/proxy_image_3/Interface/Cameras/GetJPEGStream?Camera=TE017CFTV15&amp;AuthUser=copom_DDTQ&amp;AuthPass=DDTQcopom&amp;Width=1024&amp;Height=768&amp;Quality=70&amp;FPS=10&amp;ResponseFormat=Text</v>
      </c>
      <c r="P440" s="106">
        <f>Cadastro!$P440</f>
        <v>1</v>
      </c>
    </row>
    <row r="441">
      <c r="A441" s="104" t="str">
        <f>Cadastro!$A441</f>
        <v>URBS 3</v>
      </c>
      <c r="B441" s="104" t="str">
        <f>Cadastro!$B441</f>
        <v>CURITIBA</v>
      </c>
      <c r="C441" s="107" t="str">
        <f>Cadastro!$C441</f>
        <v>https://monitoramento.pm.pr.gov.br/proxy_image_3/</v>
      </c>
      <c r="D441" s="105">
        <f>Cadastro!$D441</f>
        <v>38601</v>
      </c>
      <c r="E441" s="104" t="str">
        <f>Cadastro!$E441</f>
        <v>TE017CFTV16</v>
      </c>
      <c r="F441" s="104" t="str">
        <f>Cadastro!$F441</f>
        <v>Terminal Pinheirinho &gt; Entrada 2</v>
      </c>
      <c r="G441" s="104" t="str">
        <f>Cadastro!$G441</f>
        <v>-25.511884</v>
      </c>
      <c r="H441" s="104" t="str">
        <f>Cadastro!$H441</f>
        <v>-49.295530</v>
      </c>
      <c r="I441" s="104" t="str">
        <f>Cadastro!$I441</f>
        <v>copom_DDTQ</v>
      </c>
      <c r="J441" s="104" t="str">
        <f>Cadastro!$J441</f>
        <v>DDTQcopom</v>
      </c>
      <c r="K441" s="104" t="s">
        <v>4536</v>
      </c>
      <c r="L441" s="104" t="s">
        <v>26</v>
      </c>
      <c r="M441" s="104" t="s">
        <v>27</v>
      </c>
      <c r="N441" s="108" t="str">
        <f t="shared" si="1"/>
        <v>URBS 3</v>
      </c>
      <c r="O441" s="109" t="str">
        <f>Cadastro!$O441</f>
        <v>https://monitoramento.pm.pr.gov.br/proxy_image_3/Interface/Cameras/GetJPEGStream?Camera=TE017CFTV16&amp;AuthUser=copom_DDTQ&amp;AuthPass=DDTQcopom&amp;Width=1024&amp;Height=768&amp;Quality=70&amp;FPS=10&amp;ResponseFormat=Text</v>
      </c>
      <c r="P441" s="106">
        <f>Cadastro!$P441</f>
        <v>1</v>
      </c>
    </row>
    <row r="442">
      <c r="A442" s="104" t="str">
        <f>Cadastro!$A442</f>
        <v>URBS 3</v>
      </c>
      <c r="B442" s="104" t="str">
        <f>Cadastro!$B442</f>
        <v>CURITIBA</v>
      </c>
      <c r="C442" s="107" t="str">
        <f>Cadastro!$C442</f>
        <v>https://monitoramento.pm.pr.gov.br/proxy_image_3/</v>
      </c>
      <c r="D442" s="105">
        <f>Cadastro!$D442</f>
        <v>38601</v>
      </c>
      <c r="E442" s="104" t="str">
        <f>Cadastro!$E442</f>
        <v>TE017CFTV17</v>
      </c>
      <c r="F442" s="104" t="str">
        <f>Cadastro!$F442</f>
        <v>Terminal Pinheirinho &gt; Entrada 3</v>
      </c>
      <c r="G442" s="104" t="str">
        <f>Cadastro!$G442</f>
        <v>-25.513345</v>
      </c>
      <c r="H442" s="104" t="str">
        <f>Cadastro!$H442</f>
        <v>-49.294566</v>
      </c>
      <c r="I442" s="104" t="str">
        <f>Cadastro!$I442</f>
        <v>copom_DDTQ</v>
      </c>
      <c r="J442" s="104" t="str">
        <f>Cadastro!$J442</f>
        <v>DDTQcopom</v>
      </c>
      <c r="K442" s="104" t="s">
        <v>4536</v>
      </c>
      <c r="L442" s="104" t="s">
        <v>26</v>
      </c>
      <c r="M442" s="104" t="s">
        <v>27</v>
      </c>
      <c r="N442" s="108" t="str">
        <f t="shared" si="1"/>
        <v>URBS 3</v>
      </c>
      <c r="O442" s="109" t="str">
        <f>Cadastro!$O442</f>
        <v>https://monitoramento.pm.pr.gov.br/proxy_image_3/Interface/Cameras/GetJPEGStream?Camera=TE017CFTV17&amp;AuthUser=copom_DDTQ&amp;AuthPass=DDTQcopom&amp;Width=1024&amp;Height=768&amp;Quality=70&amp;FPS=10&amp;ResponseFormat=Text</v>
      </c>
      <c r="P442" s="106">
        <f>Cadastro!$P442</f>
        <v>1</v>
      </c>
    </row>
    <row r="443">
      <c r="A443" s="104" t="str">
        <f>Cadastro!$A443</f>
        <v>URBS 3</v>
      </c>
      <c r="B443" s="104" t="str">
        <f>Cadastro!$B443</f>
        <v>CURITIBA</v>
      </c>
      <c r="C443" s="107" t="str">
        <f>Cadastro!$C443</f>
        <v>https://monitoramento.pm.pr.gov.br/proxy_image_3/</v>
      </c>
      <c r="D443" s="105">
        <f>Cadastro!$D443</f>
        <v>38601</v>
      </c>
      <c r="E443" s="104" t="str">
        <f>Cadastro!$E443</f>
        <v>TE017CFTV18</v>
      </c>
      <c r="F443" s="104" t="str">
        <f>Cadastro!$F443</f>
        <v>Terminal Pinheirinho &gt; Entrada 4</v>
      </c>
      <c r="G443" s="104" t="str">
        <f>Cadastro!$G443</f>
        <v>-25.511910</v>
      </c>
      <c r="H443" s="104" t="str">
        <f>Cadastro!$H443</f>
        <v>-49.294586</v>
      </c>
      <c r="I443" s="104" t="str">
        <f>Cadastro!$I443</f>
        <v>copom_DDTQ</v>
      </c>
      <c r="J443" s="104" t="str">
        <f>Cadastro!$J443</f>
        <v>DDTQcopom</v>
      </c>
      <c r="K443" s="104" t="s">
        <v>4536</v>
      </c>
      <c r="L443" s="104" t="s">
        <v>26</v>
      </c>
      <c r="M443" s="104" t="s">
        <v>27</v>
      </c>
      <c r="N443" s="108" t="str">
        <f t="shared" si="1"/>
        <v>URBS 3</v>
      </c>
      <c r="O443" s="109" t="str">
        <f>Cadastro!$O443</f>
        <v>https://monitoramento.pm.pr.gov.br/proxy_image_3/Interface/Cameras/GetJPEGStream?Camera=TE017CFTV18&amp;AuthUser=copom_DDTQ&amp;AuthPass=DDTQcopom&amp;Width=1024&amp;Height=768&amp;Quality=70&amp;FPS=10&amp;ResponseFormat=Text</v>
      </c>
      <c r="P443" s="106">
        <f>Cadastro!$P443</f>
        <v>1</v>
      </c>
    </row>
    <row r="444">
      <c r="A444" s="104" t="str">
        <f>Cadastro!$A444</f>
        <v>URBS 3</v>
      </c>
      <c r="B444" s="104" t="str">
        <f>Cadastro!$B444</f>
        <v>CURITIBA</v>
      </c>
      <c r="C444" s="107" t="str">
        <f>Cadastro!$C444</f>
        <v>https://monitoramento.pm.pr.gov.br/proxy_image_3/</v>
      </c>
      <c r="D444" s="105">
        <f>Cadastro!$D444</f>
        <v>38601</v>
      </c>
      <c r="E444" s="104" t="str">
        <f>Cadastro!$E444</f>
        <v>TE018CFTV01</v>
      </c>
      <c r="F444" s="104" t="str">
        <f>Cadastro!$F444</f>
        <v>Terminal Portão &gt; Araucária/Portão</v>
      </c>
      <c r="G444" s="104" t="str">
        <f>Cadastro!$G444</f>
        <v>-25.476310</v>
      </c>
      <c r="H444" s="104" t="str">
        <f>Cadastro!$H444</f>
        <v>-49.292460</v>
      </c>
      <c r="I444" s="104" t="str">
        <f>Cadastro!$I444</f>
        <v>copom_DDTQ</v>
      </c>
      <c r="J444" s="104" t="str">
        <f>Cadastro!$J444</f>
        <v>DDTQcopom</v>
      </c>
      <c r="K444" s="104" t="s">
        <v>4536</v>
      </c>
      <c r="L444" s="104" t="s">
        <v>26</v>
      </c>
      <c r="M444" s="104" t="s">
        <v>27</v>
      </c>
      <c r="N444" s="108" t="str">
        <f t="shared" si="1"/>
        <v>URBS 3</v>
      </c>
      <c r="O444" s="109" t="str">
        <f>Cadastro!$O444</f>
        <v>https://monitoramento.pm.pr.gov.br/proxy_image_3/Interface/Cameras/GetJPEGStream?Camera=TE018CFTV01&amp;AuthUser=copom_DDTQ&amp;AuthPass=DDTQcopom&amp;Width=1024&amp;Height=768&amp;Quality=70&amp;FPS=10&amp;ResponseFormat=Text</v>
      </c>
      <c r="P444" s="106">
        <f>Cadastro!$P444</f>
        <v>1</v>
      </c>
    </row>
    <row r="445">
      <c r="A445" s="104" t="str">
        <f>Cadastro!$A445</f>
        <v>URBS 3</v>
      </c>
      <c r="B445" s="104" t="str">
        <f>Cadastro!$B445</f>
        <v>CURITIBA</v>
      </c>
      <c r="C445" s="107" t="str">
        <f>Cadastro!$C445</f>
        <v>https://monitoramento.pm.pr.gov.br/proxy_image_3/</v>
      </c>
      <c r="D445" s="105">
        <f>Cadastro!$D445</f>
        <v>38601</v>
      </c>
      <c r="E445" s="104" t="str">
        <f>Cadastro!$E445</f>
        <v>TE018CFTV02</v>
      </c>
      <c r="F445" s="104" t="str">
        <f>Cadastro!$F445</f>
        <v>Terminal Portão &gt; Interbairros V &gt; Oficinas</v>
      </c>
      <c r="G445" s="104" t="str">
        <f>Cadastro!$G445</f>
        <v>-25.476443</v>
      </c>
      <c r="H445" s="104" t="str">
        <f>Cadastro!$H445</f>
        <v>-49.292392</v>
      </c>
      <c r="I445" s="104" t="str">
        <f>Cadastro!$I445</f>
        <v>copom_DDTQ</v>
      </c>
      <c r="J445" s="104" t="str">
        <f>Cadastro!$J445</f>
        <v>DDTQcopom</v>
      </c>
      <c r="K445" s="104" t="s">
        <v>4536</v>
      </c>
      <c r="L445" s="104" t="s">
        <v>26</v>
      </c>
      <c r="M445" s="104" t="s">
        <v>27</v>
      </c>
      <c r="N445" s="108" t="str">
        <f t="shared" si="1"/>
        <v>URBS 3</v>
      </c>
      <c r="O445" s="109" t="str">
        <f>Cadastro!$O445</f>
        <v>https://monitoramento.pm.pr.gov.br/proxy_image_3/Interface/Cameras/GetJPEGStream?Camera=TE018CFTV02&amp;AuthUser=copom_DDTQ&amp;AuthPass=DDTQcopom&amp;Width=1024&amp;Height=768&amp;Quality=70&amp;FPS=10&amp;ResponseFormat=Text</v>
      </c>
      <c r="P445" s="106">
        <f>Cadastro!$P445</f>
        <v>1</v>
      </c>
    </row>
    <row r="446">
      <c r="A446" s="104" t="str">
        <f>Cadastro!$A446</f>
        <v>URBS 3</v>
      </c>
      <c r="B446" s="104" t="str">
        <f>Cadastro!$B446</f>
        <v>CURITIBA</v>
      </c>
      <c r="C446" s="107" t="str">
        <f>Cadastro!$C446</f>
        <v>https://monitoramento.pm.pr.gov.br/proxy_image_3/</v>
      </c>
      <c r="D446" s="105">
        <f>Cadastro!$D446</f>
        <v>38601</v>
      </c>
      <c r="E446" s="104" t="str">
        <f>Cadastro!$E446</f>
        <v>TE018CFTV03</v>
      </c>
      <c r="F446" s="104" t="str">
        <f>Cadastro!$F446</f>
        <v>Terminal Portão &gt;Expresso &gt; Centro</v>
      </c>
      <c r="G446" s="104" t="str">
        <f>Cadastro!$G446</f>
        <v>-25.476351</v>
      </c>
      <c r="H446" s="104" t="str">
        <f>Cadastro!$H446</f>
        <v>-49.292536</v>
      </c>
      <c r="I446" s="104" t="str">
        <f>Cadastro!$I446</f>
        <v>copom_DDTQ</v>
      </c>
      <c r="J446" s="104" t="str">
        <f>Cadastro!$J446</f>
        <v>DDTQcopom</v>
      </c>
      <c r="K446" s="104" t="s">
        <v>4536</v>
      </c>
      <c r="L446" s="104" t="s">
        <v>26</v>
      </c>
      <c r="M446" s="104" t="s">
        <v>27</v>
      </c>
      <c r="N446" s="108" t="str">
        <f t="shared" si="1"/>
        <v>URBS 3</v>
      </c>
      <c r="O446" s="109" t="str">
        <f>Cadastro!$O446</f>
        <v>https://monitoramento.pm.pr.gov.br/proxy_image_3/Interface/Cameras/GetJPEGStream?Camera=TE018CFTV03&amp;AuthUser=copom_DDTQ&amp;AuthPass=DDTQcopom&amp;Width=1024&amp;Height=768&amp;Quality=70&amp;FPS=10&amp;ResponseFormat=Text</v>
      </c>
      <c r="P446" s="106">
        <f>Cadastro!$P446</f>
        <v>1</v>
      </c>
    </row>
    <row r="447">
      <c r="A447" s="104" t="str">
        <f>Cadastro!$A447</f>
        <v>URBS 3</v>
      </c>
      <c r="B447" s="104" t="str">
        <f>Cadastro!$B447</f>
        <v>CURITIBA</v>
      </c>
      <c r="C447" s="107" t="str">
        <f>Cadastro!$C447</f>
        <v>https://monitoramento.pm.pr.gov.br/proxy_image_3/</v>
      </c>
      <c r="D447" s="105">
        <f>Cadastro!$D447</f>
        <v>38601</v>
      </c>
      <c r="E447" s="104" t="str">
        <f>Cadastro!$E447</f>
        <v>TE018CFTV04</v>
      </c>
      <c r="F447" s="104" t="str">
        <f>Cadastro!$F447</f>
        <v>Terminal Portão &gt;Expresso &gt; Centro 2</v>
      </c>
      <c r="G447" s="104" t="str">
        <f>Cadastro!$G447</f>
        <v>-25.476114</v>
      </c>
      <c r="H447" s="104" t="str">
        <f>Cadastro!$H447</f>
        <v>-49.292619</v>
      </c>
      <c r="I447" s="104" t="str">
        <f>Cadastro!$I447</f>
        <v>copom_DDTQ</v>
      </c>
      <c r="J447" s="104" t="str">
        <f>Cadastro!$J447</f>
        <v>DDTQcopom</v>
      </c>
      <c r="K447" s="104" t="s">
        <v>4536</v>
      </c>
      <c r="L447" s="104" t="s">
        <v>26</v>
      </c>
      <c r="M447" s="104" t="s">
        <v>27</v>
      </c>
      <c r="N447" s="108" t="str">
        <f t="shared" si="1"/>
        <v>URBS 3</v>
      </c>
      <c r="O447" s="109" t="str">
        <f>Cadastro!$O447</f>
        <v>https://monitoramento.pm.pr.gov.br/proxy_image_3/Interface/Cameras/GetJPEGStream?Camera=TE018CFTV04&amp;AuthUser=copom_DDTQ&amp;AuthPass=DDTQcopom&amp;Width=1024&amp;Height=768&amp;Quality=70&amp;FPS=10&amp;ResponseFormat=Text</v>
      </c>
      <c r="P447" s="106">
        <f>Cadastro!$P447</f>
        <v>1</v>
      </c>
    </row>
    <row r="448">
      <c r="A448" s="104" t="str">
        <f>Cadastro!$A448</f>
        <v>URBS 3</v>
      </c>
      <c r="B448" s="104" t="str">
        <f>Cadastro!$B448</f>
        <v>CURITIBA</v>
      </c>
      <c r="C448" s="107" t="str">
        <f>Cadastro!$C448</f>
        <v>https://monitoramento.pm.pr.gov.br/proxy_image_3/</v>
      </c>
      <c r="D448" s="105">
        <f>Cadastro!$D448</f>
        <v>38601</v>
      </c>
      <c r="E448" s="104" t="str">
        <f>Cadastro!$E448</f>
        <v>TE018CFTV05</v>
      </c>
      <c r="F448" s="104" t="str">
        <f>Cadastro!$F448</f>
        <v>Terminal Portão &gt;Expresso &gt; Bairro</v>
      </c>
      <c r="G448" s="104" t="str">
        <f>Cadastro!$G448</f>
        <v>-25.476039</v>
      </c>
      <c r="H448" s="104" t="str">
        <f>Cadastro!$H448</f>
        <v>-49.292835</v>
      </c>
      <c r="I448" s="104" t="str">
        <f>Cadastro!$I448</f>
        <v>copom_DDTQ</v>
      </c>
      <c r="J448" s="104" t="str">
        <f>Cadastro!$J448</f>
        <v>DDTQcopom</v>
      </c>
      <c r="K448" s="104" t="s">
        <v>4536</v>
      </c>
      <c r="L448" s="104" t="s">
        <v>26</v>
      </c>
      <c r="M448" s="104" t="s">
        <v>27</v>
      </c>
      <c r="N448" s="108" t="str">
        <f t="shared" si="1"/>
        <v>URBS 3</v>
      </c>
      <c r="O448" s="109" t="str">
        <f>Cadastro!$O448</f>
        <v>https://monitoramento.pm.pr.gov.br/proxy_image_3/Interface/Cameras/GetJPEGStream?Camera=TE018CFTV05&amp;AuthUser=copom_DDTQ&amp;AuthPass=DDTQcopom&amp;Width=1024&amp;Height=768&amp;Quality=70&amp;FPS=10&amp;ResponseFormat=Text</v>
      </c>
      <c r="P448" s="106">
        <f>Cadastro!$P448</f>
        <v>1</v>
      </c>
    </row>
    <row r="449">
      <c r="A449" s="104" t="str">
        <f>Cadastro!$A449</f>
        <v>URBS 3</v>
      </c>
      <c r="B449" s="104" t="str">
        <f>Cadastro!$B449</f>
        <v>CURITIBA</v>
      </c>
      <c r="C449" s="107" t="str">
        <f>Cadastro!$C449</f>
        <v>https://monitoramento.pm.pr.gov.br/proxy_image_3/</v>
      </c>
      <c r="D449" s="105">
        <f>Cadastro!$D449</f>
        <v>38601</v>
      </c>
      <c r="E449" s="104" t="str">
        <f>Cadastro!$E449</f>
        <v>TE018CFTV06</v>
      </c>
      <c r="F449" s="104" t="str">
        <f>Cadastro!$F449</f>
        <v>Terminal Portão &gt;Expresso &gt; Bairro 2</v>
      </c>
      <c r="G449" s="104" t="str">
        <f>Cadastro!$G449</f>
        <v>-25.476206</v>
      </c>
      <c r="H449" s="104" t="str">
        <f>Cadastro!$H449</f>
        <v>-49.292751</v>
      </c>
      <c r="I449" s="104" t="str">
        <f>Cadastro!$I449</f>
        <v>copom_DDTQ</v>
      </c>
      <c r="J449" s="104" t="str">
        <f>Cadastro!$J449</f>
        <v>DDTQcopom</v>
      </c>
      <c r="K449" s="104" t="s">
        <v>4536</v>
      </c>
      <c r="L449" s="104" t="s">
        <v>26</v>
      </c>
      <c r="M449" s="104" t="s">
        <v>27</v>
      </c>
      <c r="N449" s="108" t="str">
        <f t="shared" si="1"/>
        <v>URBS 3</v>
      </c>
      <c r="O449" s="109" t="str">
        <f>Cadastro!$O449</f>
        <v>https://monitoramento.pm.pr.gov.br/proxy_image_3/Interface/Cameras/GetJPEGStream?Camera=TE018CFTV06&amp;AuthUser=copom_DDTQ&amp;AuthPass=DDTQcopom&amp;Width=1024&amp;Height=768&amp;Quality=70&amp;FPS=10&amp;ResponseFormat=Text</v>
      </c>
      <c r="P449" s="106">
        <f>Cadastro!$P449</f>
        <v>1</v>
      </c>
    </row>
    <row r="450">
      <c r="A450" s="104" t="str">
        <f>Cadastro!$A450</f>
        <v>URBS 3</v>
      </c>
      <c r="B450" s="104" t="str">
        <f>Cadastro!$B450</f>
        <v>CURITIBA</v>
      </c>
      <c r="C450" s="107" t="str">
        <f>Cadastro!$C450</f>
        <v>https://monitoramento.pm.pr.gov.br/proxy_image_3/</v>
      </c>
      <c r="D450" s="105">
        <f>Cadastro!$D450</f>
        <v>38601</v>
      </c>
      <c r="E450" s="104" t="str">
        <f>Cadastro!$E450</f>
        <v>TE018CFTV07</v>
      </c>
      <c r="F450" s="104" t="str">
        <f>Cadastro!$F450</f>
        <v>Terminal Portão &gt;ET STA Candida &gt; Pinheirinho</v>
      </c>
      <c r="G450" s="104" t="str">
        <f>Cadastro!$G450</f>
        <v>-25.476148</v>
      </c>
      <c r="H450" s="104" t="str">
        <f>Cadastro!$H450</f>
        <v>-49.292937</v>
      </c>
      <c r="I450" s="104" t="str">
        <f>Cadastro!$I450</f>
        <v>copom_DDTQ</v>
      </c>
      <c r="J450" s="104" t="str">
        <f>Cadastro!$J450</f>
        <v>DDTQcopom</v>
      </c>
      <c r="K450" s="104" t="s">
        <v>4536</v>
      </c>
      <c r="L450" s="104" t="s">
        <v>26</v>
      </c>
      <c r="M450" s="104" t="s">
        <v>27</v>
      </c>
      <c r="N450" s="108" t="str">
        <f t="shared" si="1"/>
        <v>URBS 3</v>
      </c>
      <c r="O450" s="109" t="str">
        <f>Cadastro!$O450</f>
        <v>https://monitoramento.pm.pr.gov.br/proxy_image_3/Interface/Cameras/GetJPEGStream?Camera=TE018CFTV07&amp;AuthUser=copom_DDTQ&amp;AuthPass=DDTQcopom&amp;Width=1024&amp;Height=768&amp;Quality=70&amp;FPS=10&amp;ResponseFormat=Text</v>
      </c>
      <c r="P450" s="106">
        <f>Cadastro!$P450</f>
        <v>1</v>
      </c>
    </row>
    <row r="451">
      <c r="A451" s="104" t="str">
        <f>Cadastro!$A451</f>
        <v>URBS 3</v>
      </c>
      <c r="B451" s="104" t="str">
        <f>Cadastro!$B451</f>
        <v>CURITIBA</v>
      </c>
      <c r="C451" s="107" t="str">
        <f>Cadastro!$C451</f>
        <v>https://monitoramento.pm.pr.gov.br/proxy_image_3/</v>
      </c>
      <c r="D451" s="105">
        <f>Cadastro!$D451</f>
        <v>38601</v>
      </c>
      <c r="E451" s="104" t="str">
        <f>Cadastro!$E451</f>
        <v>TE018CFTV08</v>
      </c>
      <c r="F451" s="104" t="str">
        <f>Cadastro!$F451</f>
        <v>Terminal Portão &gt;ET Inter 2 &gt; C. Raso</v>
      </c>
      <c r="G451" s="104" t="str">
        <f>Cadastro!$G451</f>
        <v>-25.476403</v>
      </c>
      <c r="H451" s="104" t="str">
        <f>Cadastro!$H451</f>
        <v>-49.292846</v>
      </c>
      <c r="I451" s="104" t="str">
        <f>Cadastro!$I451</f>
        <v>copom_DDTQ</v>
      </c>
      <c r="J451" s="104" t="str">
        <f>Cadastro!$J451</f>
        <v>DDTQcopom</v>
      </c>
      <c r="K451" s="104" t="s">
        <v>4536</v>
      </c>
      <c r="L451" s="104" t="s">
        <v>26</v>
      </c>
      <c r="M451" s="104" t="s">
        <v>27</v>
      </c>
      <c r="N451" s="108" t="str">
        <f t="shared" si="1"/>
        <v>URBS 3</v>
      </c>
      <c r="O451" s="109" t="str">
        <f>Cadastro!$O451</f>
        <v>https://monitoramento.pm.pr.gov.br/proxy_image_3/Interface/Cameras/GetJPEGStream?Camera=TE018CFTV08&amp;AuthUser=copom_DDTQ&amp;AuthPass=DDTQcopom&amp;Width=1024&amp;Height=768&amp;Quality=70&amp;FPS=10&amp;ResponseFormat=Text</v>
      </c>
      <c r="P451" s="106">
        <f>Cadastro!$P451</f>
        <v>1</v>
      </c>
    </row>
    <row r="452">
      <c r="A452" s="104" t="str">
        <f>Cadastro!$A452</f>
        <v>URBS 3</v>
      </c>
      <c r="B452" s="104" t="str">
        <f>Cadastro!$B452</f>
        <v>CURITIBA</v>
      </c>
      <c r="C452" s="107" t="str">
        <f>Cadastro!$C452</f>
        <v>https://monitoramento.pm.pr.gov.br/proxy_image_3/</v>
      </c>
      <c r="D452" s="105">
        <f>Cadastro!$D452</f>
        <v>38601</v>
      </c>
      <c r="E452" s="104" t="str">
        <f>Cadastro!$E452</f>
        <v>TE018CFTV09</v>
      </c>
      <c r="F452" s="104" t="str">
        <f>Cadastro!$F452</f>
        <v>Terminal Portão &gt;ET Inter 2 &gt; C.Siqueira</v>
      </c>
      <c r="G452" s="104" t="str">
        <f>Cadastro!$G452</f>
        <v>-25.475983</v>
      </c>
      <c r="H452" s="104" t="str">
        <f>Cadastro!$H452</f>
        <v>-49.292375</v>
      </c>
      <c r="I452" s="104" t="str">
        <f>Cadastro!$I452</f>
        <v>copom_DDTQ</v>
      </c>
      <c r="J452" s="104" t="str">
        <f>Cadastro!$J452</f>
        <v>DDTQcopom</v>
      </c>
      <c r="K452" s="104" t="s">
        <v>4536</v>
      </c>
      <c r="L452" s="104" t="s">
        <v>26</v>
      </c>
      <c r="M452" s="104" t="s">
        <v>27</v>
      </c>
      <c r="N452" s="108" t="str">
        <f t="shared" si="1"/>
        <v>URBS 3</v>
      </c>
      <c r="O452" s="109" t="str">
        <f>Cadastro!$O452</f>
        <v>https://monitoramento.pm.pr.gov.br/proxy_image_3/Interface/Cameras/GetJPEGStream?Camera=TE018CFTV09&amp;AuthUser=copom_DDTQ&amp;AuthPass=DDTQcopom&amp;Width=1024&amp;Height=768&amp;Quality=70&amp;FPS=10&amp;ResponseFormat=Text</v>
      </c>
      <c r="P452" s="106">
        <f>Cadastro!$P452</f>
        <v>1</v>
      </c>
    </row>
    <row r="453">
      <c r="A453" s="104" t="str">
        <f>Cadastro!$A453</f>
        <v>URBS 3</v>
      </c>
      <c r="B453" s="104" t="str">
        <f>Cadastro!$B453</f>
        <v>CURITIBA</v>
      </c>
      <c r="C453" s="107" t="str">
        <f>Cadastro!$C453</f>
        <v>https://monitoramento.pm.pr.gov.br/proxy_image_3/</v>
      </c>
      <c r="D453" s="105">
        <f>Cadastro!$D453</f>
        <v>38601</v>
      </c>
      <c r="E453" s="104" t="str">
        <f>Cadastro!$E453</f>
        <v>TE018CFTV10</v>
      </c>
      <c r="F453" s="104" t="str">
        <f>Cadastro!$F453</f>
        <v>Terminal Portão &gt;ET Pinheirinho&gt; santa Cândida</v>
      </c>
      <c r="G453" s="104" t="str">
        <f>Cadastro!$G453</f>
        <v>-25.476391</v>
      </c>
      <c r="H453" s="104" t="str">
        <f>Cadastro!$H453</f>
        <v>-49.292227</v>
      </c>
      <c r="I453" s="104" t="str">
        <f>Cadastro!$I453</f>
        <v>copom_DDTQ</v>
      </c>
      <c r="J453" s="104" t="str">
        <f>Cadastro!$J453</f>
        <v>DDTQcopom</v>
      </c>
      <c r="K453" s="104" t="s">
        <v>4536</v>
      </c>
      <c r="L453" s="104" t="s">
        <v>26</v>
      </c>
      <c r="M453" s="104" t="s">
        <v>27</v>
      </c>
      <c r="N453" s="108" t="str">
        <f t="shared" si="1"/>
        <v>URBS 3</v>
      </c>
      <c r="O453" s="109" t="str">
        <f>Cadastro!$O453</f>
        <v>https://monitoramento.pm.pr.gov.br/proxy_image_3/Interface/Cameras/GetJPEGStream?Camera=TE018CFTV10&amp;AuthUser=copom_DDTQ&amp;AuthPass=DDTQcopom&amp;Width=1024&amp;Height=768&amp;Quality=70&amp;FPS=10&amp;ResponseFormat=Text</v>
      </c>
      <c r="P453" s="106">
        <f>Cadastro!$P453</f>
        <v>1</v>
      </c>
    </row>
    <row r="454">
      <c r="A454" s="104" t="str">
        <f>Cadastro!$A454</f>
        <v>URBS 3</v>
      </c>
      <c r="B454" s="104" t="str">
        <f>Cadastro!$B454</f>
        <v>CURITIBA</v>
      </c>
      <c r="C454" s="107" t="str">
        <f>Cadastro!$C454</f>
        <v>https://monitoramento.pm.pr.gov.br/proxy_image_3/</v>
      </c>
      <c r="D454" s="105">
        <f>Cadastro!$D454</f>
        <v>38601</v>
      </c>
      <c r="E454" s="104" t="str">
        <f>Cadastro!$E454</f>
        <v>TE018CFTV11</v>
      </c>
      <c r="F454" s="104" t="str">
        <f>Cadastro!$F454</f>
        <v>Terminal Portão &gt;Cabral Portâo</v>
      </c>
      <c r="G454" s="104" t="str">
        <f>Cadastro!$G454</f>
        <v>-25.476113</v>
      </c>
      <c r="H454" s="104" t="str">
        <f>Cadastro!$H454</f>
        <v>-49.292373</v>
      </c>
      <c r="I454" s="104" t="str">
        <f>Cadastro!$I454</f>
        <v>copom_DDTQ</v>
      </c>
      <c r="J454" s="104" t="str">
        <f>Cadastro!$J454</f>
        <v>DDTQcopom</v>
      </c>
      <c r="K454" s="104" t="s">
        <v>4536</v>
      </c>
      <c r="L454" s="104" t="s">
        <v>26</v>
      </c>
      <c r="M454" s="104" t="s">
        <v>27</v>
      </c>
      <c r="N454" s="108" t="str">
        <f t="shared" si="1"/>
        <v>URBS 3</v>
      </c>
      <c r="O454" s="109" t="str">
        <f>Cadastro!$O454</f>
        <v>https://monitoramento.pm.pr.gov.br/proxy_image_3/Interface/Cameras/GetJPEGStream?Camera=TE018CFTV11&amp;AuthUser=copom_DDTQ&amp;AuthPass=DDTQcopom&amp;Width=1024&amp;Height=768&amp;Quality=70&amp;FPS=10&amp;ResponseFormat=Text</v>
      </c>
      <c r="P454" s="106">
        <f>Cadastro!$P454</f>
        <v>1</v>
      </c>
    </row>
    <row r="455">
      <c r="A455" s="104" t="str">
        <f>Cadastro!$A455</f>
        <v>URBS 3</v>
      </c>
      <c r="B455" s="104" t="str">
        <f>Cadastro!$B455</f>
        <v>CURITIBA</v>
      </c>
      <c r="C455" s="107" t="str">
        <f>Cadastro!$C455</f>
        <v>https://monitoramento.pm.pr.gov.br/proxy_image_3/</v>
      </c>
      <c r="D455" s="105">
        <f>Cadastro!$D455</f>
        <v>38601</v>
      </c>
      <c r="E455" s="104" t="str">
        <f>Cadastro!$E455</f>
        <v>TE018CFTV12</v>
      </c>
      <c r="F455" s="104" t="str">
        <f>Cadastro!$F455</f>
        <v>Terminal Portão &gt;Entrada</v>
      </c>
      <c r="G455" s="104" t="str">
        <f>Cadastro!$G455</f>
        <v>-25.476203</v>
      </c>
      <c r="H455" s="104" t="str">
        <f>Cadastro!$H455</f>
        <v>-49.292276</v>
      </c>
      <c r="I455" s="104" t="str">
        <f>Cadastro!$I455</f>
        <v>copom_DDTQ</v>
      </c>
      <c r="J455" s="104" t="str">
        <f>Cadastro!$J455</f>
        <v>DDTQcopom</v>
      </c>
      <c r="K455" s="104" t="s">
        <v>4536</v>
      </c>
      <c r="L455" s="104" t="s">
        <v>26</v>
      </c>
      <c r="M455" s="104" t="s">
        <v>27</v>
      </c>
      <c r="N455" s="108" t="str">
        <f t="shared" si="1"/>
        <v>URBS 3</v>
      </c>
      <c r="O455" s="109" t="str">
        <f>Cadastro!$O455</f>
        <v>https://monitoramento.pm.pr.gov.br/proxy_image_3/Interface/Cameras/GetJPEGStream?Camera=TE018CFTV12&amp;AuthUser=copom_DDTQ&amp;AuthPass=DDTQcopom&amp;Width=1024&amp;Height=768&amp;Quality=70&amp;FPS=10&amp;ResponseFormat=Text</v>
      </c>
      <c r="P455" s="106">
        <f>Cadastro!$P455</f>
        <v>1</v>
      </c>
    </row>
    <row r="456">
      <c r="A456" s="104" t="str">
        <f>Cadastro!$A456</f>
        <v>URBS 3</v>
      </c>
      <c r="B456" s="104" t="str">
        <f>Cadastro!$B456</f>
        <v>CURITIBA</v>
      </c>
      <c r="C456" s="107" t="str">
        <f>Cadastro!$C456</f>
        <v>https://monitoramento.pm.pr.gov.br/proxy_image_3/</v>
      </c>
      <c r="D456" s="105">
        <f>Cadastro!$D456</f>
        <v>38601</v>
      </c>
      <c r="E456" s="104" t="str">
        <f>Cadastro!$E456</f>
        <v>TE018CFTV13</v>
      </c>
      <c r="F456" s="104" t="str">
        <f>Cadastro!$F456</f>
        <v>PANE Terminal Portão &gt;Entrada 2</v>
      </c>
      <c r="G456" s="104" t="str">
        <f>Cadastro!$G456</f>
        <v>-25.476613</v>
      </c>
      <c r="H456" s="104" t="str">
        <f>Cadastro!$H456</f>
        <v>-49.292380</v>
      </c>
      <c r="I456" s="104" t="str">
        <f>Cadastro!$I456</f>
        <v>copom_DDTQ</v>
      </c>
      <c r="J456" s="104" t="str">
        <f>Cadastro!$J456</f>
        <v>DDTQcopom</v>
      </c>
      <c r="K456" s="104" t="s">
        <v>4536</v>
      </c>
      <c r="L456" s="104" t="s">
        <v>26</v>
      </c>
      <c r="M456" s="104" t="s">
        <v>27</v>
      </c>
      <c r="N456" s="108" t="str">
        <f t="shared" si="1"/>
        <v>URBS 3</v>
      </c>
      <c r="O456" s="109" t="str">
        <f>Cadastro!$O456</f>
        <v>https://monitoramento.pm.pr.gov.br/proxy_image_3/Interface/Cameras/GetJPEGStream?Camera=TE018CFTV13&amp;AuthUser=copom_DDTQ&amp;AuthPass=DDTQcopom&amp;Width=1024&amp;Height=768&amp;Quality=70&amp;FPS=10&amp;ResponseFormat=Text</v>
      </c>
      <c r="P456" s="106">
        <f>Cadastro!$P456</f>
        <v>1</v>
      </c>
    </row>
    <row r="457">
      <c r="A457" s="104" t="str">
        <f>Cadastro!$A457</f>
        <v>URBS 3</v>
      </c>
      <c r="B457" s="104" t="str">
        <f>Cadastro!$B457</f>
        <v>CURITIBA</v>
      </c>
      <c r="C457" s="107" t="str">
        <f>Cadastro!$C457</f>
        <v>https://monitoramento.pm.pr.gov.br/proxy_image_3/</v>
      </c>
      <c r="D457" s="105">
        <f>Cadastro!$D457</f>
        <v>38601</v>
      </c>
      <c r="E457" s="104" t="str">
        <f>Cadastro!$E457</f>
        <v>TE018CFTV14</v>
      </c>
      <c r="F457" s="104" t="str">
        <f>Cadastro!$F457</f>
        <v>PANE Terminal Portão &gt;Entrada 3</v>
      </c>
      <c r="G457" s="104" t="str">
        <f>Cadastro!$G457</f>
        <v>-25.476504</v>
      </c>
      <c r="H457" s="104" t="str">
        <f>Cadastro!$H457</f>
        <v>-49.292746</v>
      </c>
      <c r="I457" s="104" t="str">
        <f>Cadastro!$I457</f>
        <v>copom_DDTQ</v>
      </c>
      <c r="J457" s="104" t="str">
        <f>Cadastro!$J457</f>
        <v>DDTQcopom</v>
      </c>
      <c r="K457" s="104" t="s">
        <v>4536</v>
      </c>
      <c r="L457" s="104" t="s">
        <v>26</v>
      </c>
      <c r="M457" s="104" t="s">
        <v>27</v>
      </c>
      <c r="N457" s="108" t="str">
        <f t="shared" si="1"/>
        <v>URBS 3</v>
      </c>
      <c r="O457" s="109" t="str">
        <f>Cadastro!$O457</f>
        <v>https://monitoramento.pm.pr.gov.br/proxy_image_3/Interface/Cameras/GetJPEGStream?Camera=TE018CFTV14&amp;AuthUser=copom_DDTQ&amp;AuthPass=DDTQcopom&amp;Width=1024&amp;Height=768&amp;Quality=70&amp;FPS=10&amp;ResponseFormat=Text</v>
      </c>
      <c r="P457" s="106">
        <f>Cadastro!$P457</f>
        <v>1</v>
      </c>
    </row>
    <row r="458">
      <c r="A458" s="104" t="str">
        <f>Cadastro!$A458</f>
        <v>URBS 4</v>
      </c>
      <c r="B458" s="104" t="str">
        <f>Cadastro!$B458</f>
        <v>CURITIBA</v>
      </c>
      <c r="C458" s="107" t="str">
        <f>Cadastro!$C458</f>
        <v>https://monitoramento.pm.pr.gov.br/proxy_image_4/</v>
      </c>
      <c r="D458" s="105">
        <f>Cadastro!$D458</f>
        <v>48601</v>
      </c>
      <c r="E458" s="104" t="str">
        <f>Cadastro!$E458</f>
        <v>Camera01</v>
      </c>
      <c r="F458" s="104" t="str">
        <f>Cadastro!$F458</f>
        <v>Terminal Cabral &gt; ET Inter 2 &gt; c. da Imbuia</v>
      </c>
      <c r="G458" s="104" t="str">
        <f>Cadastro!$G458</f>
        <v>-25.406542</v>
      </c>
      <c r="H458" s="104" t="str">
        <f>Cadastro!$H458</f>
        <v>-49.252181</v>
      </c>
      <c r="I458" s="104" t="str">
        <f>Cadastro!$I458</f>
        <v>copom_DDTQ</v>
      </c>
      <c r="J458" s="104" t="str">
        <f>Cadastro!$J458</f>
        <v>DDTQcopom</v>
      </c>
      <c r="K458" s="104" t="s">
        <v>4536</v>
      </c>
      <c r="L458" s="104" t="s">
        <v>26</v>
      </c>
      <c r="M458" s="104" t="s">
        <v>27</v>
      </c>
      <c r="N458" s="108" t="str">
        <f t="shared" si="1"/>
        <v>URBS 4</v>
      </c>
      <c r="O458" s="109" t="str">
        <f>Cadastro!$O458</f>
        <v>https://monitoramento.pm.pr.gov.br/proxy_image_4/Interface/Cameras/GetJPEGStream?Camera=Camera01&amp;AuthUser=copom_DDTQ&amp;AuthPass=DDTQcopom&amp;Width=1024&amp;Height=768&amp;Quality=70&amp;FPS=10&amp;ResponseFormat=Text</v>
      </c>
      <c r="P458" s="106">
        <f>Cadastro!$P458</f>
        <v>1</v>
      </c>
    </row>
    <row r="459">
      <c r="A459" s="104" t="str">
        <f>Cadastro!$A459</f>
        <v>URBS 4</v>
      </c>
      <c r="B459" s="104" t="str">
        <f>Cadastro!$B459</f>
        <v>CURITIBA</v>
      </c>
      <c r="C459" s="107" t="str">
        <f>Cadastro!$C459</f>
        <v>https://monitoramento.pm.pr.gov.br/proxy_image_4/</v>
      </c>
      <c r="D459" s="105">
        <f>Cadastro!$D459</f>
        <v>48601</v>
      </c>
      <c r="E459" s="104" t="str">
        <f>Cadastro!$E459</f>
        <v>Camera02</v>
      </c>
      <c r="F459" s="104" t="str">
        <f>Cadastro!$F459</f>
        <v>Terminal Cabral &gt; Tingui</v>
      </c>
      <c r="G459" s="104" t="str">
        <f>Cadastro!$G459</f>
        <v>-25.406431</v>
      </c>
      <c r="H459" s="104" t="str">
        <f>Cadastro!$H459</f>
        <v>-49.252544</v>
      </c>
      <c r="I459" s="104" t="str">
        <f>Cadastro!$I459</f>
        <v>copom_DDTQ</v>
      </c>
      <c r="J459" s="104" t="str">
        <f>Cadastro!$J459</f>
        <v>DDTQcopom</v>
      </c>
      <c r="K459" s="104" t="s">
        <v>4536</v>
      </c>
      <c r="L459" s="104" t="s">
        <v>26</v>
      </c>
      <c r="M459" s="104" t="s">
        <v>27</v>
      </c>
      <c r="N459" s="108" t="str">
        <f t="shared" si="1"/>
        <v>URBS 4</v>
      </c>
      <c r="O459" s="109" t="str">
        <f>Cadastro!$O459</f>
        <v>https://monitoramento.pm.pr.gov.br/proxy_image_4/Interface/Cameras/GetJPEGStream?Camera=Camera02&amp;AuthUser=copom_DDTQ&amp;AuthPass=DDTQcopom&amp;Width=1024&amp;Height=768&amp;Quality=70&amp;FPS=10&amp;ResponseFormat=Text</v>
      </c>
      <c r="P459" s="106">
        <f>Cadastro!$P459</f>
        <v>1</v>
      </c>
    </row>
    <row r="460">
      <c r="A460" s="104" t="str">
        <f>Cadastro!$A460</f>
        <v>URBS 4</v>
      </c>
      <c r="B460" s="104" t="str">
        <f>Cadastro!$B460</f>
        <v>CURITIBA</v>
      </c>
      <c r="C460" s="107" t="str">
        <f>Cadastro!$C460</f>
        <v>https://monitoramento.pm.pr.gov.br/proxy_image_4/</v>
      </c>
      <c r="D460" s="105">
        <f>Cadastro!$D460</f>
        <v>48601</v>
      </c>
      <c r="E460" s="104" t="str">
        <f>Cadastro!$E460</f>
        <v>Camera03</v>
      </c>
      <c r="F460" s="104" t="str">
        <f>Cadastro!$F460</f>
        <v>Terminal Cabral &gt; Expresso &gt; Bairro Cabral</v>
      </c>
      <c r="G460" s="104" t="str">
        <f>Cadastro!$G460</f>
        <v>-25.406629</v>
      </c>
      <c r="H460" s="104" t="str">
        <f>Cadastro!$H460</f>
        <v>-49.252621</v>
      </c>
      <c r="I460" s="104" t="str">
        <f>Cadastro!$I460</f>
        <v>copom_DDTQ</v>
      </c>
      <c r="J460" s="104" t="str">
        <f>Cadastro!$J460</f>
        <v>DDTQcopom</v>
      </c>
      <c r="K460" s="104" t="s">
        <v>4536</v>
      </c>
      <c r="L460" s="104" t="s">
        <v>26</v>
      </c>
      <c r="M460" s="104" t="s">
        <v>27</v>
      </c>
      <c r="N460" s="108" t="str">
        <f t="shared" si="1"/>
        <v>URBS 4</v>
      </c>
      <c r="O460" s="109" t="str">
        <f>Cadastro!$O460</f>
        <v>https://monitoramento.pm.pr.gov.br/proxy_image_4/Interface/Cameras/GetJPEGStream?Camera=Camera03&amp;AuthUser=copom_DDTQ&amp;AuthPass=DDTQcopom&amp;Width=1024&amp;Height=768&amp;Quality=70&amp;FPS=10&amp;ResponseFormat=Text</v>
      </c>
      <c r="P460" s="106">
        <f>Cadastro!$P460</f>
        <v>1</v>
      </c>
    </row>
    <row r="461">
      <c r="A461" s="104" t="str">
        <f>Cadastro!$A461</f>
        <v>URBS 4</v>
      </c>
      <c r="B461" s="104" t="str">
        <f>Cadastro!$B461</f>
        <v>CURITIBA</v>
      </c>
      <c r="C461" s="107" t="str">
        <f>Cadastro!$C461</f>
        <v>https://monitoramento.pm.pr.gov.br/proxy_image_4/</v>
      </c>
      <c r="D461" s="105">
        <f>Cadastro!$D461</f>
        <v>48601</v>
      </c>
      <c r="E461" s="104" t="str">
        <f>Cadastro!$E461</f>
        <v>Camera04</v>
      </c>
      <c r="F461" s="104" t="str">
        <f>Cadastro!$F461</f>
        <v>Terminal Cabral &gt; ET Guaraituba</v>
      </c>
      <c r="G461" s="104" t="str">
        <f>Cadastro!$G461</f>
        <v>-25.406783</v>
      </c>
      <c r="H461" s="104" t="str">
        <f>Cadastro!$H461</f>
        <v>-49.252405</v>
      </c>
      <c r="I461" s="104" t="str">
        <f>Cadastro!$I461</f>
        <v>copom_DDTQ</v>
      </c>
      <c r="J461" s="104" t="str">
        <f>Cadastro!$J461</f>
        <v>DDTQcopom</v>
      </c>
      <c r="K461" s="104" t="s">
        <v>4536</v>
      </c>
      <c r="L461" s="104" t="s">
        <v>26</v>
      </c>
      <c r="M461" s="104" t="s">
        <v>27</v>
      </c>
      <c r="N461" s="108" t="str">
        <f t="shared" si="1"/>
        <v>URBS 4</v>
      </c>
      <c r="O461" s="109" t="str">
        <f>Cadastro!$O461</f>
        <v>https://monitoramento.pm.pr.gov.br/proxy_image_4/Interface/Cameras/GetJPEGStream?Camera=Camera04&amp;AuthUser=copom_DDTQ&amp;AuthPass=DDTQcopom&amp;Width=1024&amp;Height=768&amp;Quality=70&amp;FPS=10&amp;ResponseFormat=Text</v>
      </c>
      <c r="P461" s="106">
        <f>Cadastro!$P461</f>
        <v>1</v>
      </c>
    </row>
    <row r="462">
      <c r="A462" s="104" t="str">
        <f>Cadastro!$A462</f>
        <v>URBS 4</v>
      </c>
      <c r="B462" s="104" t="str">
        <f>Cadastro!$B462</f>
        <v>CURITIBA</v>
      </c>
      <c r="C462" s="107" t="str">
        <f>Cadastro!$C462</f>
        <v>https://monitoramento.pm.pr.gov.br/proxy_image_4/</v>
      </c>
      <c r="D462" s="105">
        <f>Cadastro!$D462</f>
        <v>48601</v>
      </c>
      <c r="E462" s="104" t="str">
        <f>Cadastro!$E462</f>
        <v>Camera05</v>
      </c>
      <c r="F462" s="104" t="str">
        <f>Cadastro!$F462</f>
        <v>Terminal Cabral &gt; Interbairros II &gt; Horario</v>
      </c>
      <c r="G462" s="104" t="str">
        <f>Cadastro!$G462</f>
        <v>-25.406520</v>
      </c>
      <c r="H462" s="104" t="str">
        <f>Cadastro!$H462</f>
        <v>-49.252310</v>
      </c>
      <c r="I462" s="104" t="str">
        <f>Cadastro!$I462</f>
        <v>copom_DDTQ</v>
      </c>
      <c r="J462" s="104" t="str">
        <f>Cadastro!$J462</f>
        <v>DDTQcopom</v>
      </c>
      <c r="K462" s="104" t="s">
        <v>4536</v>
      </c>
      <c r="L462" s="104" t="s">
        <v>26</v>
      </c>
      <c r="M462" s="104" t="s">
        <v>27</v>
      </c>
      <c r="N462" s="108" t="str">
        <f t="shared" si="1"/>
        <v>URBS 4</v>
      </c>
      <c r="O462" s="109" t="str">
        <f>Cadastro!$O462</f>
        <v>https://monitoramento.pm.pr.gov.br/proxy_image_4/Interface/Cameras/GetJPEGStream?Camera=Camera05&amp;AuthUser=copom_DDTQ&amp;AuthPass=DDTQcopom&amp;Width=1024&amp;Height=768&amp;Quality=70&amp;FPS=10&amp;ResponseFormat=Text</v>
      </c>
      <c r="P462" s="106">
        <f>Cadastro!$P462</f>
        <v>1</v>
      </c>
    </row>
    <row r="463">
      <c r="A463" s="104" t="str">
        <f>Cadastro!$A463</f>
        <v>URBS 4</v>
      </c>
      <c r="B463" s="104" t="str">
        <f>Cadastro!$B463</f>
        <v>CURITIBA</v>
      </c>
      <c r="C463" s="107" t="str">
        <f>Cadastro!$C463</f>
        <v>https://monitoramento.pm.pr.gov.br/proxy_image_4/</v>
      </c>
      <c r="D463" s="105">
        <f>Cadastro!$D463</f>
        <v>48601</v>
      </c>
      <c r="E463" s="104" t="str">
        <f>Cadastro!$E463</f>
        <v>Camera06</v>
      </c>
      <c r="F463" s="104" t="str">
        <f>Cadastro!$F463</f>
        <v>Terminal Cabral &gt;ET Inter II &gt; C. Siqueira</v>
      </c>
      <c r="G463" s="104" t="str">
        <f>Cadastro!$G463</f>
        <v>-25.406492</v>
      </c>
      <c r="H463" s="104" t="str">
        <f>Cadastro!$H463</f>
        <v>-49.253007</v>
      </c>
      <c r="I463" s="104" t="str">
        <f>Cadastro!$I463</f>
        <v>copom_DDTQ</v>
      </c>
      <c r="J463" s="104" t="str">
        <f>Cadastro!$J463</f>
        <v>DDTQcopom</v>
      </c>
      <c r="K463" s="104" t="s">
        <v>4536</v>
      </c>
      <c r="L463" s="104" t="s">
        <v>26</v>
      </c>
      <c r="M463" s="104" t="s">
        <v>27</v>
      </c>
      <c r="N463" s="108" t="str">
        <f t="shared" si="1"/>
        <v>URBS 4</v>
      </c>
      <c r="O463" s="109" t="str">
        <f>Cadastro!$O463</f>
        <v>https://monitoramento.pm.pr.gov.br/proxy_image_4/Interface/Cameras/GetJPEGStream?Camera=Camera06&amp;AuthUser=copom_DDTQ&amp;AuthPass=DDTQcopom&amp;Width=1024&amp;Height=768&amp;Quality=70&amp;FPS=10&amp;ResponseFormat=Text</v>
      </c>
      <c r="P463" s="106">
        <f>Cadastro!$P463</f>
        <v>1</v>
      </c>
    </row>
    <row r="464">
      <c r="A464" s="104" t="str">
        <f>Cadastro!$A464</f>
        <v>URBS 4</v>
      </c>
      <c r="B464" s="104" t="str">
        <f>Cadastro!$B464</f>
        <v>CURITIBA</v>
      </c>
      <c r="C464" s="107" t="str">
        <f>Cadastro!$C464</f>
        <v>https://monitoramento.pm.pr.gov.br/proxy_image_4/</v>
      </c>
      <c r="D464" s="105">
        <f>Cadastro!$D464</f>
        <v>48601</v>
      </c>
      <c r="E464" s="104" t="str">
        <f>Cadastro!$E464</f>
        <v>Camera07</v>
      </c>
      <c r="F464" s="104" t="str">
        <f>Cadastro!$F464</f>
        <v>Terminal Cabral &gt;Expresso&gt; Centro</v>
      </c>
      <c r="G464" s="104" t="str">
        <f>Cadastro!$G464</f>
        <v>-25.406317</v>
      </c>
      <c r="H464" s="104" t="str">
        <f>Cadastro!$H464</f>
        <v>-49.252685</v>
      </c>
      <c r="I464" s="104" t="str">
        <f>Cadastro!$I464</f>
        <v>copom_DDTQ</v>
      </c>
      <c r="J464" s="104" t="str">
        <f>Cadastro!$J464</f>
        <v>DDTQcopom</v>
      </c>
      <c r="K464" s="104" t="s">
        <v>4536</v>
      </c>
      <c r="L464" s="104" t="s">
        <v>26</v>
      </c>
      <c r="M464" s="104" t="s">
        <v>27</v>
      </c>
      <c r="N464" s="108" t="str">
        <f t="shared" si="1"/>
        <v>URBS 4</v>
      </c>
      <c r="O464" s="109" t="str">
        <f>Cadastro!$O464</f>
        <v>https://monitoramento.pm.pr.gov.br/proxy_image_4/Interface/Cameras/GetJPEGStream?Camera=Camera07&amp;AuthUser=copom_DDTQ&amp;AuthPass=DDTQcopom&amp;Width=1024&amp;Height=768&amp;Quality=70&amp;FPS=10&amp;ResponseFormat=Text</v>
      </c>
      <c r="P464" s="106">
        <f>Cadastro!$P464</f>
        <v>1</v>
      </c>
    </row>
    <row r="465">
      <c r="A465" s="104" t="str">
        <f>Cadastro!$A465</f>
        <v>URBS 4</v>
      </c>
      <c r="B465" s="104" t="str">
        <f>Cadastro!$B465</f>
        <v>CURITIBA</v>
      </c>
      <c r="C465" s="107" t="str">
        <f>Cadastro!$C465</f>
        <v>https://monitoramento.pm.pr.gov.br/proxy_image_4/</v>
      </c>
      <c r="D465" s="105">
        <f>Cadastro!$D465</f>
        <v>48601</v>
      </c>
      <c r="E465" s="104" t="str">
        <f>Cadastro!$E465</f>
        <v>Camera08</v>
      </c>
      <c r="F465" s="104" t="str">
        <f>Cadastro!$F465</f>
        <v>Terminal Cabral &gt;Cabral &gt; Osório</v>
      </c>
      <c r="G465" s="104" t="str">
        <f>Cadastro!$G465</f>
        <v>-25.406933</v>
      </c>
      <c r="H465" s="104" t="str">
        <f>Cadastro!$H465</f>
        <v>-49.252906</v>
      </c>
      <c r="I465" s="104" t="str">
        <f>Cadastro!$I465</f>
        <v>copom_DDTQ</v>
      </c>
      <c r="J465" s="104" t="str">
        <f>Cadastro!$J465</f>
        <v>DDTQcopom</v>
      </c>
      <c r="K465" s="104" t="s">
        <v>4536</v>
      </c>
      <c r="L465" s="104" t="s">
        <v>26</v>
      </c>
      <c r="M465" s="104" t="s">
        <v>27</v>
      </c>
      <c r="N465" s="108" t="str">
        <f t="shared" si="1"/>
        <v>URBS 4</v>
      </c>
      <c r="O465" s="109" t="str">
        <f>Cadastro!$O465</f>
        <v>https://monitoramento.pm.pr.gov.br/proxy_image_4/Interface/Cameras/GetJPEGStream?Camera=Camera08&amp;AuthUser=copom_DDTQ&amp;AuthPass=DDTQcopom&amp;Width=1024&amp;Height=768&amp;Quality=70&amp;FPS=10&amp;ResponseFormat=Text</v>
      </c>
      <c r="P465" s="106">
        <f>Cadastro!$P465</f>
        <v>1</v>
      </c>
    </row>
    <row r="466">
      <c r="A466" s="104" t="str">
        <f>Cadastro!$A466</f>
        <v>URBS 4</v>
      </c>
      <c r="B466" s="104" t="str">
        <f>Cadastro!$B466</f>
        <v>CURITIBA</v>
      </c>
      <c r="C466" s="107" t="str">
        <f>Cadastro!$C466</f>
        <v>https://monitoramento.pm.pr.gov.br/proxy_image_4/</v>
      </c>
      <c r="D466" s="105">
        <f>Cadastro!$D466</f>
        <v>48601</v>
      </c>
      <c r="E466" s="104" t="str">
        <f>Cadastro!$E466</f>
        <v>Camera09</v>
      </c>
      <c r="F466" s="104" t="str">
        <f>Cadastro!$F466</f>
        <v>Terminal Cabral &gt;ET Tamandaré &gt; Tamandaré</v>
      </c>
      <c r="G466" s="104" t="str">
        <f>Cadastro!$G466</f>
        <v>-25.406933</v>
      </c>
      <c r="H466" s="104" t="str">
        <f>Cadastro!$H466</f>
        <v>-49.252906</v>
      </c>
      <c r="I466" s="104" t="str">
        <f>Cadastro!$I466</f>
        <v>copom_DDTQ</v>
      </c>
      <c r="J466" s="104" t="str">
        <f>Cadastro!$J466</f>
        <v>DDTQcopom</v>
      </c>
      <c r="K466" s="104" t="s">
        <v>4536</v>
      </c>
      <c r="L466" s="104" t="s">
        <v>26</v>
      </c>
      <c r="M466" s="104" t="s">
        <v>27</v>
      </c>
      <c r="N466" s="108" t="str">
        <f t="shared" si="1"/>
        <v>URBS 4</v>
      </c>
      <c r="O466" s="109" t="str">
        <f>Cadastro!$O466</f>
        <v>https://monitoramento.pm.pr.gov.br/proxy_image_4/Interface/Cameras/GetJPEGStream?Camera=Camera09&amp;AuthUser=copom_DDTQ&amp;AuthPass=DDTQcopom&amp;Width=1024&amp;Height=768&amp;Quality=70&amp;FPS=10&amp;ResponseFormat=Text</v>
      </c>
      <c r="P466" s="106">
        <f>Cadastro!$P466</f>
        <v>1</v>
      </c>
    </row>
    <row r="467">
      <c r="A467" s="104" t="str">
        <f>Cadastro!$A467</f>
        <v>URBS 4</v>
      </c>
      <c r="B467" s="104" t="str">
        <f>Cadastro!$B467</f>
        <v>CURITIBA</v>
      </c>
      <c r="C467" s="107" t="str">
        <f>Cadastro!$C467</f>
        <v>https://monitoramento.pm.pr.gov.br/proxy_image_4/</v>
      </c>
      <c r="D467" s="105">
        <f>Cadastro!$D467</f>
        <v>48601</v>
      </c>
      <c r="E467" s="104" t="str">
        <f>Cadastro!$E467</f>
        <v>Camera10</v>
      </c>
      <c r="F467" s="104" t="str">
        <f>Cadastro!$F467</f>
        <v>Terminal Cabral &gt;ET CIC</v>
      </c>
      <c r="G467" s="104" t="str">
        <f>Cadastro!$G467</f>
        <v>-25.406933</v>
      </c>
      <c r="H467" s="104" t="str">
        <f>Cadastro!$H467</f>
        <v>-49.252906</v>
      </c>
      <c r="I467" s="104" t="str">
        <f>Cadastro!$I467</f>
        <v>copom_DDTQ</v>
      </c>
      <c r="J467" s="104" t="str">
        <f>Cadastro!$J467</f>
        <v>DDTQcopom</v>
      </c>
      <c r="K467" s="104" t="s">
        <v>4536</v>
      </c>
      <c r="L467" s="104" t="s">
        <v>26</v>
      </c>
      <c r="M467" s="104" t="s">
        <v>27</v>
      </c>
      <c r="N467" s="108" t="str">
        <f t="shared" si="1"/>
        <v>URBS 4</v>
      </c>
      <c r="O467" s="109" t="str">
        <f>Cadastro!$O467</f>
        <v>https://monitoramento.pm.pr.gov.br/proxy_image_4/Interface/Cameras/GetJPEGStream?Camera=Camera10&amp;AuthUser=copom_DDTQ&amp;AuthPass=DDTQcopom&amp;Width=1024&amp;Height=768&amp;Quality=70&amp;FPS=10&amp;ResponseFormat=Text</v>
      </c>
      <c r="P467" s="106">
        <f>Cadastro!$P467</f>
        <v>1</v>
      </c>
    </row>
    <row r="468">
      <c r="A468" s="104" t="str">
        <f>Cadastro!$A468</f>
        <v>URBS 4</v>
      </c>
      <c r="B468" s="104" t="str">
        <f>Cadastro!$B468</f>
        <v>CURITIBA</v>
      </c>
      <c r="C468" s="107" t="str">
        <f>Cadastro!$C468</f>
        <v>https://monitoramento.pm.pr.gov.br/proxy_image_4/</v>
      </c>
      <c r="D468" s="105">
        <f>Cadastro!$D468</f>
        <v>48601</v>
      </c>
      <c r="E468" s="104" t="str">
        <f>Cadastro!$E468</f>
        <v>Camera11</v>
      </c>
      <c r="F468" s="104" t="str">
        <f>Cadastro!$F468</f>
        <v>ET Pça. Rui Barbosa &gt; Centenário</v>
      </c>
      <c r="G468" s="104" t="str">
        <f>Cadastro!$G468</f>
        <v>-25.435825</v>
      </c>
      <c r="H468" s="104" t="str">
        <f>Cadastro!$H468</f>
        <v>-49.274953</v>
      </c>
      <c r="I468" s="104" t="str">
        <f>Cadastro!$I468</f>
        <v>copom_DDTQ</v>
      </c>
      <c r="J468" s="104" t="str">
        <f>Cadastro!$J468</f>
        <v>DDTQcopom</v>
      </c>
      <c r="K468" s="104" t="s">
        <v>4536</v>
      </c>
      <c r="L468" s="104" t="s">
        <v>26</v>
      </c>
      <c r="M468" s="104" t="s">
        <v>27</v>
      </c>
      <c r="N468" s="108" t="str">
        <f t="shared" si="1"/>
        <v>URBS 4</v>
      </c>
      <c r="O468" s="109" t="str">
        <f>Cadastro!$O468</f>
        <v>https://monitoramento.pm.pr.gov.br/proxy_image_4/Interface/Cameras/GetJPEGStream?Camera=Camera11&amp;AuthUser=copom_DDTQ&amp;AuthPass=DDTQcopom&amp;Width=1024&amp;Height=768&amp;Quality=70&amp;FPS=10&amp;ResponseFormat=Text</v>
      </c>
      <c r="P468" s="106">
        <f>Cadastro!$P468</f>
        <v>1</v>
      </c>
    </row>
    <row r="469">
      <c r="A469" s="104" t="str">
        <f>Cadastro!$A469</f>
        <v>URBS 4</v>
      </c>
      <c r="B469" s="104" t="str">
        <f>Cadastro!$B469</f>
        <v>CURITIBA</v>
      </c>
      <c r="C469" s="107" t="str">
        <f>Cadastro!$C469</f>
        <v>https://monitoramento.pm.pr.gov.br/proxy_image_4/</v>
      </c>
      <c r="D469" s="105">
        <f>Cadastro!$D469</f>
        <v>48601</v>
      </c>
      <c r="E469" s="104" t="str">
        <f>Cadastro!$E469</f>
        <v>Camera12</v>
      </c>
      <c r="F469" s="104" t="str">
        <f>Cadastro!$F469</f>
        <v>Terminal Hauer &gt; Iguape II</v>
      </c>
      <c r="G469" s="104" t="str">
        <f>Cadastro!$G469</f>
        <v>-25.481967</v>
      </c>
      <c r="H469" s="104" t="str">
        <f>Cadastro!$H469</f>
        <v>-49.246726</v>
      </c>
      <c r="I469" s="104" t="str">
        <f>Cadastro!$I469</f>
        <v>copom_DDTQ</v>
      </c>
      <c r="J469" s="104" t="str">
        <f>Cadastro!$J469</f>
        <v>DDTQcopom</v>
      </c>
      <c r="K469" s="104" t="s">
        <v>4536</v>
      </c>
      <c r="L469" s="104" t="s">
        <v>26</v>
      </c>
      <c r="M469" s="104" t="s">
        <v>27</v>
      </c>
      <c r="N469" s="108" t="str">
        <f t="shared" si="1"/>
        <v>URBS 4</v>
      </c>
      <c r="O469" s="109" t="str">
        <f>Cadastro!$O469</f>
        <v>https://monitoramento.pm.pr.gov.br/proxy_image_4/Interface/Cameras/GetJPEGStream?Camera=Camera12&amp;AuthUser=copom_DDTQ&amp;AuthPass=DDTQcopom&amp;Width=1024&amp;Height=768&amp;Quality=70&amp;FPS=10&amp;ResponseFormat=Text</v>
      </c>
      <c r="P469" s="106">
        <f>Cadastro!$P469</f>
        <v>1</v>
      </c>
    </row>
    <row r="470">
      <c r="A470" s="104" t="str">
        <f>Cadastro!$A470</f>
        <v>URBS 4</v>
      </c>
      <c r="B470" s="104" t="str">
        <f>Cadastro!$B470</f>
        <v>CURITIBA</v>
      </c>
      <c r="C470" s="107" t="str">
        <f>Cadastro!$C470</f>
        <v>https://monitoramento.pm.pr.gov.br/proxy_image_4/</v>
      </c>
      <c r="D470" s="105">
        <f>Cadastro!$D470</f>
        <v>48601</v>
      </c>
      <c r="E470" s="104" t="str">
        <f>Cadastro!$E470</f>
        <v>Camera123</v>
      </c>
      <c r="F470" s="104" t="str">
        <f>Cadastro!$F470</f>
        <v>ET Central &gt; Sul 1</v>
      </c>
      <c r="G470" s="104" t="str">
        <f>Cadastro!$G470</f>
        <v>-25.429969</v>
      </c>
      <c r="H470" s="104" t="str">
        <f>Cadastro!$H470</f>
        <v>-49.267626</v>
      </c>
      <c r="I470" s="104" t="str">
        <f>Cadastro!$I470</f>
        <v>copom_DDTQ</v>
      </c>
      <c r="J470" s="104" t="str">
        <f>Cadastro!$J470</f>
        <v>DDTQcopom</v>
      </c>
      <c r="K470" s="104" t="s">
        <v>4536</v>
      </c>
      <c r="L470" s="104" t="s">
        <v>26</v>
      </c>
      <c r="M470" s="104" t="s">
        <v>27</v>
      </c>
      <c r="N470" s="108" t="str">
        <f t="shared" si="1"/>
        <v>URBS 4</v>
      </c>
      <c r="O470" s="109" t="str">
        <f>Cadastro!$O470</f>
        <v>https://monitoramento.pm.pr.gov.br/proxy_image_4/Interface/Cameras/GetJPEGStream?Camera=Camera123&amp;AuthUser=copom_DDTQ&amp;AuthPass=DDTQcopom&amp;Width=1024&amp;Height=768&amp;Quality=70&amp;FPS=10&amp;ResponseFormat=Text</v>
      </c>
      <c r="P470" s="106">
        <f>Cadastro!$P470</f>
        <v>1</v>
      </c>
    </row>
    <row r="471">
      <c r="A471" s="104" t="str">
        <f>Cadastro!$A471</f>
        <v>URBS 4</v>
      </c>
      <c r="B471" s="104" t="str">
        <f>Cadastro!$B471</f>
        <v>CURITIBA</v>
      </c>
      <c r="C471" s="107" t="str">
        <f>Cadastro!$C471</f>
        <v>https://monitoramento.pm.pr.gov.br/proxy_image_4/</v>
      </c>
      <c r="D471" s="105">
        <f>Cadastro!$D471</f>
        <v>48601</v>
      </c>
      <c r="E471" s="104" t="str">
        <f>Cadastro!$E471</f>
        <v>Camera124</v>
      </c>
      <c r="F471" s="104" t="str">
        <f>Cadastro!$F471</f>
        <v>PANE ET Central &gt; Sul 2</v>
      </c>
      <c r="G471" s="104" t="str">
        <f>Cadastro!$G471</f>
        <v>-25.430022</v>
      </c>
      <c r="H471" s="104" t="str">
        <f>Cadastro!$H471</f>
        <v>-49.267633</v>
      </c>
      <c r="I471" s="104" t="str">
        <f>Cadastro!$I471</f>
        <v>copom_DDTQ</v>
      </c>
      <c r="J471" s="104" t="str">
        <f>Cadastro!$J471</f>
        <v>DDTQcopom</v>
      </c>
      <c r="K471" s="104" t="s">
        <v>4536</v>
      </c>
      <c r="L471" s="104" t="s">
        <v>26</v>
      </c>
      <c r="M471" s="104" t="s">
        <v>27</v>
      </c>
      <c r="N471" s="108" t="str">
        <f t="shared" si="1"/>
        <v>URBS 4</v>
      </c>
      <c r="O471" s="109" t="str">
        <f>Cadastro!$O471</f>
        <v>https://monitoramento.pm.pr.gov.br/proxy_image_4/Interface/Cameras/GetJPEGStream?Camera=Camera124&amp;AuthUser=copom_DDTQ&amp;AuthPass=DDTQcopom&amp;Width=1024&amp;Height=768&amp;Quality=70&amp;FPS=10&amp;ResponseFormat=Text</v>
      </c>
      <c r="P471" s="106">
        <f>Cadastro!$P471</f>
        <v>1</v>
      </c>
    </row>
    <row r="472">
      <c r="A472" s="104" t="str">
        <f>Cadastro!$A472</f>
        <v>URBS 4</v>
      </c>
      <c r="B472" s="104" t="str">
        <f>Cadastro!$B472</f>
        <v>CURITIBA</v>
      </c>
      <c r="C472" s="107" t="str">
        <f>Cadastro!$C472</f>
        <v>https://monitoramento.pm.pr.gov.br/proxy_image_4/</v>
      </c>
      <c r="D472" s="105">
        <f>Cadastro!$D472</f>
        <v>48601</v>
      </c>
      <c r="E472" s="104" t="str">
        <f>Cadastro!$E472</f>
        <v>Camera125</v>
      </c>
      <c r="F472" s="104" t="str">
        <f>Cadastro!$F472</f>
        <v>ET Central &gt; Sul &gt; Catraca 1</v>
      </c>
      <c r="G472" s="104" t="str">
        <f>Cadastro!$G472</f>
        <v>-25.429957</v>
      </c>
      <c r="H472" s="104" t="str">
        <f>Cadastro!$H472</f>
        <v>-49.267665</v>
      </c>
      <c r="I472" s="104" t="str">
        <f>Cadastro!$I472</f>
        <v>copom_DDTQ</v>
      </c>
      <c r="J472" s="104" t="str">
        <f>Cadastro!$J472</f>
        <v>DDTQcopom</v>
      </c>
      <c r="K472" s="104" t="s">
        <v>4536</v>
      </c>
      <c r="L472" s="104" t="s">
        <v>26</v>
      </c>
      <c r="M472" s="104" t="s">
        <v>27</v>
      </c>
      <c r="N472" s="108" t="str">
        <f t="shared" si="1"/>
        <v>URBS 4</v>
      </c>
      <c r="O472" s="109" t="str">
        <f>Cadastro!$O472</f>
        <v>https://monitoramento.pm.pr.gov.br/proxy_image_4/Interface/Cameras/GetJPEGStream?Camera=Camera125&amp;AuthUser=copom_DDTQ&amp;AuthPass=DDTQcopom&amp;Width=1024&amp;Height=768&amp;Quality=70&amp;FPS=10&amp;ResponseFormat=Text</v>
      </c>
      <c r="P472" s="106">
        <f>Cadastro!$P472</f>
        <v>1</v>
      </c>
    </row>
    <row r="473">
      <c r="A473" s="104" t="str">
        <f>Cadastro!$A473</f>
        <v>URBS 4</v>
      </c>
      <c r="B473" s="104" t="str">
        <f>Cadastro!$B473</f>
        <v>CURITIBA</v>
      </c>
      <c r="C473" s="107" t="str">
        <f>Cadastro!$C473</f>
        <v>https://monitoramento.pm.pr.gov.br/proxy_image_4/</v>
      </c>
      <c r="D473" s="105">
        <f>Cadastro!$D473</f>
        <v>48601</v>
      </c>
      <c r="E473" s="104" t="str">
        <f>Cadastro!$E473</f>
        <v>Camera126</v>
      </c>
      <c r="F473" s="104" t="str">
        <f>Cadastro!$F473</f>
        <v>ET Central &gt; Sul &gt; Catraca 2</v>
      </c>
      <c r="G473" s="104" t="str">
        <f>Cadastro!$G473</f>
        <v>-25.430102</v>
      </c>
      <c r="H473" s="104" t="str">
        <f>Cadastro!$H473</f>
        <v>-49.267599</v>
      </c>
      <c r="I473" s="104" t="str">
        <f>Cadastro!$I473</f>
        <v>copom_DDTQ</v>
      </c>
      <c r="J473" s="104" t="str">
        <f>Cadastro!$J473</f>
        <v>DDTQcopom</v>
      </c>
      <c r="K473" s="104" t="s">
        <v>4536</v>
      </c>
      <c r="L473" s="104" t="s">
        <v>26</v>
      </c>
      <c r="M473" s="104" t="s">
        <v>27</v>
      </c>
      <c r="N473" s="108" t="str">
        <f t="shared" si="1"/>
        <v>URBS 4</v>
      </c>
      <c r="O473" s="109" t="str">
        <f>Cadastro!$O473</f>
        <v>https://monitoramento.pm.pr.gov.br/proxy_image_4/Interface/Cameras/GetJPEGStream?Camera=Camera126&amp;AuthUser=copom_DDTQ&amp;AuthPass=DDTQcopom&amp;Width=1024&amp;Height=768&amp;Quality=70&amp;FPS=10&amp;ResponseFormat=Text</v>
      </c>
      <c r="P473" s="106">
        <f>Cadastro!$P473</f>
        <v>1</v>
      </c>
    </row>
    <row r="474">
      <c r="A474" s="104" t="str">
        <f>Cadastro!$A474</f>
        <v>URBS 4</v>
      </c>
      <c r="B474" s="104" t="str">
        <f>Cadastro!$B474</f>
        <v>CURITIBA</v>
      </c>
      <c r="C474" s="107" t="str">
        <f>Cadastro!$C474</f>
        <v>https://monitoramento.pm.pr.gov.br/proxy_image_4/</v>
      </c>
      <c r="D474" s="105">
        <f>Cadastro!$D474</f>
        <v>48601</v>
      </c>
      <c r="E474" s="104" t="str">
        <f>Cadastro!$E474</f>
        <v>Camera127</v>
      </c>
      <c r="F474" s="104" t="str">
        <f>Cadastro!$F474</f>
        <v>ET Central &gt; Norte 1</v>
      </c>
      <c r="G474" s="104" t="str">
        <f>Cadastro!$G474</f>
        <v>-25.429921</v>
      </c>
      <c r="H474" s="104" t="str">
        <f>Cadastro!$H474</f>
        <v>-49.267516</v>
      </c>
      <c r="I474" s="104" t="str">
        <f>Cadastro!$I474</f>
        <v>copom_DDTQ</v>
      </c>
      <c r="J474" s="104" t="str">
        <f>Cadastro!$J474</f>
        <v>DDTQcopom</v>
      </c>
      <c r="K474" s="104" t="s">
        <v>4536</v>
      </c>
      <c r="L474" s="104" t="s">
        <v>26</v>
      </c>
      <c r="M474" s="104" t="s">
        <v>27</v>
      </c>
      <c r="N474" s="108" t="str">
        <f t="shared" si="1"/>
        <v>URBS 4</v>
      </c>
      <c r="O474" s="109" t="str">
        <f>Cadastro!$O474</f>
        <v>https://monitoramento.pm.pr.gov.br/proxy_image_4/Interface/Cameras/GetJPEGStream?Camera=Camera127&amp;AuthUser=copom_DDTQ&amp;AuthPass=DDTQcopom&amp;Width=1024&amp;Height=768&amp;Quality=70&amp;FPS=10&amp;ResponseFormat=Text</v>
      </c>
      <c r="P474" s="106">
        <f>Cadastro!$P474</f>
        <v>1</v>
      </c>
    </row>
    <row r="475">
      <c r="A475" s="104" t="str">
        <f>Cadastro!$A475</f>
        <v>URBS 4</v>
      </c>
      <c r="B475" s="104" t="str">
        <f>Cadastro!$B475</f>
        <v>CURITIBA</v>
      </c>
      <c r="C475" s="107" t="str">
        <f>Cadastro!$C475</f>
        <v>https://monitoramento.pm.pr.gov.br/proxy_image_4/</v>
      </c>
      <c r="D475" s="105">
        <f>Cadastro!$D475</f>
        <v>48601</v>
      </c>
      <c r="E475" s="104" t="str">
        <f>Cadastro!$E475</f>
        <v>Camera128</v>
      </c>
      <c r="F475" s="104" t="str">
        <f>Cadastro!$F475</f>
        <v>ET Central &gt; Norte 2</v>
      </c>
      <c r="G475" s="104" t="str">
        <f>Cadastro!$G475</f>
        <v>-25.429994</v>
      </c>
      <c r="H475" s="104" t="str">
        <f>Cadastro!$H475</f>
        <v>-49.267479</v>
      </c>
      <c r="I475" s="104" t="str">
        <f>Cadastro!$I475</f>
        <v>copom_DDTQ</v>
      </c>
      <c r="J475" s="104" t="str">
        <f>Cadastro!$J475</f>
        <v>DDTQcopom</v>
      </c>
      <c r="K475" s="104" t="s">
        <v>4536</v>
      </c>
      <c r="L475" s="104" t="s">
        <v>26</v>
      </c>
      <c r="M475" s="104" t="s">
        <v>27</v>
      </c>
      <c r="N475" s="108" t="str">
        <f t="shared" si="1"/>
        <v>URBS 4</v>
      </c>
      <c r="O475" s="109" t="str">
        <f>Cadastro!$O475</f>
        <v>https://monitoramento.pm.pr.gov.br/proxy_image_4/Interface/Cameras/GetJPEGStream?Camera=Camera128&amp;AuthUser=copom_DDTQ&amp;AuthPass=DDTQcopom&amp;Width=1024&amp;Height=768&amp;Quality=70&amp;FPS=10&amp;ResponseFormat=Text</v>
      </c>
      <c r="P475" s="106">
        <f>Cadastro!$P475</f>
        <v>1</v>
      </c>
    </row>
    <row r="476">
      <c r="A476" s="104" t="str">
        <f>Cadastro!$A476</f>
        <v>URBS 4</v>
      </c>
      <c r="B476" s="104" t="str">
        <f>Cadastro!$B476</f>
        <v>CURITIBA</v>
      </c>
      <c r="C476" s="107" t="str">
        <f>Cadastro!$C476</f>
        <v>https://monitoramento.pm.pr.gov.br/proxy_image_4/</v>
      </c>
      <c r="D476" s="105">
        <f>Cadastro!$D476</f>
        <v>48601</v>
      </c>
      <c r="E476" s="104" t="str">
        <f>Cadastro!$E476</f>
        <v>Camera129</v>
      </c>
      <c r="F476" s="104" t="str">
        <f>Cadastro!$F476</f>
        <v>ET Central &gt; Norte &gt; Catraca</v>
      </c>
      <c r="G476" s="104" t="str">
        <f>Cadastro!$G476</f>
        <v>-25.430054</v>
      </c>
      <c r="H476" s="104" t="str">
        <f>Cadastro!$H476</f>
        <v>-49.267452</v>
      </c>
      <c r="I476" s="104" t="str">
        <f>Cadastro!$I476</f>
        <v>copom_DDTQ</v>
      </c>
      <c r="J476" s="104" t="str">
        <f>Cadastro!$J476</f>
        <v>DDTQcopom</v>
      </c>
      <c r="K476" s="104" t="s">
        <v>4536</v>
      </c>
      <c r="L476" s="104" t="s">
        <v>26</v>
      </c>
      <c r="M476" s="104" t="s">
        <v>27</v>
      </c>
      <c r="N476" s="108" t="str">
        <f t="shared" si="1"/>
        <v>URBS 4</v>
      </c>
      <c r="O476" s="109" t="str">
        <f>Cadastro!$O476</f>
        <v>https://monitoramento.pm.pr.gov.br/proxy_image_4/Interface/Cameras/GetJPEGStream?Camera=Camera129&amp;AuthUser=copom_DDTQ&amp;AuthPass=DDTQcopom&amp;Width=1024&amp;Height=768&amp;Quality=70&amp;FPS=10&amp;ResponseFormat=Text</v>
      </c>
      <c r="P476" s="106">
        <f>Cadastro!$P476</f>
        <v>1</v>
      </c>
    </row>
    <row r="477">
      <c r="A477" s="104" t="str">
        <f>Cadastro!$A477</f>
        <v>URBS 4</v>
      </c>
      <c r="B477" s="104" t="str">
        <f>Cadastro!$B477</f>
        <v>CURITIBA</v>
      </c>
      <c r="C477" s="107" t="str">
        <f>Cadastro!$C477</f>
        <v>https://monitoramento.pm.pr.gov.br/proxy_image_4/</v>
      </c>
      <c r="D477" s="105">
        <f>Cadastro!$D477</f>
        <v>48601</v>
      </c>
      <c r="E477" s="104" t="str">
        <f>Cadastro!$E477</f>
        <v>Camera13</v>
      </c>
      <c r="F477" s="104" t="str">
        <f>Cadastro!$F477</f>
        <v>PANE Terminal Hauer &gt; Expresso 2&gt; Bairro</v>
      </c>
      <c r="G477" s="104" t="str">
        <f>Cadastro!$G477</f>
        <v>-25.481554</v>
      </c>
      <c r="H477" s="104" t="str">
        <f>Cadastro!$H477</f>
        <v>-49.247252</v>
      </c>
      <c r="I477" s="104" t="str">
        <f>Cadastro!$I477</f>
        <v>copom_DDTQ</v>
      </c>
      <c r="J477" s="104" t="str">
        <f>Cadastro!$J477</f>
        <v>DDTQcopom</v>
      </c>
      <c r="K477" s="104" t="s">
        <v>4536</v>
      </c>
      <c r="L477" s="104" t="s">
        <v>26</v>
      </c>
      <c r="M477" s="104" t="s">
        <v>27</v>
      </c>
      <c r="N477" s="108" t="str">
        <f t="shared" si="1"/>
        <v>URBS 4</v>
      </c>
      <c r="O477" s="109" t="str">
        <f>Cadastro!$O477</f>
        <v>https://monitoramento.pm.pr.gov.br/proxy_image_4/Interface/Cameras/GetJPEGStream?Camera=Camera13&amp;AuthUser=copom_DDTQ&amp;AuthPass=DDTQcopom&amp;Width=1024&amp;Height=768&amp;Quality=70&amp;FPS=10&amp;ResponseFormat=Text</v>
      </c>
      <c r="P477" s="106">
        <f>Cadastro!$P477</f>
        <v>1</v>
      </c>
    </row>
    <row r="478">
      <c r="A478" s="104" t="str">
        <f>Cadastro!$A478</f>
        <v>URBS 4</v>
      </c>
      <c r="B478" s="104" t="str">
        <f>Cadastro!$B478</f>
        <v>CURITIBA</v>
      </c>
      <c r="C478" s="107" t="str">
        <f>Cadastro!$C478</f>
        <v>https://monitoramento.pm.pr.gov.br/proxy_image_4/</v>
      </c>
      <c r="D478" s="105">
        <f>Cadastro!$D478</f>
        <v>48601</v>
      </c>
      <c r="E478" s="104" t="str">
        <f>Cadastro!$E478</f>
        <v>Camera130</v>
      </c>
      <c r="F478" s="104" t="str">
        <f>Cadastro!$F478</f>
        <v>ET Central &gt; Norte &gt; Catraca 2</v>
      </c>
      <c r="G478" s="104" t="str">
        <f>Cadastro!$G478</f>
        <v>-25.429891</v>
      </c>
      <c r="H478" s="104" t="str">
        <f>Cadastro!$H478</f>
        <v>-49.267517</v>
      </c>
      <c r="I478" s="104" t="str">
        <f>Cadastro!$I478</f>
        <v>copom_DDTQ</v>
      </c>
      <c r="J478" s="104" t="str">
        <f>Cadastro!$J478</f>
        <v>DDTQcopom</v>
      </c>
      <c r="K478" s="104" t="s">
        <v>4536</v>
      </c>
      <c r="L478" s="104" t="s">
        <v>26</v>
      </c>
      <c r="M478" s="104" t="s">
        <v>27</v>
      </c>
      <c r="N478" s="108" t="str">
        <f t="shared" si="1"/>
        <v>URBS 4</v>
      </c>
      <c r="O478" s="109" t="str">
        <f>Cadastro!$O478</f>
        <v>https://monitoramento.pm.pr.gov.br/proxy_image_4/Interface/Cameras/GetJPEGStream?Camera=Camera130&amp;AuthUser=copom_DDTQ&amp;AuthPass=DDTQcopom&amp;Width=1024&amp;Height=768&amp;Quality=70&amp;FPS=10&amp;ResponseFormat=Text</v>
      </c>
      <c r="P478" s="106">
        <f>Cadastro!$P478</f>
        <v>1</v>
      </c>
    </row>
    <row r="479">
      <c r="A479" s="104" t="str">
        <f>Cadastro!$A479</f>
        <v>URBS 4</v>
      </c>
      <c r="B479" s="104" t="str">
        <f>Cadastro!$B479</f>
        <v>CURITIBA</v>
      </c>
      <c r="C479" s="107" t="str">
        <f>Cadastro!$C479</f>
        <v>https://monitoramento.pm.pr.gov.br/proxy_image_4/</v>
      </c>
      <c r="D479" s="105">
        <f>Cadastro!$D479</f>
        <v>48601</v>
      </c>
      <c r="E479" s="104" t="str">
        <f>Cadastro!$E479</f>
        <v>Camera131</v>
      </c>
      <c r="F479" s="104" t="str">
        <f>Cadastro!$F479</f>
        <v>ET Bom Jesus &gt; Centro</v>
      </c>
      <c r="G479" s="104" t="str">
        <f>Cadastro!$G479</f>
        <v>-25.409860</v>
      </c>
      <c r="H479" s="104" t="str">
        <f>Cadastro!$H479</f>
        <v>-49.255780</v>
      </c>
      <c r="I479" s="104" t="str">
        <f>Cadastro!$I479</f>
        <v>copom_DDTQ</v>
      </c>
      <c r="J479" s="104" t="str">
        <f>Cadastro!$J479</f>
        <v>DDTQcopom</v>
      </c>
      <c r="K479" s="104" t="s">
        <v>4536</v>
      </c>
      <c r="L479" s="104" t="s">
        <v>26</v>
      </c>
      <c r="M479" s="104" t="s">
        <v>27</v>
      </c>
      <c r="N479" s="108" t="str">
        <f t="shared" si="1"/>
        <v>URBS 4</v>
      </c>
      <c r="O479" s="109" t="str">
        <f>Cadastro!$O479</f>
        <v>https://monitoramento.pm.pr.gov.br/proxy_image_4/Interface/Cameras/GetJPEGStream?Camera=Camera131&amp;AuthUser=copom_DDTQ&amp;AuthPass=DDTQcopom&amp;Width=1024&amp;Height=768&amp;Quality=70&amp;FPS=10&amp;ResponseFormat=Text</v>
      </c>
      <c r="P479" s="106">
        <f>Cadastro!$P479</f>
        <v>1</v>
      </c>
    </row>
    <row r="480">
      <c r="A480" s="104" t="str">
        <f>Cadastro!$A480</f>
        <v>URBS 4</v>
      </c>
      <c r="B480" s="104" t="str">
        <f>Cadastro!$B480</f>
        <v>CURITIBA</v>
      </c>
      <c r="C480" s="107" t="str">
        <f>Cadastro!$C480</f>
        <v>https://monitoramento.pm.pr.gov.br/proxy_image_4/</v>
      </c>
      <c r="D480" s="105">
        <f>Cadastro!$D480</f>
        <v>48601</v>
      </c>
      <c r="E480" s="104" t="str">
        <f>Cadastro!$E480</f>
        <v>Camera132</v>
      </c>
      <c r="F480" s="104" t="str">
        <f>Cadastro!$F480</f>
        <v>ET Bom Jesus &gt; Bairro Juveve</v>
      </c>
      <c r="G480" s="104" t="str">
        <f>Cadastro!$G480</f>
        <v>-25.409280</v>
      </c>
      <c r="H480" s="104" t="str">
        <f>Cadastro!$H480</f>
        <v>-49.255084</v>
      </c>
      <c r="I480" s="104" t="str">
        <f>Cadastro!$I480</f>
        <v>copom_DDTQ</v>
      </c>
      <c r="J480" s="104" t="str">
        <f>Cadastro!$J480</f>
        <v>DDTQcopom</v>
      </c>
      <c r="K480" s="104" t="s">
        <v>4536</v>
      </c>
      <c r="L480" s="104" t="s">
        <v>26</v>
      </c>
      <c r="M480" s="104" t="s">
        <v>27</v>
      </c>
      <c r="N480" s="108" t="str">
        <f t="shared" si="1"/>
        <v>URBS 4</v>
      </c>
      <c r="O480" s="109" t="str">
        <f>Cadastro!$O480</f>
        <v>https://monitoramento.pm.pr.gov.br/proxy_image_4/Interface/Cameras/GetJPEGStream?Camera=Camera132&amp;AuthUser=copom_DDTQ&amp;AuthPass=DDTQcopom&amp;Width=1024&amp;Height=768&amp;Quality=70&amp;FPS=10&amp;ResponseFormat=Text</v>
      </c>
      <c r="P480" s="106">
        <f>Cadastro!$P480</f>
        <v>1</v>
      </c>
    </row>
    <row r="481">
      <c r="A481" s="104" t="str">
        <f>Cadastro!$A481</f>
        <v>URBS 4</v>
      </c>
      <c r="B481" s="104" t="str">
        <f>Cadastro!$B481</f>
        <v>CURITIBA</v>
      </c>
      <c r="C481" s="107" t="str">
        <f>Cadastro!$C481</f>
        <v>https://monitoramento.pm.pr.gov.br/proxy_image_4/</v>
      </c>
      <c r="D481" s="105">
        <f>Cadastro!$D481</f>
        <v>48601</v>
      </c>
      <c r="E481" s="104" t="str">
        <f>Cadastro!$E481</f>
        <v>Camera14</v>
      </c>
      <c r="F481" s="104" t="str">
        <f>Cadastro!$F481</f>
        <v>Terminal Hauer &gt; Expresso &gt; Centro</v>
      </c>
      <c r="G481" s="104" t="str">
        <f>Cadastro!$G481</f>
        <v>-25.481695</v>
      </c>
      <c r="H481" s="104" t="str">
        <f>Cadastro!$H481</f>
        <v>-49.246998</v>
      </c>
      <c r="I481" s="104" t="str">
        <f>Cadastro!$I481</f>
        <v>copom_DDTQ</v>
      </c>
      <c r="J481" s="104" t="str">
        <f>Cadastro!$J481</f>
        <v>DDTQcopom</v>
      </c>
      <c r="K481" s="104" t="s">
        <v>4536</v>
      </c>
      <c r="L481" s="104" t="s">
        <v>26</v>
      </c>
      <c r="M481" s="104" t="s">
        <v>27</v>
      </c>
      <c r="N481" s="108" t="str">
        <f t="shared" si="1"/>
        <v>URBS 4</v>
      </c>
      <c r="O481" s="109" t="str">
        <f>Cadastro!$O481</f>
        <v>https://monitoramento.pm.pr.gov.br/proxy_image_4/Interface/Cameras/GetJPEGStream?Camera=Camera14&amp;AuthUser=copom_DDTQ&amp;AuthPass=DDTQcopom&amp;Width=1024&amp;Height=768&amp;Quality=70&amp;FPS=10&amp;ResponseFormat=Text</v>
      </c>
      <c r="P481" s="106">
        <f>Cadastro!$P481</f>
        <v>1</v>
      </c>
    </row>
    <row r="482">
      <c r="A482" s="104" t="str">
        <f>Cadastro!$A482</f>
        <v>URBS 4</v>
      </c>
      <c r="B482" s="104" t="str">
        <f>Cadastro!$B482</f>
        <v>CURITIBA</v>
      </c>
      <c r="C482" s="107" t="str">
        <f>Cadastro!$C482</f>
        <v>https://monitoramento.pm.pr.gov.br/proxy_image_4/</v>
      </c>
      <c r="D482" s="105">
        <f>Cadastro!$D482</f>
        <v>48601</v>
      </c>
      <c r="E482" s="104" t="str">
        <f>Cadastro!$E482</f>
        <v>Camera15</v>
      </c>
      <c r="F482" s="104" t="str">
        <f>Cadastro!$F482</f>
        <v>Terminal Hauer &gt; ET Centro Cívico</v>
      </c>
      <c r="G482" s="104" t="str">
        <f>Cadastro!$G482</f>
        <v>-25.481202</v>
      </c>
      <c r="H482" s="104" t="str">
        <f>Cadastro!$H482</f>
        <v>-49.246983</v>
      </c>
      <c r="I482" s="104" t="str">
        <f>Cadastro!$I482</f>
        <v>copom_DDTQ</v>
      </c>
      <c r="J482" s="104" t="str">
        <f>Cadastro!$J482</f>
        <v>DDTQcopom</v>
      </c>
      <c r="K482" s="104" t="s">
        <v>4536</v>
      </c>
      <c r="L482" s="104" t="s">
        <v>26</v>
      </c>
      <c r="M482" s="104" t="s">
        <v>27</v>
      </c>
      <c r="N482" s="108" t="str">
        <f t="shared" si="1"/>
        <v>URBS 4</v>
      </c>
      <c r="O482" s="109" t="str">
        <f>Cadastro!$O482</f>
        <v>https://monitoramento.pm.pr.gov.br/proxy_image_4/Interface/Cameras/GetJPEGStream?Camera=Camera15&amp;AuthUser=copom_DDTQ&amp;AuthPass=DDTQcopom&amp;Width=1024&amp;Height=768&amp;Quality=70&amp;FPS=10&amp;ResponseFormat=Text</v>
      </c>
      <c r="P482" s="106">
        <f>Cadastro!$P482</f>
        <v>1</v>
      </c>
    </row>
    <row r="483">
      <c r="A483" s="104" t="str">
        <f>Cadastro!$A483</f>
        <v>URBS 4</v>
      </c>
      <c r="B483" s="104" t="str">
        <f>Cadastro!$B483</f>
        <v>CURITIBA</v>
      </c>
      <c r="C483" s="107" t="str">
        <f>Cadastro!$C483</f>
        <v>https://monitoramento.pm.pr.gov.br/proxy_image_4/</v>
      </c>
      <c r="D483" s="105">
        <f>Cadastro!$D483</f>
        <v>48601</v>
      </c>
      <c r="E483" s="104" t="str">
        <f>Cadastro!$E483</f>
        <v>Camera16</v>
      </c>
      <c r="F483" s="104" t="str">
        <f>Cadastro!$F483</f>
        <v>Terminal Cabral &gt; Interbairros II &gt; A. Horario</v>
      </c>
      <c r="G483" s="104" t="str">
        <f>Cadastro!$G483</f>
        <v>-25.406679</v>
      </c>
      <c r="H483" s="104" t="str">
        <f>Cadastro!$H483</f>
        <v>-49.252466</v>
      </c>
      <c r="I483" s="104" t="str">
        <f>Cadastro!$I483</f>
        <v>copom_DDTQ</v>
      </c>
      <c r="J483" s="104" t="str">
        <f>Cadastro!$J483</f>
        <v>DDTQcopom</v>
      </c>
      <c r="K483" s="104" t="s">
        <v>4536</v>
      </c>
      <c r="L483" s="104" t="s">
        <v>26</v>
      </c>
      <c r="M483" s="104" t="s">
        <v>27</v>
      </c>
      <c r="N483" s="108" t="str">
        <f t="shared" si="1"/>
        <v>URBS 4</v>
      </c>
      <c r="O483" s="109" t="str">
        <f>Cadastro!$O483</f>
        <v>https://monitoramento.pm.pr.gov.br/proxy_image_4/Interface/Cameras/GetJPEGStream?Camera=Camera16&amp;AuthUser=copom_DDTQ&amp;AuthPass=DDTQcopom&amp;Width=1024&amp;Height=768&amp;Quality=70&amp;FPS=10&amp;ResponseFormat=Text</v>
      </c>
      <c r="P483" s="106">
        <f>Cadastro!$P483</f>
        <v>1</v>
      </c>
    </row>
    <row r="484">
      <c r="A484" s="104" t="str">
        <f>Cadastro!$A484</f>
        <v>URBS 4</v>
      </c>
      <c r="B484" s="104" t="str">
        <f>Cadastro!$B484</f>
        <v>CURITIBA</v>
      </c>
      <c r="C484" s="107" t="str">
        <f>Cadastro!$C484</f>
        <v>https://monitoramento.pm.pr.gov.br/proxy_image_4/</v>
      </c>
      <c r="D484" s="105">
        <f>Cadastro!$D484</f>
        <v>48601</v>
      </c>
      <c r="E484" s="104" t="str">
        <f>Cadastro!$E484</f>
        <v>Camera17</v>
      </c>
      <c r="F484" s="104" t="str">
        <f>Cadastro!$F484</f>
        <v>Terminal Hauer &gt; Interbairros II &gt; A. Horario</v>
      </c>
      <c r="G484" s="104" t="str">
        <f>Cadastro!$G484</f>
        <v>-25.481682</v>
      </c>
      <c r="H484" s="104" t="str">
        <f>Cadastro!$H484</f>
        <v>-49.246863</v>
      </c>
      <c r="I484" s="104" t="str">
        <f>Cadastro!$I484</f>
        <v>copom_DDTQ</v>
      </c>
      <c r="J484" s="104" t="str">
        <f>Cadastro!$J484</f>
        <v>DDTQcopom</v>
      </c>
      <c r="K484" s="104" t="s">
        <v>4536</v>
      </c>
      <c r="L484" s="104" t="s">
        <v>26</v>
      </c>
      <c r="M484" s="104" t="s">
        <v>27</v>
      </c>
      <c r="N484" s="108" t="str">
        <f t="shared" si="1"/>
        <v>URBS 4</v>
      </c>
      <c r="O484" s="109" t="str">
        <f>Cadastro!$O484</f>
        <v>https://monitoramento.pm.pr.gov.br/proxy_image_4/Interface/Cameras/GetJPEGStream?Camera=Camera17&amp;AuthUser=copom_DDTQ&amp;AuthPass=DDTQcopom&amp;Width=1024&amp;Height=768&amp;Quality=70&amp;FPS=10&amp;ResponseFormat=Text</v>
      </c>
      <c r="P484" s="106">
        <f>Cadastro!$P484</f>
        <v>1</v>
      </c>
    </row>
    <row r="485">
      <c r="A485" s="104" t="str">
        <f>Cadastro!$A485</f>
        <v>URBS 4</v>
      </c>
      <c r="B485" s="104" t="str">
        <f>Cadastro!$B485</f>
        <v>CURITIBA</v>
      </c>
      <c r="C485" s="107" t="str">
        <f>Cadastro!$C485</f>
        <v>https://monitoramento.pm.pr.gov.br/proxy_image_4/</v>
      </c>
      <c r="D485" s="105">
        <f>Cadastro!$D485</f>
        <v>48601</v>
      </c>
      <c r="E485" s="104" t="str">
        <f>Cadastro!$E485</f>
        <v>Camera18</v>
      </c>
      <c r="F485" s="104" t="str">
        <f>Cadastro!$F485</f>
        <v>Terminal Cabral &gt; Tamandare Cabral</v>
      </c>
      <c r="G485" s="104" t="str">
        <f>Cadastro!$G485</f>
        <v>-25.406560</v>
      </c>
      <c r="H485" s="104" t="str">
        <f>Cadastro!$H485</f>
        <v>-49.252888</v>
      </c>
      <c r="I485" s="104" t="str">
        <f>Cadastro!$I485</f>
        <v>copom_DDTQ</v>
      </c>
      <c r="J485" s="104" t="str">
        <f>Cadastro!$J485</f>
        <v>DDTQcopom</v>
      </c>
      <c r="K485" s="104" t="s">
        <v>4536</v>
      </c>
      <c r="L485" s="104" t="s">
        <v>26</v>
      </c>
      <c r="M485" s="104" t="s">
        <v>27</v>
      </c>
      <c r="N485" s="108" t="str">
        <f t="shared" si="1"/>
        <v>URBS 4</v>
      </c>
      <c r="O485" s="109" t="str">
        <f>Cadastro!$O485</f>
        <v>https://monitoramento.pm.pr.gov.br/proxy_image_4/Interface/Cameras/GetJPEGStream?Camera=Camera18&amp;AuthUser=copom_DDTQ&amp;AuthPass=DDTQcopom&amp;Width=1024&amp;Height=768&amp;Quality=70&amp;FPS=10&amp;ResponseFormat=Text</v>
      </c>
      <c r="P485" s="106">
        <f>Cadastro!$P485</f>
        <v>1</v>
      </c>
    </row>
    <row r="486">
      <c r="A486" s="104" t="str">
        <f>Cadastro!$A486</f>
        <v>URBS 4</v>
      </c>
      <c r="B486" s="104" t="str">
        <f>Cadastro!$B486</f>
        <v>CURITIBA</v>
      </c>
      <c r="C486" s="107" t="str">
        <f>Cadastro!$C486</f>
        <v>https://monitoramento.pm.pr.gov.br/proxy_image_4/</v>
      </c>
      <c r="D486" s="105">
        <f>Cadastro!$D486</f>
        <v>48601</v>
      </c>
      <c r="E486" s="104" t="str">
        <f>Cadastro!$E486</f>
        <v>Camera19</v>
      </c>
      <c r="F486" s="104" t="str">
        <f>Cadastro!$F486</f>
        <v>Terminal Cabral &gt;ET Maracanã/Cabral &gt; MaracanÂ</v>
      </c>
      <c r="G486" s="104" t="str">
        <f>Cadastro!$G486</f>
        <v>-25.407030</v>
      </c>
      <c r="H486" s="104" t="str">
        <f>Cadastro!$H486</f>
        <v>-49.252632</v>
      </c>
      <c r="I486" s="104" t="str">
        <f>Cadastro!$I486</f>
        <v>copom_DDTQ</v>
      </c>
      <c r="J486" s="104" t="str">
        <f>Cadastro!$J486</f>
        <v>DDTQcopom</v>
      </c>
      <c r="K486" s="104" t="s">
        <v>4536</v>
      </c>
      <c r="L486" s="104" t="s">
        <v>26</v>
      </c>
      <c r="M486" s="104" t="s">
        <v>27</v>
      </c>
      <c r="N486" s="108" t="str">
        <f t="shared" si="1"/>
        <v>URBS 4</v>
      </c>
      <c r="O486" s="109" t="str">
        <f>Cadastro!$O486</f>
        <v>https://monitoramento.pm.pr.gov.br/proxy_image_4/Interface/Cameras/GetJPEGStream?Camera=Camera19&amp;AuthUser=copom_DDTQ&amp;AuthPass=DDTQcopom&amp;Width=1024&amp;Height=768&amp;Quality=70&amp;FPS=10&amp;ResponseFormat=Text</v>
      </c>
      <c r="P486" s="106">
        <f>Cadastro!$P486</f>
        <v>1</v>
      </c>
    </row>
    <row r="487">
      <c r="A487" s="104" t="str">
        <f>Cadastro!$A487</f>
        <v>URBS 4</v>
      </c>
      <c r="B487" s="104" t="str">
        <f>Cadastro!$B487</f>
        <v>CURITIBA</v>
      </c>
      <c r="C487" s="107" t="str">
        <f>Cadastro!$C487</f>
        <v>https://monitoramento.pm.pr.gov.br/proxy_image_4/</v>
      </c>
      <c r="D487" s="105">
        <f>Cadastro!$D487</f>
        <v>48601</v>
      </c>
      <c r="E487" s="104" t="str">
        <f>Cadastro!$E487</f>
        <v>Camera20</v>
      </c>
      <c r="F487" s="104" t="str">
        <f>Cadastro!$F487</f>
        <v>ET Praça Rui Barbosa &gt; Centenario</v>
      </c>
      <c r="G487" s="104" t="str">
        <f>Cadastro!$G487</f>
        <v>-25.435958</v>
      </c>
      <c r="H487" s="104" t="str">
        <f>Cadastro!$H487</f>
        <v>-49.274872</v>
      </c>
      <c r="I487" s="104" t="str">
        <f>Cadastro!$I487</f>
        <v>copom_DDTQ</v>
      </c>
      <c r="J487" s="104" t="str">
        <f>Cadastro!$J487</f>
        <v>DDTQcopom</v>
      </c>
      <c r="K487" s="104" t="s">
        <v>4536</v>
      </c>
      <c r="L487" s="104" t="s">
        <v>26</v>
      </c>
      <c r="M487" s="104" t="s">
        <v>27</v>
      </c>
      <c r="N487" s="108" t="str">
        <f t="shared" si="1"/>
        <v>URBS 4</v>
      </c>
      <c r="O487" s="109" t="str">
        <f>Cadastro!$O487</f>
        <v>https://monitoramento.pm.pr.gov.br/proxy_image_4/Interface/Cameras/GetJPEGStream?Camera=Camera20&amp;AuthUser=copom_DDTQ&amp;AuthPass=DDTQcopom&amp;Width=1024&amp;Height=768&amp;Quality=70&amp;FPS=10&amp;ResponseFormat=Text</v>
      </c>
      <c r="P487" s="106">
        <f>Cadastro!$P487</f>
        <v>1</v>
      </c>
    </row>
    <row r="488">
      <c r="A488" s="104" t="str">
        <f>Cadastro!$A488</f>
        <v>URBS 4</v>
      </c>
      <c r="B488" s="104" t="str">
        <f>Cadastro!$B488</f>
        <v>CURITIBA</v>
      </c>
      <c r="C488" s="107" t="str">
        <f>Cadastro!$C488</f>
        <v>https://monitoramento.pm.pr.gov.br/proxy_image_4/</v>
      </c>
      <c r="D488" s="105">
        <f>Cadastro!$D488</f>
        <v>48601</v>
      </c>
      <c r="E488" s="104" t="str">
        <f>Cadastro!$E488</f>
        <v>Camera21</v>
      </c>
      <c r="F488" s="104" t="str">
        <f>Cadastro!$F488</f>
        <v>ET Praça Rui Barbosa &gt; Pinheirinho 1</v>
      </c>
      <c r="G488" s="104" t="str">
        <f>Cadastro!$G488</f>
        <v>-25.436185</v>
      </c>
      <c r="H488" s="104" t="str">
        <f>Cadastro!$H488</f>
        <v>-49.274076</v>
      </c>
      <c r="I488" s="104" t="str">
        <f>Cadastro!$I488</f>
        <v>copom_DDTQ</v>
      </c>
      <c r="J488" s="104" t="str">
        <f>Cadastro!$J488</f>
        <v>DDTQcopom</v>
      </c>
      <c r="K488" s="104" t="s">
        <v>4536</v>
      </c>
      <c r="L488" s="104" t="s">
        <v>26</v>
      </c>
      <c r="M488" s="104" t="s">
        <v>27</v>
      </c>
      <c r="N488" s="108" t="str">
        <f t="shared" si="1"/>
        <v>URBS 4</v>
      </c>
      <c r="O488" s="109" t="str">
        <f>Cadastro!$O488</f>
        <v>https://monitoramento.pm.pr.gov.br/proxy_image_4/Interface/Cameras/GetJPEGStream?Camera=Camera21&amp;AuthUser=copom_DDTQ&amp;AuthPass=DDTQcopom&amp;Width=1024&amp;Height=768&amp;Quality=70&amp;FPS=10&amp;ResponseFormat=Text</v>
      </c>
      <c r="P488" s="106">
        <f>Cadastro!$P488</f>
        <v>1</v>
      </c>
    </row>
    <row r="489">
      <c r="A489" s="104" t="str">
        <f>Cadastro!$A489</f>
        <v>URBS 4</v>
      </c>
      <c r="B489" s="104" t="str">
        <f>Cadastro!$B489</f>
        <v>CURITIBA</v>
      </c>
      <c r="C489" s="107" t="str">
        <f>Cadastro!$C489</f>
        <v>https://monitoramento.pm.pr.gov.br/proxy_image_4/</v>
      </c>
      <c r="D489" s="105">
        <f>Cadastro!$D489</f>
        <v>48601</v>
      </c>
      <c r="E489" s="104" t="str">
        <f>Cadastro!$E489</f>
        <v>Camera22</v>
      </c>
      <c r="F489" s="104" t="str">
        <f>Cadastro!$F489</f>
        <v>ET Praça Rui Barbosa &gt; Pinheirinho &gt; Desembarque</v>
      </c>
      <c r="G489" s="104" t="str">
        <f>Cadastro!$G489</f>
        <v>-25.436226</v>
      </c>
      <c r="H489" s="104" t="str">
        <f>Cadastro!$H489</f>
        <v>-49.273907</v>
      </c>
      <c r="I489" s="104" t="str">
        <f>Cadastro!$I489</f>
        <v>copom_DDTQ</v>
      </c>
      <c r="J489" s="104" t="str">
        <f>Cadastro!$J489</f>
        <v>DDTQcopom</v>
      </c>
      <c r="K489" s="104" t="s">
        <v>4536</v>
      </c>
      <c r="L489" s="104" t="s">
        <v>26</v>
      </c>
      <c r="M489" s="104" t="s">
        <v>27</v>
      </c>
      <c r="N489" s="108" t="str">
        <f t="shared" si="1"/>
        <v>URBS 4</v>
      </c>
      <c r="O489" s="109" t="str">
        <f>Cadastro!$O489</f>
        <v>https://monitoramento.pm.pr.gov.br/proxy_image_4/Interface/Cameras/GetJPEGStream?Camera=Camera22&amp;AuthUser=copom_DDTQ&amp;AuthPass=DDTQcopom&amp;Width=1024&amp;Height=768&amp;Quality=70&amp;FPS=10&amp;ResponseFormat=Text</v>
      </c>
      <c r="P489" s="106">
        <f>Cadastro!$P489</f>
        <v>1</v>
      </c>
    </row>
    <row r="490">
      <c r="A490" s="104" t="str">
        <f>Cadastro!$A490</f>
        <v>URBS 4</v>
      </c>
      <c r="B490" s="104" t="str">
        <f>Cadastro!$B490</f>
        <v>CURITIBA</v>
      </c>
      <c r="C490" s="107" t="str">
        <f>Cadastro!$C490</f>
        <v>https://monitoramento.pm.pr.gov.br/proxy_image_4/</v>
      </c>
      <c r="D490" s="105">
        <f>Cadastro!$D490</f>
        <v>48601</v>
      </c>
      <c r="E490" s="104" t="str">
        <f>Cadastro!$E490</f>
        <v>Camera23</v>
      </c>
      <c r="F490" s="104" t="str">
        <f>Cadastro!$F490</f>
        <v>ET Praça Rui Barbosa &gt; Pinheirinho 2</v>
      </c>
      <c r="G490" s="104" t="str">
        <f>Cadastro!$G490</f>
        <v>-25.436127</v>
      </c>
      <c r="H490" s="104" t="str">
        <f>Cadastro!$H490</f>
        <v>-49.274184</v>
      </c>
      <c r="I490" s="104" t="str">
        <f>Cadastro!$I490</f>
        <v>copom_DDTQ</v>
      </c>
      <c r="J490" s="104" t="str">
        <f>Cadastro!$J490</f>
        <v>DDTQcopom</v>
      </c>
      <c r="K490" s="104" t="s">
        <v>4536</v>
      </c>
      <c r="L490" s="104" t="s">
        <v>26</v>
      </c>
      <c r="M490" s="104" t="s">
        <v>27</v>
      </c>
      <c r="N490" s="108" t="str">
        <f t="shared" si="1"/>
        <v>URBS 4</v>
      </c>
      <c r="O490" s="109" t="str">
        <f>Cadastro!$O490</f>
        <v>https://monitoramento.pm.pr.gov.br/proxy_image_4/Interface/Cameras/GetJPEGStream?Camera=Camera23&amp;AuthUser=copom_DDTQ&amp;AuthPass=DDTQcopom&amp;Width=1024&amp;Height=768&amp;Quality=70&amp;FPS=10&amp;ResponseFormat=Text</v>
      </c>
      <c r="P490" s="106">
        <f>Cadastro!$P490</f>
        <v>1</v>
      </c>
    </row>
    <row r="491">
      <c r="A491" s="104" t="str">
        <f>Cadastro!$A491</f>
        <v>URBS 4</v>
      </c>
      <c r="B491" s="104" t="str">
        <f>Cadastro!$B491</f>
        <v>CURITIBA</v>
      </c>
      <c r="C491" s="107" t="str">
        <f>Cadastro!$C491</f>
        <v>https://monitoramento.pm.pr.gov.br/proxy_image_4/</v>
      </c>
      <c r="D491" s="105">
        <f>Cadastro!$D491</f>
        <v>48601</v>
      </c>
      <c r="E491" s="104" t="str">
        <f>Cadastro!$E491</f>
        <v>Camera24</v>
      </c>
      <c r="F491" s="104" t="str">
        <f>Cadastro!$F491</f>
        <v>PANE Terminal Capão da Imbuia &gt; Expresso &gt; Centro</v>
      </c>
      <c r="G491" s="104" t="str">
        <f>Cadastro!$G491</f>
        <v>-25.439991</v>
      </c>
      <c r="H491" s="104" t="str">
        <f>Cadastro!$H491</f>
        <v>-49.221603</v>
      </c>
      <c r="I491" s="104" t="str">
        <f>Cadastro!$I491</f>
        <v>copom_DDTQ</v>
      </c>
      <c r="J491" s="104" t="str">
        <f>Cadastro!$J491</f>
        <v>DDTQcopom</v>
      </c>
      <c r="K491" s="104" t="s">
        <v>4536</v>
      </c>
      <c r="L491" s="104" t="s">
        <v>26</v>
      </c>
      <c r="M491" s="104" t="s">
        <v>27</v>
      </c>
      <c r="N491" s="108" t="str">
        <f t="shared" si="1"/>
        <v>URBS 4</v>
      </c>
      <c r="O491" s="109" t="str">
        <f>Cadastro!$O491</f>
        <v>https://monitoramento.pm.pr.gov.br/proxy_image_4/Interface/Cameras/GetJPEGStream?Camera=Camera24&amp;AuthUser=copom_DDTQ&amp;AuthPass=DDTQcopom&amp;Width=1024&amp;Height=768&amp;Quality=70&amp;FPS=10&amp;ResponseFormat=Text</v>
      </c>
      <c r="P491" s="106">
        <f>Cadastro!$P491</f>
        <v>1</v>
      </c>
    </row>
    <row r="492">
      <c r="A492" s="104" t="str">
        <f>Cadastro!$A492</f>
        <v>URBS 4</v>
      </c>
      <c r="B492" s="104" t="str">
        <f>Cadastro!$B492</f>
        <v>CURITIBA</v>
      </c>
      <c r="C492" s="107" t="str">
        <f>Cadastro!$C492</f>
        <v>https://monitoramento.pm.pr.gov.br/proxy_image_4/</v>
      </c>
      <c r="D492" s="105">
        <f>Cadastro!$D492</f>
        <v>48601</v>
      </c>
      <c r="E492" s="104" t="str">
        <f>Cadastro!$E492</f>
        <v>Camera25</v>
      </c>
      <c r="F492" s="104" t="str">
        <f>Cadastro!$F492</f>
        <v>ET Praça Rui Barbosa &gt; Pinheirinho &gt; Catraca</v>
      </c>
      <c r="G492" s="104" t="str">
        <f>Cadastro!$G492</f>
        <v>-25.436110</v>
      </c>
      <c r="H492" s="104" t="str">
        <f>Cadastro!$H492</f>
        <v>-49.274260</v>
      </c>
      <c r="I492" s="104" t="str">
        <f>Cadastro!$I492</f>
        <v>copom_DDTQ</v>
      </c>
      <c r="J492" s="104" t="str">
        <f>Cadastro!$J492</f>
        <v>DDTQcopom</v>
      </c>
      <c r="K492" s="104" t="s">
        <v>4536</v>
      </c>
      <c r="L492" s="104" t="s">
        <v>26</v>
      </c>
      <c r="M492" s="104" t="s">
        <v>27</v>
      </c>
      <c r="N492" s="108" t="str">
        <f t="shared" si="1"/>
        <v>URBS 4</v>
      </c>
      <c r="O492" s="109" t="str">
        <f>Cadastro!$O492</f>
        <v>https://monitoramento.pm.pr.gov.br/proxy_image_4/Interface/Cameras/GetJPEGStream?Camera=Camera25&amp;AuthUser=copom_DDTQ&amp;AuthPass=DDTQcopom&amp;Width=1024&amp;Height=768&amp;Quality=70&amp;FPS=10&amp;ResponseFormat=Text</v>
      </c>
      <c r="P492" s="106">
        <f>Cadastro!$P492</f>
        <v>1</v>
      </c>
    </row>
    <row r="493">
      <c r="A493" s="104" t="str">
        <f>Cadastro!$A493</f>
        <v>URBS 4</v>
      </c>
      <c r="B493" s="104" t="str">
        <f>Cadastro!$B493</f>
        <v>CURITIBA</v>
      </c>
      <c r="C493" s="107" t="str">
        <f>Cadastro!$C493</f>
        <v>https://monitoramento.pm.pr.gov.br/proxy_image_4/</v>
      </c>
      <c r="D493" s="105">
        <f>Cadastro!$D493</f>
        <v>48601</v>
      </c>
      <c r="E493" s="104" t="str">
        <f>Cadastro!$E493</f>
        <v>Camera26</v>
      </c>
      <c r="F493" s="104" t="str">
        <f>Cadastro!$F493</f>
        <v>ET Praça Rui Barbosa &gt; Pinheirinho &gt; Desembarque 2</v>
      </c>
      <c r="G493" s="104" t="str">
        <f>Cadastro!$G493</f>
        <v>-25.436253</v>
      </c>
      <c r="H493" s="104" t="str">
        <f>Cadastro!$H493</f>
        <v>-49.273783</v>
      </c>
      <c r="I493" s="104" t="str">
        <f>Cadastro!$I493</f>
        <v>copom_DDTQ</v>
      </c>
      <c r="J493" s="104" t="str">
        <f>Cadastro!$J493</f>
        <v>DDTQcopom</v>
      </c>
      <c r="K493" s="104" t="s">
        <v>4536</v>
      </c>
      <c r="L493" s="104" t="s">
        <v>26</v>
      </c>
      <c r="M493" s="104" t="s">
        <v>27</v>
      </c>
      <c r="N493" s="108" t="str">
        <f t="shared" si="1"/>
        <v>URBS 4</v>
      </c>
      <c r="O493" s="109" t="str">
        <f>Cadastro!$O493</f>
        <v>https://monitoramento.pm.pr.gov.br/proxy_image_4/Interface/Cameras/GetJPEGStream?Camera=Camera26&amp;AuthUser=copom_DDTQ&amp;AuthPass=DDTQcopom&amp;Width=1024&amp;Height=768&amp;Quality=70&amp;FPS=10&amp;ResponseFormat=Text</v>
      </c>
      <c r="P493" s="106">
        <f>Cadastro!$P493</f>
        <v>1</v>
      </c>
    </row>
    <row r="494">
      <c r="A494" s="104" t="str">
        <f>Cadastro!$A494</f>
        <v>URBS 4</v>
      </c>
      <c r="B494" s="104" t="str">
        <f>Cadastro!$B494</f>
        <v>CURITIBA</v>
      </c>
      <c r="C494" s="107" t="str">
        <f>Cadastro!$C494</f>
        <v>https://monitoramento.pm.pr.gov.br/proxy_image_4/</v>
      </c>
      <c r="D494" s="105">
        <f>Cadastro!$D494</f>
        <v>48601</v>
      </c>
      <c r="E494" s="104" t="str">
        <f>Cadastro!$E494</f>
        <v>Camera27</v>
      </c>
      <c r="F494" s="104" t="str">
        <f>Cadastro!$F494</f>
        <v>ET Praça Rui Barbosa &gt; Pinheirinho &gt; Catraca 2</v>
      </c>
      <c r="G494" s="104" t="str">
        <f>Cadastro!$G494</f>
        <v>-25.436155</v>
      </c>
      <c r="H494" s="104" t="str">
        <f>Cadastro!$H494</f>
        <v>-49.274053</v>
      </c>
      <c r="I494" s="104" t="str">
        <f>Cadastro!$I494</f>
        <v>copom_DDTQ</v>
      </c>
      <c r="J494" s="104" t="str">
        <f>Cadastro!$J494</f>
        <v>DDTQcopom</v>
      </c>
      <c r="K494" s="104" t="s">
        <v>4536</v>
      </c>
      <c r="L494" s="104" t="s">
        <v>26</v>
      </c>
      <c r="M494" s="104" t="s">
        <v>27</v>
      </c>
      <c r="N494" s="108" t="str">
        <f t="shared" si="1"/>
        <v>URBS 4</v>
      </c>
      <c r="O494" s="109" t="str">
        <f>Cadastro!$O494</f>
        <v>https://monitoramento.pm.pr.gov.br/proxy_image_4/Interface/Cameras/GetJPEGStream?Camera=Camera27&amp;AuthUser=copom_DDTQ&amp;AuthPass=DDTQcopom&amp;Width=1024&amp;Height=768&amp;Quality=70&amp;FPS=10&amp;ResponseFormat=Text</v>
      </c>
      <c r="P494" s="106">
        <f>Cadastro!$P494</f>
        <v>1</v>
      </c>
    </row>
    <row r="495">
      <c r="A495" s="104" t="str">
        <f>Cadastro!$A495</f>
        <v>URBS 4</v>
      </c>
      <c r="B495" s="104" t="str">
        <f>Cadastro!$B495</f>
        <v>CURITIBA</v>
      </c>
      <c r="C495" s="107" t="str">
        <f>Cadastro!$C495</f>
        <v>https://monitoramento.pm.pr.gov.br/proxy_image_4/</v>
      </c>
      <c r="D495" s="105">
        <f>Cadastro!$D495</f>
        <v>48601</v>
      </c>
      <c r="E495" s="104" t="str">
        <f>Cadastro!$E495</f>
        <v>Camera28</v>
      </c>
      <c r="F495" s="104" t="str">
        <f>Cadastro!$F495</f>
        <v>ET Praça Rui Barbosa &gt; Pinheirinho &gt; Catraca 3</v>
      </c>
      <c r="G495" s="104" t="str">
        <f>Cadastro!$G495</f>
        <v>-25.436106</v>
      </c>
      <c r="H495" s="104" t="str">
        <f>Cadastro!$H495</f>
        <v>-49.274140</v>
      </c>
      <c r="I495" s="104" t="str">
        <f>Cadastro!$I495</f>
        <v>copom_DDTQ</v>
      </c>
      <c r="J495" s="104" t="str">
        <f>Cadastro!$J495</f>
        <v>DDTQcopom</v>
      </c>
      <c r="K495" s="104" t="s">
        <v>4536</v>
      </c>
      <c r="L495" s="104" t="s">
        <v>26</v>
      </c>
      <c r="M495" s="104" t="s">
        <v>27</v>
      </c>
      <c r="N495" s="108" t="str">
        <f t="shared" si="1"/>
        <v>URBS 4</v>
      </c>
      <c r="O495" s="109" t="str">
        <f>Cadastro!$O495</f>
        <v>https://monitoramento.pm.pr.gov.br/proxy_image_4/Interface/Cameras/GetJPEGStream?Camera=Camera28&amp;AuthUser=copom_DDTQ&amp;AuthPass=DDTQcopom&amp;Width=1024&amp;Height=768&amp;Quality=70&amp;FPS=10&amp;ResponseFormat=Text</v>
      </c>
      <c r="P495" s="106">
        <f>Cadastro!$P495</f>
        <v>1</v>
      </c>
    </row>
    <row r="496">
      <c r="A496" s="104" t="str">
        <f>Cadastro!$A496</f>
        <v>URBS 4</v>
      </c>
      <c r="B496" s="104" t="str">
        <f>Cadastro!$B496</f>
        <v>CURITIBA</v>
      </c>
      <c r="C496" s="107" t="str">
        <f>Cadastro!$C496</f>
        <v>https://monitoramento.pm.pr.gov.br/proxy_image_4/</v>
      </c>
      <c r="D496" s="105">
        <f>Cadastro!$D496</f>
        <v>48601</v>
      </c>
      <c r="E496" s="104" t="str">
        <f>Cadastro!$E496</f>
        <v>Camera29</v>
      </c>
      <c r="F496" s="104" t="str">
        <f>Cadastro!$F496</f>
        <v>ET Praça Rui Barbosa &gt; Pinheirinho &gt; Catraca 4</v>
      </c>
      <c r="G496" s="104" t="str">
        <f>Cadastro!$G496</f>
        <v>-25.436130</v>
      </c>
      <c r="H496" s="104" t="str">
        <f>Cadastro!$H496</f>
        <v>-49.274049</v>
      </c>
      <c r="I496" s="104" t="str">
        <f>Cadastro!$I496</f>
        <v>copom_DDTQ</v>
      </c>
      <c r="J496" s="104" t="str">
        <f>Cadastro!$J496</f>
        <v>DDTQcopom</v>
      </c>
      <c r="K496" s="104" t="s">
        <v>4536</v>
      </c>
      <c r="L496" s="104" t="s">
        <v>26</v>
      </c>
      <c r="M496" s="104" t="s">
        <v>27</v>
      </c>
      <c r="N496" s="108" t="str">
        <f t="shared" si="1"/>
        <v>URBS 4</v>
      </c>
      <c r="O496" s="109" t="str">
        <f>Cadastro!$O496</f>
        <v>https://monitoramento.pm.pr.gov.br/proxy_image_4/Interface/Cameras/GetJPEGStream?Camera=Camera29&amp;AuthUser=copom_DDTQ&amp;AuthPass=DDTQcopom&amp;Width=1024&amp;Height=768&amp;Quality=70&amp;FPS=10&amp;ResponseFormat=Text</v>
      </c>
      <c r="P496" s="106">
        <f>Cadastro!$P496</f>
        <v>1</v>
      </c>
    </row>
    <row r="497">
      <c r="A497" s="104" t="str">
        <f>Cadastro!$A497</f>
        <v>URBS 4</v>
      </c>
      <c r="B497" s="104" t="str">
        <f>Cadastro!$B497</f>
        <v>CURITIBA</v>
      </c>
      <c r="C497" s="107" t="str">
        <f>Cadastro!$C497</f>
        <v>https://monitoramento.pm.pr.gov.br/proxy_image_4/</v>
      </c>
      <c r="D497" s="105">
        <f>Cadastro!$D497</f>
        <v>48601</v>
      </c>
      <c r="E497" s="104" t="str">
        <f>Cadastro!$E497</f>
        <v>Camera30</v>
      </c>
      <c r="F497" s="104" t="str">
        <f>Cadastro!$F497</f>
        <v>ET Praça Rui Barbosa &gt; Centenario &gt; Catraca</v>
      </c>
      <c r="G497" s="104" t="str">
        <f>Cadastro!$G497</f>
        <v>-25.436005</v>
      </c>
      <c r="H497" s="104" t="str">
        <f>Cadastro!$H497</f>
        <v>-49.274862</v>
      </c>
      <c r="I497" s="104" t="str">
        <f>Cadastro!$I497</f>
        <v>copom_DDTQ</v>
      </c>
      <c r="J497" s="104" t="str">
        <f>Cadastro!$J497</f>
        <v>DDTQcopom</v>
      </c>
      <c r="K497" s="104" t="s">
        <v>4536</v>
      </c>
      <c r="L497" s="104" t="s">
        <v>26</v>
      </c>
      <c r="M497" s="104" t="s">
        <v>27</v>
      </c>
      <c r="N497" s="108" t="str">
        <f t="shared" si="1"/>
        <v>URBS 4</v>
      </c>
      <c r="O497" s="109" t="str">
        <f>Cadastro!$O497</f>
        <v>https://monitoramento.pm.pr.gov.br/proxy_image_4/Interface/Cameras/GetJPEGStream?Camera=Camera30&amp;AuthUser=copom_DDTQ&amp;AuthPass=DDTQcopom&amp;Width=1024&amp;Height=768&amp;Quality=70&amp;FPS=10&amp;ResponseFormat=Text</v>
      </c>
      <c r="P497" s="106">
        <f>Cadastro!$P497</f>
        <v>1</v>
      </c>
    </row>
    <row r="498">
      <c r="A498" s="104" t="str">
        <f>Cadastro!$A498</f>
        <v>URBS 4</v>
      </c>
      <c r="B498" s="104" t="str">
        <f>Cadastro!$B498</f>
        <v>CURITIBA</v>
      </c>
      <c r="C498" s="107" t="str">
        <f>Cadastro!$C498</f>
        <v>https://monitoramento.pm.pr.gov.br/proxy_image_4/</v>
      </c>
      <c r="D498" s="105">
        <f>Cadastro!$D498</f>
        <v>48601</v>
      </c>
      <c r="E498" s="104" t="str">
        <f>Cadastro!$E498</f>
        <v>Camera31</v>
      </c>
      <c r="F498" s="104" t="str">
        <f>Cadastro!$F498</f>
        <v>ET João Vianna Seiler &gt; Bairro Parolin</v>
      </c>
      <c r="G498" s="104" t="str">
        <f>Cadastro!$G498</f>
        <v>-25.455458</v>
      </c>
      <c r="H498" s="104" t="str">
        <f>Cadastro!$H498</f>
        <v>-49.260067</v>
      </c>
      <c r="I498" s="104" t="str">
        <f>Cadastro!$I498</f>
        <v>copom_DDTQ</v>
      </c>
      <c r="J498" s="104" t="str">
        <f>Cadastro!$J498</f>
        <v>DDTQcopom</v>
      </c>
      <c r="K498" s="104" t="s">
        <v>4536</v>
      </c>
      <c r="L498" s="104" t="s">
        <v>26</v>
      </c>
      <c r="M498" s="104" t="s">
        <v>27</v>
      </c>
      <c r="N498" s="108" t="str">
        <f t="shared" si="1"/>
        <v>URBS 4</v>
      </c>
      <c r="O498" s="109" t="str">
        <f>Cadastro!$O498</f>
        <v>https://monitoramento.pm.pr.gov.br/proxy_image_4/Interface/Cameras/GetJPEGStream?Camera=Camera31&amp;AuthUser=copom_DDTQ&amp;AuthPass=DDTQcopom&amp;Width=1024&amp;Height=768&amp;Quality=70&amp;FPS=10&amp;ResponseFormat=Text</v>
      </c>
      <c r="P498" s="106">
        <f>Cadastro!$P498</f>
        <v>1</v>
      </c>
    </row>
    <row r="499">
      <c r="A499" s="104" t="str">
        <f>Cadastro!$A499</f>
        <v>URBS 4</v>
      </c>
      <c r="B499" s="104" t="str">
        <f>Cadastro!$B499</f>
        <v>CURITIBA</v>
      </c>
      <c r="C499" s="107" t="str">
        <f>Cadastro!$C499</f>
        <v>https://monitoramento.pm.pr.gov.br/proxy_image_4/</v>
      </c>
      <c r="D499" s="105">
        <f>Cadastro!$D499</f>
        <v>48601</v>
      </c>
      <c r="E499" s="104" t="str">
        <f>Cadastro!$E499</f>
        <v>Camera32</v>
      </c>
      <c r="F499" s="104" t="str">
        <f>Cadastro!$F499</f>
        <v>PANE ET Getulio vargas &gt; Bairro</v>
      </c>
      <c r="G499" s="104" t="str">
        <f>Cadastro!$G499</f>
        <v>-25.444699</v>
      </c>
      <c r="H499" s="104" t="str">
        <f>Cadastro!$H499</f>
        <v>-49.265302</v>
      </c>
      <c r="I499" s="104" t="str">
        <f>Cadastro!$I499</f>
        <v>copom_DDTQ</v>
      </c>
      <c r="J499" s="104" t="str">
        <f>Cadastro!$J499</f>
        <v>DDTQcopom</v>
      </c>
      <c r="K499" s="104" t="s">
        <v>4536</v>
      </c>
      <c r="L499" s="104" t="s">
        <v>26</v>
      </c>
      <c r="M499" s="104" t="s">
        <v>27</v>
      </c>
      <c r="N499" s="108" t="str">
        <f t="shared" si="1"/>
        <v>URBS 4</v>
      </c>
      <c r="O499" s="109" t="str">
        <f>Cadastro!$O499</f>
        <v>https://monitoramento.pm.pr.gov.br/proxy_image_4/Interface/Cameras/GetJPEGStream?Camera=Camera32&amp;AuthUser=copom_DDTQ&amp;AuthPass=DDTQcopom&amp;Width=1024&amp;Height=768&amp;Quality=70&amp;FPS=10&amp;ResponseFormat=Text</v>
      </c>
      <c r="P499" s="106">
        <f>Cadastro!$P499</f>
        <v>1</v>
      </c>
    </row>
    <row r="500">
      <c r="A500" s="104" t="str">
        <f>Cadastro!$A500</f>
        <v>URBS 4</v>
      </c>
      <c r="B500" s="104" t="str">
        <f>Cadastro!$B500</f>
        <v>CURITIBA</v>
      </c>
      <c r="C500" s="107" t="str">
        <f>Cadastro!$C500</f>
        <v>https://monitoramento.pm.pr.gov.br/proxy_image_4/</v>
      </c>
      <c r="D500" s="105">
        <f>Cadastro!$D500</f>
        <v>48601</v>
      </c>
      <c r="E500" s="104" t="str">
        <f>Cadastro!$E500</f>
        <v>Camera33</v>
      </c>
      <c r="F500" s="104" t="str">
        <f>Cadastro!$F500</f>
        <v>ET TRE &gt; Bairro</v>
      </c>
      <c r="G500" s="104" t="str">
        <f>Cadastro!$G500</f>
        <v>-25.459171</v>
      </c>
      <c r="H500" s="104" t="str">
        <f>Cadastro!$H500</f>
        <v>-49.258253</v>
      </c>
      <c r="I500" s="104" t="str">
        <f>Cadastro!$I500</f>
        <v>copom_DDTQ</v>
      </c>
      <c r="J500" s="104" t="str">
        <f>Cadastro!$J500</f>
        <v>DDTQcopom</v>
      </c>
      <c r="K500" s="104" t="s">
        <v>4536</v>
      </c>
      <c r="L500" s="104" t="s">
        <v>26</v>
      </c>
      <c r="M500" s="104" t="s">
        <v>27</v>
      </c>
      <c r="N500" s="108" t="str">
        <f t="shared" si="1"/>
        <v>URBS 4</v>
      </c>
      <c r="O500" s="109" t="str">
        <f>Cadastro!$O500</f>
        <v>https://monitoramento.pm.pr.gov.br/proxy_image_4/Interface/Cameras/GetJPEGStream?Camera=Camera33&amp;AuthUser=copom_DDTQ&amp;AuthPass=DDTQcopom&amp;Width=1024&amp;Height=768&amp;Quality=70&amp;FPS=10&amp;ResponseFormat=Text</v>
      </c>
      <c r="P500" s="106">
        <f>Cadastro!$P500</f>
        <v>1</v>
      </c>
    </row>
    <row r="501">
      <c r="A501" s="104" t="str">
        <f>Cadastro!$A501</f>
        <v>URBS 4</v>
      </c>
      <c r="B501" s="104" t="str">
        <f>Cadastro!$B501</f>
        <v>CURITIBA</v>
      </c>
      <c r="C501" s="107" t="str">
        <f>Cadastro!$C501</f>
        <v>https://monitoramento.pm.pr.gov.br/proxy_image_4/</v>
      </c>
      <c r="D501" s="105">
        <f>Cadastro!$D501</f>
        <v>48601</v>
      </c>
      <c r="E501" s="104" t="str">
        <f>Cadastro!$E501</f>
        <v>Camera34</v>
      </c>
      <c r="F501" s="104" t="str">
        <f>Cadastro!$F501</f>
        <v>ET Eufrasio Correia &gt; Norte 1</v>
      </c>
      <c r="G501" s="104" t="str">
        <f>Cadastro!$G501</f>
        <v>-25.437613</v>
      </c>
      <c r="H501" s="104" t="str">
        <f>Cadastro!$H501</f>
        <v>-49.266786</v>
      </c>
      <c r="I501" s="104" t="str">
        <f>Cadastro!$I501</f>
        <v>copom_DDTQ</v>
      </c>
      <c r="J501" s="104" t="str">
        <f>Cadastro!$J501</f>
        <v>DDTQcopom</v>
      </c>
      <c r="K501" s="104" t="s">
        <v>4536</v>
      </c>
      <c r="L501" s="104" t="s">
        <v>26</v>
      </c>
      <c r="M501" s="104" t="s">
        <v>27</v>
      </c>
      <c r="N501" s="108" t="str">
        <f t="shared" si="1"/>
        <v>URBS 4</v>
      </c>
      <c r="O501" s="109" t="str">
        <f>Cadastro!$O501</f>
        <v>https://monitoramento.pm.pr.gov.br/proxy_image_4/Interface/Cameras/GetJPEGStream?Camera=Camera34&amp;AuthUser=copom_DDTQ&amp;AuthPass=DDTQcopom&amp;Width=1024&amp;Height=768&amp;Quality=70&amp;FPS=10&amp;ResponseFormat=Text</v>
      </c>
      <c r="P501" s="106">
        <f>Cadastro!$P501</f>
        <v>1</v>
      </c>
    </row>
    <row r="502">
      <c r="A502" s="104" t="str">
        <f>Cadastro!$A502</f>
        <v>URBS 4</v>
      </c>
      <c r="B502" s="104" t="str">
        <f>Cadastro!$B502</f>
        <v>CURITIBA</v>
      </c>
      <c r="C502" s="107" t="str">
        <f>Cadastro!$C502</f>
        <v>https://monitoramento.pm.pr.gov.br/proxy_image_4/</v>
      </c>
      <c r="D502" s="105">
        <f>Cadastro!$D502</f>
        <v>48601</v>
      </c>
      <c r="E502" s="104" t="str">
        <f>Cadastro!$E502</f>
        <v>Camera35</v>
      </c>
      <c r="F502" s="104" t="str">
        <f>Cadastro!$F502</f>
        <v>PANE ET Alm. Gonçalves &gt; Bairro</v>
      </c>
      <c r="G502" s="104" t="str">
        <f>Cadastro!$G502</f>
        <v>-25.448526</v>
      </c>
      <c r="H502" s="104" t="str">
        <f>Cadastro!$H502</f>
        <v>-49.263422</v>
      </c>
      <c r="I502" s="104" t="str">
        <f>Cadastro!$I502</f>
        <v>copom_DDTQ</v>
      </c>
      <c r="J502" s="104" t="str">
        <f>Cadastro!$J502</f>
        <v>DDTQcopom</v>
      </c>
      <c r="K502" s="104" t="s">
        <v>4536</v>
      </c>
      <c r="L502" s="104" t="s">
        <v>26</v>
      </c>
      <c r="M502" s="104" t="s">
        <v>27</v>
      </c>
      <c r="N502" s="108" t="str">
        <f t="shared" si="1"/>
        <v>URBS 4</v>
      </c>
      <c r="O502" s="109" t="str">
        <f>Cadastro!$O502</f>
        <v>https://monitoramento.pm.pr.gov.br/proxy_image_4/Interface/Cameras/GetJPEGStream?Camera=Camera35&amp;AuthUser=copom_DDTQ&amp;AuthPass=DDTQcopom&amp;Width=1024&amp;Height=768&amp;Quality=70&amp;FPS=10&amp;ResponseFormat=Text</v>
      </c>
      <c r="P502" s="106">
        <f>Cadastro!$P502</f>
        <v>1</v>
      </c>
    </row>
    <row r="503">
      <c r="A503" s="104" t="str">
        <f>Cadastro!$A503</f>
        <v>URBS 4</v>
      </c>
      <c r="B503" s="104" t="str">
        <f>Cadastro!$B503</f>
        <v>CURITIBA</v>
      </c>
      <c r="C503" s="107" t="str">
        <f>Cadastro!$C503</f>
        <v>https://monitoramento.pm.pr.gov.br/proxy_image_4/</v>
      </c>
      <c r="D503" s="105">
        <f>Cadastro!$D503</f>
        <v>48601</v>
      </c>
      <c r="E503" s="104" t="str">
        <f>Cadastro!$E503</f>
        <v>Camera36</v>
      </c>
      <c r="F503" s="104" t="str">
        <f>Cadastro!$F503</f>
        <v>ET Conselheiro Dantas &gt; Bairro Parolin</v>
      </c>
      <c r="G503" s="104" t="str">
        <f>Cadastro!$G503</f>
        <v>-25.452492</v>
      </c>
      <c r="H503" s="104" t="str">
        <f>Cadastro!$H503</f>
        <v>-49.261524</v>
      </c>
      <c r="I503" s="104" t="str">
        <f>Cadastro!$I503</f>
        <v>copom_DDTQ</v>
      </c>
      <c r="J503" s="104" t="str">
        <f>Cadastro!$J503</f>
        <v>DDTQcopom</v>
      </c>
      <c r="K503" s="104" t="s">
        <v>4536</v>
      </c>
      <c r="L503" s="104" t="s">
        <v>26</v>
      </c>
      <c r="M503" s="104" t="s">
        <v>27</v>
      </c>
      <c r="N503" s="108" t="str">
        <f t="shared" si="1"/>
        <v>URBS 4</v>
      </c>
      <c r="O503" s="109" t="str">
        <f>Cadastro!$O503</f>
        <v>https://monitoramento.pm.pr.gov.br/proxy_image_4/Interface/Cameras/GetJPEGStream?Camera=Camera36&amp;AuthUser=copom_DDTQ&amp;AuthPass=DDTQcopom&amp;Width=1024&amp;Height=768&amp;Quality=70&amp;FPS=10&amp;ResponseFormat=Text</v>
      </c>
      <c r="P503" s="106">
        <f>Cadastro!$P503</f>
        <v>1</v>
      </c>
    </row>
    <row r="504">
      <c r="A504" s="104" t="str">
        <f>Cadastro!$A504</f>
        <v>URBS 4</v>
      </c>
      <c r="B504" s="104" t="str">
        <f>Cadastro!$B504</f>
        <v>CURITIBA</v>
      </c>
      <c r="C504" s="107" t="str">
        <f>Cadastro!$C504</f>
        <v>https://monitoramento.pm.pr.gov.br/proxy_image_4/</v>
      </c>
      <c r="D504" s="105">
        <f>Cadastro!$D504</f>
        <v>48601</v>
      </c>
      <c r="E504" s="104" t="str">
        <f>Cadastro!$E504</f>
        <v>Camera37</v>
      </c>
      <c r="F504" s="104" t="str">
        <f>Cadastro!$F504</f>
        <v>ET Getulio vargas &gt; Centro</v>
      </c>
      <c r="G504" s="104" t="str">
        <f>Cadastro!$G504</f>
        <v>-25.443603</v>
      </c>
      <c r="H504" s="104" t="str">
        <f>Cadastro!$H504</f>
        <v>-49.265709</v>
      </c>
      <c r="I504" s="104" t="str">
        <f>Cadastro!$I504</f>
        <v>copom_DDTQ</v>
      </c>
      <c r="J504" s="104" t="str">
        <f>Cadastro!$J504</f>
        <v>DDTQcopom</v>
      </c>
      <c r="K504" s="104" t="s">
        <v>4536</v>
      </c>
      <c r="L504" s="104" t="s">
        <v>26</v>
      </c>
      <c r="M504" s="104" t="s">
        <v>27</v>
      </c>
      <c r="N504" s="108" t="str">
        <f t="shared" si="1"/>
        <v>URBS 4</v>
      </c>
      <c r="O504" s="109" t="str">
        <f>Cadastro!$O504</f>
        <v>https://monitoramento.pm.pr.gov.br/proxy_image_4/Interface/Cameras/GetJPEGStream?Camera=Camera37&amp;AuthUser=copom_DDTQ&amp;AuthPass=DDTQcopom&amp;Width=1024&amp;Height=768&amp;Quality=70&amp;FPS=10&amp;ResponseFormat=Text</v>
      </c>
      <c r="P504" s="106">
        <f>Cadastro!$P504</f>
        <v>1</v>
      </c>
    </row>
    <row r="505">
      <c r="A505" s="104" t="str">
        <f>Cadastro!$A505</f>
        <v>URBS 4</v>
      </c>
      <c r="B505" s="104" t="str">
        <f>Cadastro!$B505</f>
        <v>CURITIBA</v>
      </c>
      <c r="C505" s="107" t="str">
        <f>Cadastro!$C505</f>
        <v>https://monitoramento.pm.pr.gov.br/proxy_image_4/</v>
      </c>
      <c r="D505" s="105">
        <f>Cadastro!$D505</f>
        <v>48601</v>
      </c>
      <c r="E505" s="104" t="str">
        <f>Cadastro!$E505</f>
        <v>Camera38</v>
      </c>
      <c r="F505" s="104" t="str">
        <f>Cadastro!$F505</f>
        <v>ET Alm. Gonçalves &gt; Centro</v>
      </c>
      <c r="G505" s="104" t="str">
        <f>Cadastro!$G505</f>
        <v>-25.447471</v>
      </c>
      <c r="H505" s="104" t="str">
        <f>Cadastro!$H505</f>
        <v>-49.263811</v>
      </c>
      <c r="I505" s="104" t="str">
        <f>Cadastro!$I505</f>
        <v>copom_DDTQ</v>
      </c>
      <c r="J505" s="104" t="str">
        <f>Cadastro!$J505</f>
        <v>DDTQcopom</v>
      </c>
      <c r="K505" s="104" t="s">
        <v>4536</v>
      </c>
      <c r="L505" s="104" t="s">
        <v>26</v>
      </c>
      <c r="M505" s="104" t="s">
        <v>27</v>
      </c>
      <c r="N505" s="108" t="str">
        <f t="shared" si="1"/>
        <v>URBS 4</v>
      </c>
      <c r="O505" s="109" t="str">
        <f>Cadastro!$O505</f>
        <v>https://monitoramento.pm.pr.gov.br/proxy_image_4/Interface/Cameras/GetJPEGStream?Camera=Camera38&amp;AuthUser=copom_DDTQ&amp;AuthPass=DDTQcopom&amp;Width=1024&amp;Height=768&amp;Quality=70&amp;FPS=10&amp;ResponseFormat=Text</v>
      </c>
      <c r="P505" s="106">
        <f>Cadastro!$P505</f>
        <v>1</v>
      </c>
    </row>
    <row r="506">
      <c r="A506" s="104" t="str">
        <f>Cadastro!$A506</f>
        <v>URBS 4</v>
      </c>
      <c r="B506" s="104" t="str">
        <f>Cadastro!$B506</f>
        <v>CURITIBA</v>
      </c>
      <c r="C506" s="107" t="str">
        <f>Cadastro!$C506</f>
        <v>https://monitoramento.pm.pr.gov.br/proxy_image_4/</v>
      </c>
      <c r="D506" s="105">
        <f>Cadastro!$D506</f>
        <v>48601</v>
      </c>
      <c r="E506" s="104" t="str">
        <f>Cadastro!$E506</f>
        <v>Camera40</v>
      </c>
      <c r="F506" s="104" t="str">
        <f>Cadastro!$F506</f>
        <v>ET Mariano Torres &gt; C. Comprido</v>
      </c>
      <c r="G506" s="104" t="str">
        <f>Cadastro!$G506</f>
        <v>-25.435646</v>
      </c>
      <c r="H506" s="104" t="str">
        <f>Cadastro!$H506</f>
        <v>-49.260779</v>
      </c>
      <c r="I506" s="104" t="str">
        <f>Cadastro!$I506</f>
        <v>copom_DDTQ</v>
      </c>
      <c r="J506" s="104" t="str">
        <f>Cadastro!$J506</f>
        <v>DDTQcopom</v>
      </c>
      <c r="K506" s="104" t="s">
        <v>4536</v>
      </c>
      <c r="L506" s="104" t="s">
        <v>26</v>
      </c>
      <c r="M506" s="104" t="s">
        <v>27</v>
      </c>
      <c r="N506" s="108" t="str">
        <f t="shared" si="1"/>
        <v>URBS 4</v>
      </c>
      <c r="O506" s="109" t="str">
        <f>Cadastro!$O506</f>
        <v>https://monitoramento.pm.pr.gov.br/proxy_image_4/Interface/Cameras/GetJPEGStream?Camera=Camera40&amp;AuthUser=copom_DDTQ&amp;AuthPass=DDTQcopom&amp;Width=1024&amp;Height=768&amp;Quality=70&amp;FPS=10&amp;ResponseFormat=Text</v>
      </c>
      <c r="P506" s="106">
        <f>Cadastro!$P506</f>
        <v>1</v>
      </c>
    </row>
    <row r="507">
      <c r="A507" s="104" t="str">
        <f>Cadastro!$A507</f>
        <v>URBS 4</v>
      </c>
      <c r="B507" s="104" t="str">
        <f>Cadastro!$B507</f>
        <v>CURITIBA</v>
      </c>
      <c r="C507" s="107" t="str">
        <f>Cadastro!$C507</f>
        <v>https://monitoramento.pm.pr.gov.br/proxy_image_4/</v>
      </c>
      <c r="D507" s="105">
        <f>Cadastro!$D507</f>
        <v>48601</v>
      </c>
      <c r="E507" s="104" t="str">
        <f>Cadastro!$E507</f>
        <v>Camera41</v>
      </c>
      <c r="F507" s="104" t="str">
        <f>Cadastro!$F507</f>
        <v>Terminal Campina do Siqueira &gt; Inter II &gt; horario</v>
      </c>
      <c r="G507" s="104" t="str">
        <f>Cadastro!$G507</f>
        <v>-25.436238</v>
      </c>
      <c r="H507" s="104" t="str">
        <f>Cadastro!$H507</f>
        <v>-49.307512</v>
      </c>
      <c r="I507" s="104" t="str">
        <f>Cadastro!$I507</f>
        <v>copom_DDTQ</v>
      </c>
      <c r="J507" s="104" t="str">
        <f>Cadastro!$J507</f>
        <v>DDTQcopom</v>
      </c>
      <c r="K507" s="104" t="s">
        <v>4536</v>
      </c>
      <c r="L507" s="104" t="s">
        <v>26</v>
      </c>
      <c r="M507" s="104" t="s">
        <v>27</v>
      </c>
      <c r="N507" s="108" t="str">
        <f t="shared" si="1"/>
        <v>URBS 4</v>
      </c>
      <c r="O507" s="109" t="str">
        <f>Cadastro!$O507</f>
        <v>https://monitoramento.pm.pr.gov.br/proxy_image_4/Interface/Cameras/GetJPEGStream?Camera=Camera41&amp;AuthUser=copom_DDTQ&amp;AuthPass=DDTQcopom&amp;Width=1024&amp;Height=768&amp;Quality=70&amp;FPS=10&amp;ResponseFormat=Text</v>
      </c>
      <c r="P507" s="106">
        <f>Cadastro!$P507</f>
        <v>1</v>
      </c>
    </row>
    <row r="508">
      <c r="A508" s="104" t="str">
        <f>Cadastro!$A508</f>
        <v>URBS 4</v>
      </c>
      <c r="B508" s="104" t="str">
        <f>Cadastro!$B508</f>
        <v>CURITIBA</v>
      </c>
      <c r="C508" s="107" t="str">
        <f>Cadastro!$C508</f>
        <v>https://monitoramento.pm.pr.gov.br/proxy_image_4/</v>
      </c>
      <c r="D508" s="105">
        <f>Cadastro!$D508</f>
        <v>48601</v>
      </c>
      <c r="E508" s="104" t="str">
        <f>Cadastro!$E508</f>
        <v>Camera42</v>
      </c>
      <c r="F508" s="104" t="str">
        <f>Cadastro!$F508</f>
        <v>Terminal Campina do Siqueira &gt; Pinhais &gt; Pinhais</v>
      </c>
      <c r="G508" s="104" t="str">
        <f>Cadastro!$G508</f>
        <v>-25.436110</v>
      </c>
      <c r="H508" s="104" t="str">
        <f>Cadastro!$H508</f>
        <v>-49.307206</v>
      </c>
      <c r="I508" s="104" t="str">
        <f>Cadastro!$I508</f>
        <v>copom_DDTQ</v>
      </c>
      <c r="J508" s="104" t="str">
        <f>Cadastro!$J508</f>
        <v>DDTQcopom</v>
      </c>
      <c r="K508" s="104" t="s">
        <v>4536</v>
      </c>
      <c r="L508" s="104" t="s">
        <v>26</v>
      </c>
      <c r="M508" s="104" t="s">
        <v>27</v>
      </c>
      <c r="N508" s="108" t="str">
        <f t="shared" si="1"/>
        <v>URBS 4</v>
      </c>
      <c r="O508" s="109" t="str">
        <f>Cadastro!$O508</f>
        <v>https://monitoramento.pm.pr.gov.br/proxy_image_4/Interface/Cameras/GetJPEGStream?Camera=Camera42&amp;AuthUser=copom_DDTQ&amp;AuthPass=DDTQcopom&amp;Width=1024&amp;Height=768&amp;Quality=70&amp;FPS=10&amp;ResponseFormat=Text</v>
      </c>
      <c r="P508" s="106">
        <f>Cadastro!$P508</f>
        <v>1</v>
      </c>
    </row>
    <row r="509">
      <c r="A509" s="104" t="str">
        <f>Cadastro!$A509</f>
        <v>URBS 4</v>
      </c>
      <c r="B509" s="104" t="str">
        <f>Cadastro!$B509</f>
        <v>CURITIBA</v>
      </c>
      <c r="C509" s="107" t="str">
        <f>Cadastro!$C509</f>
        <v>https://monitoramento.pm.pr.gov.br/proxy_image_4/</v>
      </c>
      <c r="D509" s="105">
        <f>Cadastro!$D509</f>
        <v>48601</v>
      </c>
      <c r="E509" s="104" t="str">
        <f>Cadastro!$E509</f>
        <v>Camera43</v>
      </c>
      <c r="F509" s="104" t="str">
        <f>Cadastro!$F509</f>
        <v>Terminal Capão da Imbuia &gt; Inter II &gt; A. Horario</v>
      </c>
      <c r="G509" s="104" t="str">
        <f>Cadastro!$G509</f>
        <v>-25.439707</v>
      </c>
      <c r="H509" s="104" t="str">
        <f>Cadastro!$H509</f>
        <v>-49.222075</v>
      </c>
      <c r="I509" s="104" t="str">
        <f>Cadastro!$I509</f>
        <v>copom_DDTQ</v>
      </c>
      <c r="J509" s="104" t="str">
        <f>Cadastro!$J509</f>
        <v>DDTQcopom</v>
      </c>
      <c r="K509" s="104" t="s">
        <v>4536</v>
      </c>
      <c r="L509" s="104" t="s">
        <v>26</v>
      </c>
      <c r="M509" s="104" t="s">
        <v>27</v>
      </c>
      <c r="N509" s="108" t="str">
        <f t="shared" si="1"/>
        <v>URBS 4</v>
      </c>
      <c r="O509" s="109" t="str">
        <f>Cadastro!$O509</f>
        <v>https://monitoramento.pm.pr.gov.br/proxy_image_4/Interface/Cameras/GetJPEGStream?Camera=Camera43&amp;AuthUser=copom_DDTQ&amp;AuthPass=DDTQcopom&amp;Width=1024&amp;Height=768&amp;Quality=70&amp;FPS=10&amp;ResponseFormat=Text</v>
      </c>
      <c r="P509" s="106">
        <f>Cadastro!$P509</f>
        <v>1</v>
      </c>
    </row>
    <row r="510">
      <c r="A510" s="104" t="str">
        <f>Cadastro!$A510</f>
        <v>URBS 4</v>
      </c>
      <c r="B510" s="104" t="str">
        <f>Cadastro!$B510</f>
        <v>CURITIBA</v>
      </c>
      <c r="C510" s="107" t="str">
        <f>Cadastro!$C510</f>
        <v>https://monitoramento.pm.pr.gov.br/proxy_image_4/</v>
      </c>
      <c r="D510" s="105">
        <f>Cadastro!$D510</f>
        <v>48601</v>
      </c>
      <c r="E510" s="104" t="str">
        <f>Cadastro!$E510</f>
        <v>Camera44</v>
      </c>
      <c r="F510" s="104" t="str">
        <f>Cadastro!$F510</f>
        <v>Terminal Campina do Siqueira &gt; Pinhais &gt; Pinhais</v>
      </c>
      <c r="G510" s="104" t="str">
        <f>Cadastro!$G510</f>
        <v>-25.435752</v>
      </c>
      <c r="H510" s="104" t="str">
        <f>Cadastro!$H510</f>
        <v>-49.307346</v>
      </c>
      <c r="I510" s="104" t="str">
        <f>Cadastro!$I510</f>
        <v>copom_DDTQ</v>
      </c>
      <c r="J510" s="104" t="str">
        <f>Cadastro!$J510</f>
        <v>DDTQcopom</v>
      </c>
      <c r="K510" s="104" t="s">
        <v>4536</v>
      </c>
      <c r="L510" s="104" t="s">
        <v>26</v>
      </c>
      <c r="M510" s="104" t="s">
        <v>27</v>
      </c>
      <c r="N510" s="108" t="str">
        <f t="shared" si="1"/>
        <v>URBS 4</v>
      </c>
      <c r="O510" s="109" t="str">
        <f>Cadastro!$O510</f>
        <v>https://monitoramento.pm.pr.gov.br/proxy_image_4/Interface/Cameras/GetJPEGStream?Camera=Camera44&amp;AuthUser=copom_DDTQ&amp;AuthPass=DDTQcopom&amp;Width=1024&amp;Height=768&amp;Quality=70&amp;FPS=10&amp;ResponseFormat=Text</v>
      </c>
      <c r="P510" s="106">
        <f>Cadastro!$P510</f>
        <v>1</v>
      </c>
    </row>
    <row r="511">
      <c r="A511" s="104" t="str">
        <f>Cadastro!$A511</f>
        <v>URBS 4</v>
      </c>
      <c r="B511" s="104" t="str">
        <f>Cadastro!$B511</f>
        <v>CURITIBA</v>
      </c>
      <c r="C511" s="107" t="str">
        <f>Cadastro!$C511</f>
        <v>https://monitoramento.pm.pr.gov.br/proxy_image_4/</v>
      </c>
      <c r="D511" s="105">
        <f>Cadastro!$D511</f>
        <v>48601</v>
      </c>
      <c r="E511" s="104" t="str">
        <f>Cadastro!$E511</f>
        <v>Camera45</v>
      </c>
      <c r="F511" s="104" t="str">
        <f>Cadastro!$F511</f>
        <v>Terminal Campina do Siqueira &gt; Interbairros II A. Horario</v>
      </c>
      <c r="G511" s="104" t="str">
        <f>Cadastro!$G511</f>
        <v>-25.436084</v>
      </c>
      <c r="H511" s="104" t="str">
        <f>Cadastro!$H511</f>
        <v>-49.307889</v>
      </c>
      <c r="I511" s="104" t="str">
        <f>Cadastro!$I511</f>
        <v>copom_DDTQ</v>
      </c>
      <c r="J511" s="104" t="str">
        <f>Cadastro!$J511</f>
        <v>DDTQcopom</v>
      </c>
      <c r="K511" s="104" t="s">
        <v>4536</v>
      </c>
      <c r="L511" s="104" t="s">
        <v>26</v>
      </c>
      <c r="M511" s="104" t="s">
        <v>27</v>
      </c>
      <c r="N511" s="108" t="str">
        <f t="shared" si="1"/>
        <v>URBS 4</v>
      </c>
      <c r="O511" s="109" t="str">
        <f>Cadastro!$O511</f>
        <v>https://monitoramento.pm.pr.gov.br/proxy_image_4/Interface/Cameras/GetJPEGStream?Camera=Camera45&amp;AuthUser=copom_DDTQ&amp;AuthPass=DDTQcopom&amp;Width=1024&amp;Height=768&amp;Quality=70&amp;FPS=10&amp;ResponseFormat=Text</v>
      </c>
      <c r="P511" s="106">
        <f>Cadastro!$P511</f>
        <v>1</v>
      </c>
    </row>
    <row r="512">
      <c r="A512" s="104" t="str">
        <f>Cadastro!$A512</f>
        <v>URBS 4</v>
      </c>
      <c r="B512" s="104" t="str">
        <f>Cadastro!$B512</f>
        <v>CURITIBA</v>
      </c>
      <c r="C512" s="107" t="str">
        <f>Cadastro!$C512</f>
        <v>https://monitoramento.pm.pr.gov.br/proxy_image_4/</v>
      </c>
      <c r="D512" s="105">
        <f>Cadastro!$D512</f>
        <v>48601</v>
      </c>
      <c r="E512" s="104" t="str">
        <f>Cadastro!$E512</f>
        <v>Camera46</v>
      </c>
      <c r="F512" s="104" t="str">
        <f>Cadastro!$F512</f>
        <v>Terminal Hauer &gt; Expresso &gt; Centro 2</v>
      </c>
      <c r="G512" s="104" t="str">
        <f>Cadastro!$G512</f>
        <v>-25.481980</v>
      </c>
      <c r="H512" s="104" t="str">
        <f>Cadastro!$H512</f>
        <v>-49.246868</v>
      </c>
      <c r="I512" s="104" t="str">
        <f>Cadastro!$I512</f>
        <v>copom_DDTQ</v>
      </c>
      <c r="J512" s="104" t="str">
        <f>Cadastro!$J512</f>
        <v>DDTQcopom</v>
      </c>
      <c r="K512" s="104" t="s">
        <v>4536</v>
      </c>
      <c r="L512" s="104" t="s">
        <v>26</v>
      </c>
      <c r="M512" s="104" t="s">
        <v>27</v>
      </c>
      <c r="N512" s="108" t="str">
        <f t="shared" si="1"/>
        <v>URBS 4</v>
      </c>
      <c r="O512" s="109" t="str">
        <f>Cadastro!$O512</f>
        <v>https://monitoramento.pm.pr.gov.br/proxy_image_4/Interface/Cameras/GetJPEGStream?Camera=Camera46&amp;AuthUser=copom_DDTQ&amp;AuthPass=DDTQcopom&amp;Width=1024&amp;Height=768&amp;Quality=70&amp;FPS=10&amp;ResponseFormat=Text</v>
      </c>
      <c r="P512" s="106">
        <f>Cadastro!$P512</f>
        <v>1</v>
      </c>
    </row>
    <row r="513">
      <c r="A513" s="104" t="str">
        <f>Cadastro!$A513</f>
        <v>URBS 4</v>
      </c>
      <c r="B513" s="104" t="str">
        <f>Cadastro!$B513</f>
        <v>CURITIBA</v>
      </c>
      <c r="C513" s="107" t="str">
        <f>Cadastro!$C513</f>
        <v>https://monitoramento.pm.pr.gov.br/proxy_image_4/</v>
      </c>
      <c r="D513" s="105">
        <f>Cadastro!$D513</f>
        <v>48601</v>
      </c>
      <c r="E513" s="104" t="str">
        <f>Cadastro!$E513</f>
        <v>Camera47</v>
      </c>
      <c r="F513" s="104" t="str">
        <f>Cadastro!$F513</f>
        <v>Terminal Campina do Siqueira &gt; Interbairros II &gt; Horario</v>
      </c>
      <c r="G513" s="104" t="str">
        <f>Cadastro!$G513</f>
        <v>-25.435835</v>
      </c>
      <c r="H513" s="104" t="str">
        <f>Cadastro!$H513</f>
        <v>-49.306843</v>
      </c>
      <c r="I513" s="104" t="str">
        <f>Cadastro!$I513</f>
        <v>copom_DDTQ</v>
      </c>
      <c r="J513" s="104" t="str">
        <f>Cadastro!$J513</f>
        <v>DDTQcopom</v>
      </c>
      <c r="K513" s="104" t="s">
        <v>4536</v>
      </c>
      <c r="L513" s="104" t="s">
        <v>26</v>
      </c>
      <c r="M513" s="104" t="s">
        <v>27</v>
      </c>
      <c r="N513" s="108" t="str">
        <f t="shared" si="1"/>
        <v>URBS 4</v>
      </c>
      <c r="O513" s="109" t="str">
        <f>Cadastro!$O513</f>
        <v>https://monitoramento.pm.pr.gov.br/proxy_image_4/Interface/Cameras/GetJPEGStream?Camera=Camera47&amp;AuthUser=copom_DDTQ&amp;AuthPass=DDTQcopom&amp;Width=1024&amp;Height=768&amp;Quality=70&amp;FPS=10&amp;ResponseFormat=Text</v>
      </c>
      <c r="P513" s="106">
        <f>Cadastro!$P513</f>
        <v>1</v>
      </c>
    </row>
    <row r="514">
      <c r="A514" s="104" t="str">
        <f>Cadastro!$A514</f>
        <v>URBS 4</v>
      </c>
      <c r="B514" s="104" t="str">
        <f>Cadastro!$B514</f>
        <v>CURITIBA</v>
      </c>
      <c r="C514" s="107" t="str">
        <f>Cadastro!$C514</f>
        <v>https://monitoramento.pm.pr.gov.br/proxy_image_4/</v>
      </c>
      <c r="D514" s="105">
        <f>Cadastro!$D514</f>
        <v>48601</v>
      </c>
      <c r="E514" s="104" t="str">
        <f>Cadastro!$E514</f>
        <v>Camera48</v>
      </c>
      <c r="F514" s="104" t="str">
        <f>Cadastro!$F514</f>
        <v>Terminal Campina do Siqueira &gt;Expresso &gt; Bairro</v>
      </c>
      <c r="G514" s="104" t="str">
        <f>Cadastro!$G514</f>
        <v>-25.436106</v>
      </c>
      <c r="H514" s="104" t="str">
        <f>Cadastro!$H514</f>
        <v>-49.307544</v>
      </c>
      <c r="I514" s="104" t="str">
        <f>Cadastro!$I514</f>
        <v>copom_DDTQ</v>
      </c>
      <c r="J514" s="104" t="str">
        <f>Cadastro!$J514</f>
        <v>DDTQcopom</v>
      </c>
      <c r="K514" s="104" t="s">
        <v>4536</v>
      </c>
      <c r="L514" s="104" t="s">
        <v>26</v>
      </c>
      <c r="M514" s="104" t="s">
        <v>27</v>
      </c>
      <c r="N514" s="108" t="str">
        <f t="shared" si="1"/>
        <v>URBS 4</v>
      </c>
      <c r="O514" s="109" t="str">
        <f>Cadastro!$O514</f>
        <v>https://monitoramento.pm.pr.gov.br/proxy_image_4/Interface/Cameras/GetJPEGStream?Camera=Camera48&amp;AuthUser=copom_DDTQ&amp;AuthPass=DDTQcopom&amp;Width=1024&amp;Height=768&amp;Quality=70&amp;FPS=10&amp;ResponseFormat=Text</v>
      </c>
      <c r="P514" s="106">
        <f>Cadastro!$P514</f>
        <v>1</v>
      </c>
    </row>
    <row r="515">
      <c r="A515" s="104" t="str">
        <f>Cadastro!$A515</f>
        <v>URBS 4</v>
      </c>
      <c r="B515" s="104" t="str">
        <f>Cadastro!$B515</f>
        <v>CURITIBA</v>
      </c>
      <c r="C515" s="107" t="str">
        <f>Cadastro!$C515</f>
        <v>https://monitoramento.pm.pr.gov.br/proxy_image_4/</v>
      </c>
      <c r="D515" s="105">
        <f>Cadastro!$D515</f>
        <v>48601</v>
      </c>
      <c r="E515" s="104" t="str">
        <f>Cadastro!$E515</f>
        <v>Camera49</v>
      </c>
      <c r="F515" s="104" t="str">
        <f>Cadastro!$F515</f>
        <v>Terminal Campina do Siqueira &gt; Inter II &gt; A. horario</v>
      </c>
      <c r="G515" s="104" t="str">
        <f>Cadastro!$G515</f>
        <v>-25.435738</v>
      </c>
      <c r="H515" s="104" t="str">
        <f>Cadastro!$H515</f>
        <v>-49.307338</v>
      </c>
      <c r="I515" s="104" t="str">
        <f>Cadastro!$I515</f>
        <v>copom_DDTQ</v>
      </c>
      <c r="J515" s="104" t="str">
        <f>Cadastro!$J515</f>
        <v>DDTQcopom</v>
      </c>
      <c r="K515" s="104" t="s">
        <v>4536</v>
      </c>
      <c r="L515" s="104" t="s">
        <v>26</v>
      </c>
      <c r="M515" s="104" t="s">
        <v>27</v>
      </c>
      <c r="N515" s="108" t="str">
        <f t="shared" si="1"/>
        <v>URBS 4</v>
      </c>
      <c r="O515" s="109" t="str">
        <f>Cadastro!$O515</f>
        <v>https://monitoramento.pm.pr.gov.br/proxy_image_4/Interface/Cameras/GetJPEGStream?Camera=Camera49&amp;AuthUser=copom_DDTQ&amp;AuthPass=DDTQcopom&amp;Width=1024&amp;Height=768&amp;Quality=70&amp;FPS=10&amp;ResponseFormat=Text</v>
      </c>
      <c r="P515" s="106">
        <f>Cadastro!$P515</f>
        <v>1</v>
      </c>
    </row>
    <row r="516">
      <c r="A516" s="104" t="str">
        <f>Cadastro!$A516</f>
        <v>URBS 4</v>
      </c>
      <c r="B516" s="104" t="str">
        <f>Cadastro!$B516</f>
        <v>CURITIBA</v>
      </c>
      <c r="C516" s="107" t="str">
        <f>Cadastro!$C516</f>
        <v>https://monitoramento.pm.pr.gov.br/proxy_image_4/</v>
      </c>
      <c r="D516" s="105">
        <f>Cadastro!$D516</f>
        <v>48601</v>
      </c>
      <c r="E516" s="104" t="str">
        <f>Cadastro!$E516</f>
        <v>Camera50</v>
      </c>
      <c r="F516" s="104" t="str">
        <f>Cadastro!$F516</f>
        <v>Terminal Campina do Siqueira &gt; Campo Largo &gt; C. Largo</v>
      </c>
      <c r="G516" s="104" t="str">
        <f>Cadastro!$G516</f>
        <v>-25.435639</v>
      </c>
      <c r="H516" s="104" t="str">
        <f>Cadastro!$H516</f>
        <v>-49.307035</v>
      </c>
      <c r="I516" s="104" t="str">
        <f>Cadastro!$I516</f>
        <v>copom_DDTQ</v>
      </c>
      <c r="J516" s="104" t="str">
        <f>Cadastro!$J516</f>
        <v>DDTQcopom</v>
      </c>
      <c r="K516" s="104" t="s">
        <v>4536</v>
      </c>
      <c r="L516" s="104" t="s">
        <v>26</v>
      </c>
      <c r="M516" s="104" t="s">
        <v>27</v>
      </c>
      <c r="N516" s="108" t="str">
        <f t="shared" si="1"/>
        <v>URBS 4</v>
      </c>
      <c r="O516" s="109" t="str">
        <f>Cadastro!$O516</f>
        <v>https://monitoramento.pm.pr.gov.br/proxy_image_4/Interface/Cameras/GetJPEGStream?Camera=Camera50&amp;AuthUser=copom_DDTQ&amp;AuthPass=DDTQcopom&amp;Width=1024&amp;Height=768&amp;Quality=70&amp;FPS=10&amp;ResponseFormat=Text</v>
      </c>
      <c r="P516" s="106">
        <f>Cadastro!$P516</f>
        <v>1</v>
      </c>
    </row>
    <row r="517">
      <c r="A517" s="104" t="str">
        <f>Cadastro!$A517</f>
        <v>URBS 4</v>
      </c>
      <c r="B517" s="104" t="str">
        <f>Cadastro!$B517</f>
        <v>CURITIBA</v>
      </c>
      <c r="C517" s="107" t="str">
        <f>Cadastro!$C517</f>
        <v>https://monitoramento.pm.pr.gov.br/proxy_image_4/</v>
      </c>
      <c r="D517" s="105">
        <f>Cadastro!$D517</f>
        <v>48601</v>
      </c>
      <c r="E517" s="104" t="str">
        <f>Cadastro!$E517</f>
        <v>Camera51</v>
      </c>
      <c r="F517" s="104" t="str">
        <f>Cadastro!$F517</f>
        <v>Terminal Campina do Siqueira &gt;Expresso &gt; Centro</v>
      </c>
      <c r="G517" s="104" t="str">
        <f>Cadastro!$G517</f>
        <v>-25.435774</v>
      </c>
      <c r="H517" s="104" t="str">
        <f>Cadastro!$H517</f>
        <v>-49.307029</v>
      </c>
      <c r="I517" s="104" t="str">
        <f>Cadastro!$I517</f>
        <v>copom_DDTQ</v>
      </c>
      <c r="J517" s="104" t="str">
        <f>Cadastro!$J517</f>
        <v>DDTQcopom</v>
      </c>
      <c r="K517" s="104" t="s">
        <v>4536</v>
      </c>
      <c r="L517" s="104" t="s">
        <v>26</v>
      </c>
      <c r="M517" s="104" t="s">
        <v>27</v>
      </c>
      <c r="N517" s="108" t="str">
        <f t="shared" si="1"/>
        <v>URBS 4</v>
      </c>
      <c r="O517" s="109" t="str">
        <f>Cadastro!$O517</f>
        <v>https://monitoramento.pm.pr.gov.br/proxy_image_4/Interface/Cameras/GetJPEGStream?Camera=Camera51&amp;AuthUser=copom_DDTQ&amp;AuthPass=DDTQcopom&amp;Width=1024&amp;Height=768&amp;Quality=70&amp;FPS=10&amp;ResponseFormat=Text</v>
      </c>
      <c r="P517" s="106">
        <f>Cadastro!$P517</f>
        <v>1</v>
      </c>
    </row>
    <row r="518">
      <c r="A518" s="104" t="str">
        <f>Cadastro!$A518</f>
        <v>URBS 4</v>
      </c>
      <c r="B518" s="104" t="str">
        <f>Cadastro!$B518</f>
        <v>CURITIBA</v>
      </c>
      <c r="C518" s="107" t="str">
        <f>Cadastro!$C518</f>
        <v>https://monitoramento.pm.pr.gov.br/proxy_image_4/</v>
      </c>
      <c r="D518" s="105">
        <f>Cadastro!$D518</f>
        <v>48601</v>
      </c>
      <c r="E518" s="104" t="str">
        <f>Cadastro!$E518</f>
        <v>Camera52</v>
      </c>
      <c r="F518" s="104" t="str">
        <f>Cadastro!$F518</f>
        <v>Terminal Campina do Siqueira &gt; Campo Largo &gt; COHAB</v>
      </c>
      <c r="G518" s="104" t="str">
        <f>Cadastro!$G518</f>
        <v>-25.436009</v>
      </c>
      <c r="H518" s="104" t="str">
        <f>Cadastro!$H518</f>
        <v>-49.306875</v>
      </c>
      <c r="I518" s="104" t="str">
        <f>Cadastro!$I518</f>
        <v>copom_DDTQ</v>
      </c>
      <c r="J518" s="104" t="str">
        <f>Cadastro!$J518</f>
        <v>DDTQcopom</v>
      </c>
      <c r="K518" s="104" t="s">
        <v>4536</v>
      </c>
      <c r="L518" s="104" t="s">
        <v>26</v>
      </c>
      <c r="M518" s="104" t="s">
        <v>27</v>
      </c>
      <c r="N518" s="108" t="str">
        <f t="shared" si="1"/>
        <v>URBS 4</v>
      </c>
      <c r="O518" s="109" t="str">
        <f>Cadastro!$O518</f>
        <v>https://monitoramento.pm.pr.gov.br/proxy_image_4/Interface/Cameras/GetJPEGStream?Camera=Camera52&amp;AuthUser=copom_DDTQ&amp;AuthPass=DDTQcopom&amp;Width=1024&amp;Height=768&amp;Quality=70&amp;FPS=10&amp;ResponseFormat=Text</v>
      </c>
      <c r="P518" s="106">
        <f>Cadastro!$P518</f>
        <v>1</v>
      </c>
    </row>
    <row r="519">
      <c r="A519" s="104" t="str">
        <f>Cadastro!$A519</f>
        <v>URBS 4</v>
      </c>
      <c r="B519" s="104" t="str">
        <f>Cadastro!$B519</f>
        <v>CURITIBA</v>
      </c>
      <c r="C519" s="107" t="str">
        <f>Cadastro!$C519</f>
        <v>https://monitoramento.pm.pr.gov.br/proxy_image_4/</v>
      </c>
      <c r="D519" s="105">
        <f>Cadastro!$D519</f>
        <v>48601</v>
      </c>
      <c r="E519" s="104" t="str">
        <f>Cadastro!$E519</f>
        <v>Camera53</v>
      </c>
      <c r="F519" s="104" t="str">
        <f>Cadastro!$F519</f>
        <v>Terminal Capão da Imbuia &gt; Interbairros II &gt; A. Horario</v>
      </c>
      <c r="G519" s="104" t="str">
        <f>Cadastro!$G519</f>
        <v>-25.439694</v>
      </c>
      <c r="H519" s="104" t="str">
        <f>Cadastro!$H519</f>
        <v>-49.222263</v>
      </c>
      <c r="I519" s="104" t="str">
        <f>Cadastro!$I519</f>
        <v>copom_DDTQ</v>
      </c>
      <c r="J519" s="104" t="str">
        <f>Cadastro!$J519</f>
        <v>DDTQcopom</v>
      </c>
      <c r="K519" s="104" t="s">
        <v>4536</v>
      </c>
      <c r="L519" s="104" t="s">
        <v>26</v>
      </c>
      <c r="M519" s="104" t="s">
        <v>27</v>
      </c>
      <c r="N519" s="108" t="str">
        <f t="shared" si="1"/>
        <v>URBS 4</v>
      </c>
      <c r="O519" s="109" t="str">
        <f>Cadastro!$O519</f>
        <v>https://monitoramento.pm.pr.gov.br/proxy_image_4/Interface/Cameras/GetJPEGStream?Camera=Camera53&amp;AuthUser=copom_DDTQ&amp;AuthPass=DDTQcopom&amp;Width=1024&amp;Height=768&amp;Quality=70&amp;FPS=10&amp;ResponseFormat=Text</v>
      </c>
      <c r="P519" s="106">
        <f>Cadastro!$P519</f>
        <v>1</v>
      </c>
    </row>
    <row r="520">
      <c r="A520" s="104" t="str">
        <f>Cadastro!$A520</f>
        <v>URBS 4</v>
      </c>
      <c r="B520" s="104" t="str">
        <f>Cadastro!$B520</f>
        <v>CURITIBA</v>
      </c>
      <c r="C520" s="107" t="str">
        <f>Cadastro!$C520</f>
        <v>https://monitoramento.pm.pr.gov.br/proxy_image_4/</v>
      </c>
      <c r="D520" s="105">
        <f>Cadastro!$D520</f>
        <v>48601</v>
      </c>
      <c r="E520" s="104" t="str">
        <f>Cadastro!$E520</f>
        <v>Camera54</v>
      </c>
      <c r="F520" s="104" t="str">
        <f>Cadastro!$F520</f>
        <v>Terminal Hauer &gt; ET Inter II &gt; C. Imbuia</v>
      </c>
      <c r="G520" s="104" t="str">
        <f>Cadastro!$G520</f>
        <v>-25.481477</v>
      </c>
      <c r="H520" s="104" t="str">
        <f>Cadastro!$H520</f>
        <v>-49.246846</v>
      </c>
      <c r="I520" s="104" t="str">
        <f>Cadastro!$I520</f>
        <v>copom_DDTQ</v>
      </c>
      <c r="J520" s="104" t="str">
        <f>Cadastro!$J520</f>
        <v>DDTQcopom</v>
      </c>
      <c r="K520" s="104" t="s">
        <v>4536</v>
      </c>
      <c r="L520" s="104" t="s">
        <v>26</v>
      </c>
      <c r="M520" s="104" t="s">
        <v>27</v>
      </c>
      <c r="N520" s="108" t="str">
        <f t="shared" si="1"/>
        <v>URBS 4</v>
      </c>
      <c r="O520" s="109" t="str">
        <f>Cadastro!$O520</f>
        <v>https://monitoramento.pm.pr.gov.br/proxy_image_4/Interface/Cameras/GetJPEGStream?Camera=Camera54&amp;AuthUser=copom_DDTQ&amp;AuthPass=DDTQcopom&amp;Width=1024&amp;Height=768&amp;Quality=70&amp;FPS=10&amp;ResponseFormat=Text</v>
      </c>
      <c r="P520" s="106">
        <f>Cadastro!$P520</f>
        <v>1</v>
      </c>
    </row>
    <row r="521">
      <c r="A521" s="104" t="str">
        <f>Cadastro!$A521</f>
        <v>URBS 4</v>
      </c>
      <c r="B521" s="104" t="str">
        <f>Cadastro!$B521</f>
        <v>CURITIBA</v>
      </c>
      <c r="C521" s="107" t="str">
        <f>Cadastro!$C521</f>
        <v>https://monitoramento.pm.pr.gov.br/proxy_image_4/</v>
      </c>
      <c r="D521" s="105">
        <f>Cadastro!$D521</f>
        <v>48601</v>
      </c>
      <c r="E521" s="104" t="str">
        <f>Cadastro!$E521</f>
        <v>Camera55</v>
      </c>
      <c r="F521" s="104" t="str">
        <f>Cadastro!$F521</f>
        <v>ET Praça Rui Barbosa &gt;Centenario &gt; C. Comprido&gt; Catraca</v>
      </c>
      <c r="G521" s="104" t="str">
        <f>Cadastro!$G521</f>
        <v>-25.435600</v>
      </c>
      <c r="H521" s="104" t="str">
        <f>Cadastro!$H521</f>
        <v>-49.274345</v>
      </c>
      <c r="I521" s="104" t="str">
        <f>Cadastro!$I521</f>
        <v>copom_DDTQ</v>
      </c>
      <c r="J521" s="104" t="str">
        <f>Cadastro!$J521</f>
        <v>DDTQcopom</v>
      </c>
      <c r="K521" s="104" t="s">
        <v>4536</v>
      </c>
      <c r="L521" s="104" t="s">
        <v>26</v>
      </c>
      <c r="M521" s="104" t="s">
        <v>27</v>
      </c>
      <c r="N521" s="108" t="str">
        <f t="shared" si="1"/>
        <v>URBS 4</v>
      </c>
      <c r="O521" s="109" t="str">
        <f>Cadastro!$O521</f>
        <v>https://monitoramento.pm.pr.gov.br/proxy_image_4/Interface/Cameras/GetJPEGStream?Camera=Camera55&amp;AuthUser=copom_DDTQ&amp;AuthPass=DDTQcopom&amp;Width=1024&amp;Height=768&amp;Quality=70&amp;FPS=10&amp;ResponseFormat=Text</v>
      </c>
      <c r="P521" s="106">
        <f>Cadastro!$P521</f>
        <v>1</v>
      </c>
    </row>
    <row r="522">
      <c r="A522" s="104" t="str">
        <f>Cadastro!$A522</f>
        <v>URBS 4</v>
      </c>
      <c r="B522" s="104" t="str">
        <f>Cadastro!$B522</f>
        <v>CURITIBA</v>
      </c>
      <c r="C522" s="107" t="str">
        <f>Cadastro!$C522</f>
        <v>https://monitoramento.pm.pr.gov.br/proxy_image_4/</v>
      </c>
      <c r="D522" s="105">
        <f>Cadastro!$D522</f>
        <v>48601</v>
      </c>
      <c r="E522" s="104" t="str">
        <f>Cadastro!$E522</f>
        <v>Camera56</v>
      </c>
      <c r="F522" s="104" t="str">
        <f>Cadastro!$F522</f>
        <v>ET Praça Rui Barbosa &gt;Centenario &gt; C. Comprido</v>
      </c>
      <c r="G522" s="104" t="str">
        <f>Cadastro!$G522</f>
        <v>-25.435658</v>
      </c>
      <c r="H522" s="104" t="str">
        <f>Cadastro!$H522</f>
        <v>-49.274386</v>
      </c>
      <c r="I522" s="104" t="str">
        <f>Cadastro!$I522</f>
        <v>copom_DDTQ</v>
      </c>
      <c r="J522" s="104" t="str">
        <f>Cadastro!$J522</f>
        <v>DDTQcopom</v>
      </c>
      <c r="K522" s="104" t="s">
        <v>4536</v>
      </c>
      <c r="L522" s="104" t="s">
        <v>26</v>
      </c>
      <c r="M522" s="104" t="s">
        <v>27</v>
      </c>
      <c r="N522" s="108" t="str">
        <f t="shared" si="1"/>
        <v>URBS 4</v>
      </c>
      <c r="O522" s="109" t="str">
        <f>Cadastro!$O522</f>
        <v>https://monitoramento.pm.pr.gov.br/proxy_image_4/Interface/Cameras/GetJPEGStream?Camera=Camera56&amp;AuthUser=copom_DDTQ&amp;AuthPass=DDTQcopom&amp;Width=1024&amp;Height=768&amp;Quality=70&amp;FPS=10&amp;ResponseFormat=Text</v>
      </c>
      <c r="P522" s="106">
        <f>Cadastro!$P522</f>
        <v>1</v>
      </c>
    </row>
    <row r="523">
      <c r="A523" s="104" t="str">
        <f>Cadastro!$A523</f>
        <v>URBS 4</v>
      </c>
      <c r="B523" s="104" t="str">
        <f>Cadastro!$B523</f>
        <v>CURITIBA</v>
      </c>
      <c r="C523" s="107" t="str">
        <f>Cadastro!$C523</f>
        <v>https://monitoramento.pm.pr.gov.br/proxy_image_4/</v>
      </c>
      <c r="D523" s="105">
        <f>Cadastro!$D523</f>
        <v>48601</v>
      </c>
      <c r="E523" s="104" t="str">
        <f>Cadastro!$E523</f>
        <v>Camera57</v>
      </c>
      <c r="F523" s="104" t="str">
        <f>Cadastro!$F523</f>
        <v>PANE Terminal Capão da Imbuia &gt; Inter II &gt; Hauer</v>
      </c>
      <c r="G523" s="104" t="str">
        <f>Cadastro!$G523</f>
        <v>-25.439788</v>
      </c>
      <c r="H523" s="104" t="str">
        <f>Cadastro!$H523</f>
        <v>-49.222333</v>
      </c>
      <c r="I523" s="104" t="str">
        <f>Cadastro!$I523</f>
        <v>copom_DDTQ</v>
      </c>
      <c r="J523" s="104" t="str">
        <f>Cadastro!$J523</f>
        <v>DDTQcopom</v>
      </c>
      <c r="K523" s="104" t="s">
        <v>4536</v>
      </c>
      <c r="L523" s="104" t="s">
        <v>26</v>
      </c>
      <c r="M523" s="104" t="s">
        <v>27</v>
      </c>
      <c r="N523" s="108" t="str">
        <f t="shared" si="1"/>
        <v>URBS 4</v>
      </c>
      <c r="O523" s="109" t="str">
        <f>Cadastro!$O523</f>
        <v>https://monitoramento.pm.pr.gov.br/proxy_image_4/Interface/Cameras/GetJPEGStream?Camera=Camera57&amp;AuthUser=copom_DDTQ&amp;AuthPass=DDTQcopom&amp;Width=1024&amp;Height=768&amp;Quality=70&amp;FPS=10&amp;ResponseFormat=Text</v>
      </c>
      <c r="P523" s="106">
        <f>Cadastro!$P523</f>
        <v>1</v>
      </c>
    </row>
    <row r="524">
      <c r="A524" s="104" t="str">
        <f>Cadastro!$A524</f>
        <v>URBS 4</v>
      </c>
      <c r="B524" s="104" t="str">
        <f>Cadastro!$B524</f>
        <v>CURITIBA</v>
      </c>
      <c r="C524" s="107" t="str">
        <f>Cadastro!$C524</f>
        <v>https://monitoramento.pm.pr.gov.br/proxy_image_4/</v>
      </c>
      <c r="D524" s="105">
        <f>Cadastro!$D524</f>
        <v>48601</v>
      </c>
      <c r="E524" s="104" t="str">
        <f>Cadastro!$E524</f>
        <v>Camera58</v>
      </c>
      <c r="F524" s="104" t="str">
        <f>Cadastro!$F524</f>
        <v>ET Praça Rui Barbosa &gt;Centenario &gt; C. Comprido&gt; Catraca 2</v>
      </c>
      <c r="G524" s="104" t="str">
        <f>Cadastro!$G524</f>
        <v>-25.435699</v>
      </c>
      <c r="H524" s="104" t="str">
        <f>Cadastro!$H524</f>
        <v>-49.274479</v>
      </c>
      <c r="I524" s="104" t="str">
        <f>Cadastro!$I524</f>
        <v>copom_DDTQ</v>
      </c>
      <c r="J524" s="104" t="str">
        <f>Cadastro!$J524</f>
        <v>DDTQcopom</v>
      </c>
      <c r="K524" s="104" t="s">
        <v>4536</v>
      </c>
      <c r="L524" s="104" t="s">
        <v>26</v>
      </c>
      <c r="M524" s="104" t="s">
        <v>27</v>
      </c>
      <c r="N524" s="108" t="str">
        <f t="shared" si="1"/>
        <v>URBS 4</v>
      </c>
      <c r="O524" s="109" t="str">
        <f>Cadastro!$O524</f>
        <v>https://monitoramento.pm.pr.gov.br/proxy_image_4/Interface/Cameras/GetJPEGStream?Camera=Camera58&amp;AuthUser=copom_DDTQ&amp;AuthPass=DDTQcopom&amp;Width=1024&amp;Height=768&amp;Quality=70&amp;FPS=10&amp;ResponseFormat=Text</v>
      </c>
      <c r="P524" s="106">
        <f>Cadastro!$P524</f>
        <v>1</v>
      </c>
    </row>
    <row r="525">
      <c r="A525" s="104" t="str">
        <f>Cadastro!$A525</f>
        <v>URBS 4</v>
      </c>
      <c r="B525" s="104" t="str">
        <f>Cadastro!$B525</f>
        <v>CURITIBA</v>
      </c>
      <c r="C525" s="107" t="str">
        <f>Cadastro!$C525</f>
        <v>https://monitoramento.pm.pr.gov.br/proxy_image_4/</v>
      </c>
      <c r="D525" s="105">
        <f>Cadastro!$D525</f>
        <v>48601</v>
      </c>
      <c r="E525" s="104" t="str">
        <f>Cadastro!$E525</f>
        <v>Camera59</v>
      </c>
      <c r="F525" s="104" t="str">
        <f>Cadastro!$F525</f>
        <v>ET Praça Rui Barbosa &gt;Centenario &gt; C. Comprido 2</v>
      </c>
      <c r="G525" s="104" t="str">
        <f>Cadastro!$G525</f>
        <v>-25.435661</v>
      </c>
      <c r="H525" s="104" t="str">
        <f>Cadastro!$H525</f>
        <v>-49.274453</v>
      </c>
      <c r="I525" s="104" t="str">
        <f>Cadastro!$I525</f>
        <v>copom_DDTQ</v>
      </c>
      <c r="J525" s="104" t="str">
        <f>Cadastro!$J525</f>
        <v>DDTQcopom</v>
      </c>
      <c r="K525" s="104" t="s">
        <v>4536</v>
      </c>
      <c r="L525" s="104" t="s">
        <v>26</v>
      </c>
      <c r="M525" s="104" t="s">
        <v>27</v>
      </c>
      <c r="N525" s="108" t="str">
        <f t="shared" si="1"/>
        <v>URBS 4</v>
      </c>
      <c r="O525" s="109" t="str">
        <f>Cadastro!$O525</f>
        <v>https://monitoramento.pm.pr.gov.br/proxy_image_4/Interface/Cameras/GetJPEGStream?Camera=Camera59&amp;AuthUser=copom_DDTQ&amp;AuthPass=DDTQcopom&amp;Width=1024&amp;Height=768&amp;Quality=70&amp;FPS=10&amp;ResponseFormat=Text</v>
      </c>
      <c r="P525" s="106">
        <f>Cadastro!$P525</f>
        <v>1</v>
      </c>
    </row>
    <row r="526">
      <c r="A526" s="104" t="str">
        <f>Cadastro!$A526</f>
        <v>URBS 4</v>
      </c>
      <c r="B526" s="104" t="str">
        <f>Cadastro!$B526</f>
        <v>CURITIBA</v>
      </c>
      <c r="C526" s="107" t="str">
        <f>Cadastro!$C526</f>
        <v>https://monitoramento.pm.pr.gov.br/proxy_image_4/</v>
      </c>
      <c r="D526" s="105">
        <f>Cadastro!$D526</f>
        <v>48601</v>
      </c>
      <c r="E526" s="104" t="str">
        <f>Cadastro!$E526</f>
        <v>Camera62</v>
      </c>
      <c r="F526" s="104" t="str">
        <f>Cadastro!$F526</f>
        <v>ET Eufrasio Correia &gt; Leste 1</v>
      </c>
      <c r="G526" s="104" t="str">
        <f>Cadastro!$G526</f>
        <v>-25.437726</v>
      </c>
      <c r="H526" s="104" t="str">
        <f>Cadastro!$H526</f>
        <v>-49.266840</v>
      </c>
      <c r="I526" s="104" t="str">
        <f>Cadastro!$I526</f>
        <v>copom_DDTQ</v>
      </c>
      <c r="J526" s="104" t="str">
        <f>Cadastro!$J526</f>
        <v>DDTQcopom</v>
      </c>
      <c r="K526" s="104" t="s">
        <v>4536</v>
      </c>
      <c r="L526" s="104" t="s">
        <v>26</v>
      </c>
      <c r="M526" s="104" t="s">
        <v>27</v>
      </c>
      <c r="N526" s="108" t="str">
        <f t="shared" si="1"/>
        <v>URBS 4</v>
      </c>
      <c r="O526" s="109" t="str">
        <f>Cadastro!$O526</f>
        <v>https://monitoramento.pm.pr.gov.br/proxy_image_4/Interface/Cameras/GetJPEGStream?Camera=Camera62&amp;AuthUser=copom_DDTQ&amp;AuthPass=DDTQcopom&amp;Width=1024&amp;Height=768&amp;Quality=70&amp;FPS=10&amp;ResponseFormat=Text</v>
      </c>
      <c r="P526" s="106">
        <f>Cadastro!$P526</f>
        <v>1</v>
      </c>
    </row>
    <row r="527">
      <c r="A527" s="104" t="str">
        <f>Cadastro!$A527</f>
        <v>URBS 4</v>
      </c>
      <c r="B527" s="104" t="str">
        <f>Cadastro!$B527</f>
        <v>CURITIBA</v>
      </c>
      <c r="C527" s="107" t="str">
        <f>Cadastro!$C527</f>
        <v>https://monitoramento.pm.pr.gov.br/proxy_image_4/</v>
      </c>
      <c r="D527" s="105">
        <f>Cadastro!$D527</f>
        <v>48601</v>
      </c>
      <c r="E527" s="104" t="str">
        <f>Cadastro!$E527</f>
        <v>Camera63</v>
      </c>
      <c r="F527" s="104" t="str">
        <f>Cadastro!$F527</f>
        <v>ET Eufrasio Correia &gt; Norte 2</v>
      </c>
      <c r="G527" s="104" t="str">
        <f>Cadastro!$G527</f>
        <v>-25.437531</v>
      </c>
      <c r="H527" s="104" t="str">
        <f>Cadastro!$H527</f>
        <v>-49.266578</v>
      </c>
      <c r="I527" s="104" t="str">
        <f>Cadastro!$I527</f>
        <v>copom_DDTQ</v>
      </c>
      <c r="J527" s="104" t="str">
        <f>Cadastro!$J527</f>
        <v>DDTQcopom</v>
      </c>
      <c r="K527" s="104" t="s">
        <v>4536</v>
      </c>
      <c r="L527" s="104" t="s">
        <v>26</v>
      </c>
      <c r="M527" s="104" t="s">
        <v>27</v>
      </c>
      <c r="N527" s="108" t="str">
        <f t="shared" si="1"/>
        <v>URBS 4</v>
      </c>
      <c r="O527" s="109" t="str">
        <f>Cadastro!$O527</f>
        <v>https://monitoramento.pm.pr.gov.br/proxy_image_4/Interface/Cameras/GetJPEGStream?Camera=Camera63&amp;AuthUser=copom_DDTQ&amp;AuthPass=DDTQcopom&amp;Width=1024&amp;Height=768&amp;Quality=70&amp;FPS=10&amp;ResponseFormat=Text</v>
      </c>
      <c r="P527" s="106">
        <f>Cadastro!$P527</f>
        <v>1</v>
      </c>
    </row>
    <row r="528">
      <c r="A528" s="104" t="str">
        <f>Cadastro!$A528</f>
        <v>URBS 4</v>
      </c>
      <c r="B528" s="104" t="str">
        <f>Cadastro!$B528</f>
        <v>CURITIBA</v>
      </c>
      <c r="C528" s="107" t="str">
        <f>Cadastro!$C528</f>
        <v>https://monitoramento.pm.pr.gov.br/proxy_image_4/</v>
      </c>
      <c r="D528" s="105">
        <f>Cadastro!$D528</f>
        <v>48601</v>
      </c>
      <c r="E528" s="104" t="str">
        <f>Cadastro!$E528</f>
        <v>Camera89</v>
      </c>
      <c r="F528" s="104" t="str">
        <f>Cadastro!$F528</f>
        <v>ET Carlos Gomes &gt; Pineirinho portas</v>
      </c>
      <c r="G528" s="104" t="str">
        <f>Cadastro!$G528</f>
        <v>-25.434047</v>
      </c>
      <c r="H528" s="104" t="str">
        <f>Cadastro!$H528</f>
        <v>-49.269153</v>
      </c>
      <c r="I528" s="104" t="str">
        <f>Cadastro!$I528</f>
        <v>copom_DDTQ</v>
      </c>
      <c r="J528" s="104" t="str">
        <f>Cadastro!$J528</f>
        <v>DDTQcopom</v>
      </c>
      <c r="K528" s="104" t="s">
        <v>4536</v>
      </c>
      <c r="L528" s="104" t="s">
        <v>26</v>
      </c>
      <c r="M528" s="104" t="s">
        <v>27</v>
      </c>
      <c r="N528" s="108" t="str">
        <f t="shared" si="1"/>
        <v>URBS 4</v>
      </c>
      <c r="O528" s="109" t="str">
        <f>Cadastro!$O528</f>
        <v>https://monitoramento.pm.pr.gov.br/proxy_image_4/Interface/Cameras/GetJPEGStream?Camera=Camera89&amp;AuthUser=copom_DDTQ&amp;AuthPass=DDTQcopom&amp;Width=1024&amp;Height=768&amp;Quality=70&amp;FPS=10&amp;ResponseFormat=Text</v>
      </c>
      <c r="P528" s="106">
        <f>Cadastro!$P528</f>
        <v>1</v>
      </c>
    </row>
    <row r="529">
      <c r="A529" s="104" t="str">
        <f t="shared" ref="A529:J529" si="2">#REF!</f>
        <v>#REF!</v>
      </c>
      <c r="B529" s="104" t="str">
        <f t="shared" si="2"/>
        <v>#REF!</v>
      </c>
      <c r="C529" s="110" t="str">
        <f t="shared" si="2"/>
        <v>#REF!</v>
      </c>
      <c r="D529" s="105" t="str">
        <f t="shared" si="2"/>
        <v>#REF!</v>
      </c>
      <c r="E529" s="104" t="str">
        <f t="shared" si="2"/>
        <v>#REF!</v>
      </c>
      <c r="F529" s="104" t="str">
        <f t="shared" si="2"/>
        <v>#REF!</v>
      </c>
      <c r="G529" s="104" t="str">
        <f t="shared" si="2"/>
        <v>#REF!</v>
      </c>
      <c r="H529" s="104" t="str">
        <f t="shared" si="2"/>
        <v>#REF!</v>
      </c>
      <c r="I529" s="104" t="str">
        <f t="shared" si="2"/>
        <v>#REF!</v>
      </c>
      <c r="J529" s="104" t="str">
        <f t="shared" si="2"/>
        <v>#REF!</v>
      </c>
      <c r="K529" s="104" t="s">
        <v>4536</v>
      </c>
      <c r="L529" s="104" t="s">
        <v>26</v>
      </c>
      <c r="M529" s="104" t="s">
        <v>27</v>
      </c>
      <c r="N529" s="108" t="str">
        <f t="shared" si="1"/>
        <v>#REF!</v>
      </c>
      <c r="O529" s="111" t="str">
        <f t="shared" ref="O529:P529" si="3">#REF!</f>
        <v>#REF!</v>
      </c>
      <c r="P529" s="106" t="str">
        <f t="shared" si="3"/>
        <v>#REF!</v>
      </c>
    </row>
    <row r="530">
      <c r="A530" s="104" t="str">
        <f t="shared" ref="A530:J530" si="4">#REF!</f>
        <v>#REF!</v>
      </c>
      <c r="B530" s="104" t="str">
        <f t="shared" si="4"/>
        <v>#REF!</v>
      </c>
      <c r="C530" s="110" t="str">
        <f t="shared" si="4"/>
        <v>#REF!</v>
      </c>
      <c r="D530" s="105" t="str">
        <f t="shared" si="4"/>
        <v>#REF!</v>
      </c>
      <c r="E530" s="104" t="str">
        <f t="shared" si="4"/>
        <v>#REF!</v>
      </c>
      <c r="F530" s="104" t="str">
        <f t="shared" si="4"/>
        <v>#REF!</v>
      </c>
      <c r="G530" s="104" t="str">
        <f t="shared" si="4"/>
        <v>#REF!</v>
      </c>
      <c r="H530" s="104" t="str">
        <f t="shared" si="4"/>
        <v>#REF!</v>
      </c>
      <c r="I530" s="104" t="str">
        <f t="shared" si="4"/>
        <v>#REF!</v>
      </c>
      <c r="J530" s="104" t="str">
        <f t="shared" si="4"/>
        <v>#REF!</v>
      </c>
      <c r="K530" s="104" t="s">
        <v>4536</v>
      </c>
      <c r="L530" s="104" t="s">
        <v>26</v>
      </c>
      <c r="M530" s="104" t="s">
        <v>27</v>
      </c>
      <c r="N530" s="108" t="str">
        <f t="shared" si="1"/>
        <v>#REF!</v>
      </c>
      <c r="O530" s="111" t="str">
        <f t="shared" ref="O530:P530" si="5">#REF!</f>
        <v>#REF!</v>
      </c>
      <c r="P530" s="106" t="str">
        <f t="shared" si="5"/>
        <v>#REF!</v>
      </c>
    </row>
    <row r="531">
      <c r="A531" s="104" t="str">
        <f t="shared" ref="A531:J531" si="6">#REF!</f>
        <v>#REF!</v>
      </c>
      <c r="B531" s="104" t="str">
        <f t="shared" si="6"/>
        <v>#REF!</v>
      </c>
      <c r="C531" s="110" t="str">
        <f t="shared" si="6"/>
        <v>#REF!</v>
      </c>
      <c r="D531" s="105" t="str">
        <f t="shared" si="6"/>
        <v>#REF!</v>
      </c>
      <c r="E531" s="104" t="str">
        <f t="shared" si="6"/>
        <v>#REF!</v>
      </c>
      <c r="F531" s="104" t="str">
        <f t="shared" si="6"/>
        <v>#REF!</v>
      </c>
      <c r="G531" s="104" t="str">
        <f t="shared" si="6"/>
        <v>#REF!</v>
      </c>
      <c r="H531" s="104" t="str">
        <f t="shared" si="6"/>
        <v>#REF!</v>
      </c>
      <c r="I531" s="104" t="str">
        <f t="shared" si="6"/>
        <v>#REF!</v>
      </c>
      <c r="J531" s="104" t="str">
        <f t="shared" si="6"/>
        <v>#REF!</v>
      </c>
      <c r="K531" s="104" t="s">
        <v>4536</v>
      </c>
      <c r="L531" s="104" t="s">
        <v>26</v>
      </c>
      <c r="M531" s="104" t="s">
        <v>27</v>
      </c>
      <c r="N531" s="108" t="str">
        <f t="shared" si="1"/>
        <v>#REF!</v>
      </c>
      <c r="O531" s="111" t="str">
        <f t="shared" ref="O531:P531" si="7">#REF!</f>
        <v>#REF!</v>
      </c>
      <c r="P531" s="106" t="str">
        <f t="shared" si="7"/>
        <v>#REF!</v>
      </c>
    </row>
    <row r="532">
      <c r="A532" s="104" t="str">
        <f t="shared" ref="A532:J532" si="8">#REF!</f>
        <v>#REF!</v>
      </c>
      <c r="B532" s="104" t="str">
        <f t="shared" si="8"/>
        <v>#REF!</v>
      </c>
      <c r="C532" s="110" t="str">
        <f t="shared" si="8"/>
        <v>#REF!</v>
      </c>
      <c r="D532" s="105" t="str">
        <f t="shared" si="8"/>
        <v>#REF!</v>
      </c>
      <c r="E532" s="104" t="str">
        <f t="shared" si="8"/>
        <v>#REF!</v>
      </c>
      <c r="F532" s="104" t="str">
        <f t="shared" si="8"/>
        <v>#REF!</v>
      </c>
      <c r="G532" s="104" t="str">
        <f t="shared" si="8"/>
        <v>#REF!</v>
      </c>
      <c r="H532" s="104" t="str">
        <f t="shared" si="8"/>
        <v>#REF!</v>
      </c>
      <c r="I532" s="104" t="str">
        <f t="shared" si="8"/>
        <v>#REF!</v>
      </c>
      <c r="J532" s="104" t="str">
        <f t="shared" si="8"/>
        <v>#REF!</v>
      </c>
      <c r="K532" s="104" t="s">
        <v>4536</v>
      </c>
      <c r="L532" s="104" t="s">
        <v>26</v>
      </c>
      <c r="M532" s="104" t="s">
        <v>27</v>
      </c>
      <c r="N532" s="108" t="str">
        <f t="shared" si="1"/>
        <v>#REF!</v>
      </c>
      <c r="O532" s="111" t="str">
        <f t="shared" ref="O532:P532" si="9">#REF!</f>
        <v>#REF!</v>
      </c>
      <c r="P532" s="106" t="str">
        <f t="shared" si="9"/>
        <v>#REF!</v>
      </c>
    </row>
    <row r="533">
      <c r="A533" s="104" t="str">
        <f t="shared" ref="A533:J533" si="10">#REF!</f>
        <v>#REF!</v>
      </c>
      <c r="B533" s="104" t="str">
        <f t="shared" si="10"/>
        <v>#REF!</v>
      </c>
      <c r="C533" s="110" t="str">
        <f t="shared" si="10"/>
        <v>#REF!</v>
      </c>
      <c r="D533" s="105" t="str">
        <f t="shared" si="10"/>
        <v>#REF!</v>
      </c>
      <c r="E533" s="104" t="str">
        <f t="shared" si="10"/>
        <v>#REF!</v>
      </c>
      <c r="F533" s="104" t="str">
        <f t="shared" si="10"/>
        <v>#REF!</v>
      </c>
      <c r="G533" s="104" t="str">
        <f t="shared" si="10"/>
        <v>#REF!</v>
      </c>
      <c r="H533" s="104" t="str">
        <f t="shared" si="10"/>
        <v>#REF!</v>
      </c>
      <c r="I533" s="104" t="str">
        <f t="shared" si="10"/>
        <v>#REF!</v>
      </c>
      <c r="J533" s="104" t="str">
        <f t="shared" si="10"/>
        <v>#REF!</v>
      </c>
      <c r="K533" s="104" t="s">
        <v>4536</v>
      </c>
      <c r="L533" s="104" t="s">
        <v>26</v>
      </c>
      <c r="M533" s="104" t="s">
        <v>27</v>
      </c>
      <c r="N533" s="108" t="str">
        <f t="shared" si="1"/>
        <v>#REF!</v>
      </c>
      <c r="O533" s="111" t="str">
        <f t="shared" ref="O533:P533" si="11">#REF!</f>
        <v>#REF!</v>
      </c>
      <c r="P533" s="106" t="str">
        <f t="shared" si="11"/>
        <v>#REF!</v>
      </c>
    </row>
    <row r="534">
      <c r="A534" s="104" t="str">
        <f t="shared" ref="A534:J534" si="12">#REF!</f>
        <v>#REF!</v>
      </c>
      <c r="B534" s="104" t="str">
        <f t="shared" si="12"/>
        <v>#REF!</v>
      </c>
      <c r="C534" s="110" t="str">
        <f t="shared" si="12"/>
        <v>#REF!</v>
      </c>
      <c r="D534" s="105" t="str">
        <f t="shared" si="12"/>
        <v>#REF!</v>
      </c>
      <c r="E534" s="104" t="str">
        <f t="shared" si="12"/>
        <v>#REF!</v>
      </c>
      <c r="F534" s="104" t="str">
        <f t="shared" si="12"/>
        <v>#REF!</v>
      </c>
      <c r="G534" s="104" t="str">
        <f t="shared" si="12"/>
        <v>#REF!</v>
      </c>
      <c r="H534" s="104" t="str">
        <f t="shared" si="12"/>
        <v>#REF!</v>
      </c>
      <c r="I534" s="104" t="str">
        <f t="shared" si="12"/>
        <v>#REF!</v>
      </c>
      <c r="J534" s="104" t="str">
        <f t="shared" si="12"/>
        <v>#REF!</v>
      </c>
      <c r="K534" s="104" t="s">
        <v>4536</v>
      </c>
      <c r="L534" s="104" t="s">
        <v>26</v>
      </c>
      <c r="M534" s="104" t="s">
        <v>27</v>
      </c>
      <c r="N534" s="108" t="str">
        <f t="shared" si="1"/>
        <v>#REF!</v>
      </c>
      <c r="O534" s="111" t="str">
        <f t="shared" ref="O534:P534" si="13">#REF!</f>
        <v>#REF!</v>
      </c>
      <c r="P534" s="106" t="str">
        <f t="shared" si="13"/>
        <v>#REF!</v>
      </c>
    </row>
    <row r="535">
      <c r="A535" s="104" t="str">
        <f t="shared" ref="A535:J535" si="14">#REF!</f>
        <v>#REF!</v>
      </c>
      <c r="B535" s="104" t="str">
        <f t="shared" si="14"/>
        <v>#REF!</v>
      </c>
      <c r="C535" s="110" t="str">
        <f t="shared" si="14"/>
        <v>#REF!</v>
      </c>
      <c r="D535" s="105" t="str">
        <f t="shared" si="14"/>
        <v>#REF!</v>
      </c>
      <c r="E535" s="104" t="str">
        <f t="shared" si="14"/>
        <v>#REF!</v>
      </c>
      <c r="F535" s="104" t="str">
        <f t="shared" si="14"/>
        <v>#REF!</v>
      </c>
      <c r="G535" s="104" t="str">
        <f t="shared" si="14"/>
        <v>#REF!</v>
      </c>
      <c r="H535" s="104" t="str">
        <f t="shared" si="14"/>
        <v>#REF!</v>
      </c>
      <c r="I535" s="104" t="str">
        <f t="shared" si="14"/>
        <v>#REF!</v>
      </c>
      <c r="J535" s="104" t="str">
        <f t="shared" si="14"/>
        <v>#REF!</v>
      </c>
      <c r="K535" s="104" t="s">
        <v>4536</v>
      </c>
      <c r="L535" s="104" t="s">
        <v>26</v>
      </c>
      <c r="M535" s="104" t="s">
        <v>27</v>
      </c>
      <c r="N535" s="108" t="str">
        <f t="shared" si="1"/>
        <v>#REF!</v>
      </c>
      <c r="O535" s="111" t="str">
        <f t="shared" ref="O535:P535" si="15">#REF!</f>
        <v>#REF!</v>
      </c>
      <c r="P535" s="106" t="str">
        <f t="shared" si="15"/>
        <v>#REF!</v>
      </c>
    </row>
    <row r="536">
      <c r="A536" s="104" t="str">
        <f t="shared" ref="A536:J536" si="16">#REF!</f>
        <v>#REF!</v>
      </c>
      <c r="B536" s="104" t="str">
        <f t="shared" si="16"/>
        <v>#REF!</v>
      </c>
      <c r="C536" s="110" t="str">
        <f t="shared" si="16"/>
        <v>#REF!</v>
      </c>
      <c r="D536" s="105" t="str">
        <f t="shared" si="16"/>
        <v>#REF!</v>
      </c>
      <c r="E536" s="104" t="str">
        <f t="shared" si="16"/>
        <v>#REF!</v>
      </c>
      <c r="F536" s="104" t="str">
        <f t="shared" si="16"/>
        <v>#REF!</v>
      </c>
      <c r="G536" s="104" t="str">
        <f t="shared" si="16"/>
        <v>#REF!</v>
      </c>
      <c r="H536" s="104" t="str">
        <f t="shared" si="16"/>
        <v>#REF!</v>
      </c>
      <c r="I536" s="104" t="str">
        <f t="shared" si="16"/>
        <v>#REF!</v>
      </c>
      <c r="J536" s="104" t="str">
        <f t="shared" si="16"/>
        <v>#REF!</v>
      </c>
      <c r="K536" s="104" t="s">
        <v>4536</v>
      </c>
      <c r="L536" s="104" t="s">
        <v>26</v>
      </c>
      <c r="M536" s="104" t="s">
        <v>27</v>
      </c>
      <c r="N536" s="108" t="str">
        <f t="shared" si="1"/>
        <v>#REF!</v>
      </c>
      <c r="O536" s="111" t="str">
        <f t="shared" ref="O536:P536" si="17">#REF!</f>
        <v>#REF!</v>
      </c>
      <c r="P536" s="106" t="str">
        <f t="shared" si="17"/>
        <v>#REF!</v>
      </c>
    </row>
    <row r="537">
      <c r="A537" s="104" t="str">
        <f t="shared" ref="A537:J537" si="18">#REF!</f>
        <v>#REF!</v>
      </c>
      <c r="B537" s="104" t="str">
        <f t="shared" si="18"/>
        <v>#REF!</v>
      </c>
      <c r="C537" s="110" t="str">
        <f t="shared" si="18"/>
        <v>#REF!</v>
      </c>
      <c r="D537" s="105" t="str">
        <f t="shared" si="18"/>
        <v>#REF!</v>
      </c>
      <c r="E537" s="104" t="str">
        <f t="shared" si="18"/>
        <v>#REF!</v>
      </c>
      <c r="F537" s="104" t="str">
        <f t="shared" si="18"/>
        <v>#REF!</v>
      </c>
      <c r="G537" s="104" t="str">
        <f t="shared" si="18"/>
        <v>#REF!</v>
      </c>
      <c r="H537" s="104" t="str">
        <f t="shared" si="18"/>
        <v>#REF!</v>
      </c>
      <c r="I537" s="104" t="str">
        <f t="shared" si="18"/>
        <v>#REF!</v>
      </c>
      <c r="J537" s="104" t="str">
        <f t="shared" si="18"/>
        <v>#REF!</v>
      </c>
      <c r="K537" s="104" t="s">
        <v>4536</v>
      </c>
      <c r="L537" s="104" t="s">
        <v>26</v>
      </c>
      <c r="M537" s="104" t="s">
        <v>27</v>
      </c>
      <c r="N537" s="108" t="str">
        <f t="shared" si="1"/>
        <v>#REF!</v>
      </c>
      <c r="O537" s="111" t="str">
        <f t="shared" ref="O537:P537" si="19">#REF!</f>
        <v>#REF!</v>
      </c>
      <c r="P537" s="106" t="str">
        <f t="shared" si="19"/>
        <v>#REF!</v>
      </c>
    </row>
    <row r="538">
      <c r="A538" s="104" t="str">
        <f t="shared" ref="A538:J538" si="20">#REF!</f>
        <v>#REF!</v>
      </c>
      <c r="B538" s="104" t="str">
        <f t="shared" si="20"/>
        <v>#REF!</v>
      </c>
      <c r="C538" s="110" t="str">
        <f t="shared" si="20"/>
        <v>#REF!</v>
      </c>
      <c r="D538" s="105" t="str">
        <f t="shared" si="20"/>
        <v>#REF!</v>
      </c>
      <c r="E538" s="104" t="str">
        <f t="shared" si="20"/>
        <v>#REF!</v>
      </c>
      <c r="F538" s="104" t="str">
        <f t="shared" si="20"/>
        <v>#REF!</v>
      </c>
      <c r="G538" s="104" t="str">
        <f t="shared" si="20"/>
        <v>#REF!</v>
      </c>
      <c r="H538" s="104" t="str">
        <f t="shared" si="20"/>
        <v>#REF!</v>
      </c>
      <c r="I538" s="104" t="str">
        <f t="shared" si="20"/>
        <v>#REF!</v>
      </c>
      <c r="J538" s="104" t="str">
        <f t="shared" si="20"/>
        <v>#REF!</v>
      </c>
      <c r="K538" s="104" t="s">
        <v>4536</v>
      </c>
      <c r="L538" s="104" t="s">
        <v>26</v>
      </c>
      <c r="M538" s="104" t="s">
        <v>27</v>
      </c>
      <c r="N538" s="108" t="str">
        <f t="shared" si="1"/>
        <v>#REF!</v>
      </c>
      <c r="O538" s="111" t="str">
        <f t="shared" ref="O538:P538" si="21">#REF!</f>
        <v>#REF!</v>
      </c>
      <c r="P538" s="106" t="str">
        <f t="shared" si="21"/>
        <v>#REF!</v>
      </c>
    </row>
    <row r="539">
      <c r="A539" s="104" t="str">
        <f t="shared" ref="A539:J539" si="22">#REF!</f>
        <v>#REF!</v>
      </c>
      <c r="B539" s="104" t="str">
        <f t="shared" si="22"/>
        <v>#REF!</v>
      </c>
      <c r="C539" s="110" t="str">
        <f t="shared" si="22"/>
        <v>#REF!</v>
      </c>
      <c r="D539" s="105" t="str">
        <f t="shared" si="22"/>
        <v>#REF!</v>
      </c>
      <c r="E539" s="104" t="str">
        <f t="shared" si="22"/>
        <v>#REF!</v>
      </c>
      <c r="F539" s="104" t="str">
        <f t="shared" si="22"/>
        <v>#REF!</v>
      </c>
      <c r="G539" s="104" t="str">
        <f t="shared" si="22"/>
        <v>#REF!</v>
      </c>
      <c r="H539" s="104" t="str">
        <f t="shared" si="22"/>
        <v>#REF!</v>
      </c>
      <c r="I539" s="104" t="str">
        <f t="shared" si="22"/>
        <v>#REF!</v>
      </c>
      <c r="J539" s="104" t="str">
        <f t="shared" si="22"/>
        <v>#REF!</v>
      </c>
      <c r="K539" s="104" t="s">
        <v>4536</v>
      </c>
      <c r="L539" s="104" t="s">
        <v>26</v>
      </c>
      <c r="M539" s="104" t="s">
        <v>27</v>
      </c>
      <c r="N539" s="108" t="str">
        <f t="shared" si="1"/>
        <v>#REF!</v>
      </c>
      <c r="O539" s="111" t="str">
        <f t="shared" ref="O539:P539" si="23">#REF!</f>
        <v>#REF!</v>
      </c>
      <c r="P539" s="106" t="str">
        <f t="shared" si="23"/>
        <v>#REF!</v>
      </c>
    </row>
    <row r="540">
      <c r="A540" s="104" t="str">
        <f t="shared" ref="A540:J540" si="24">#REF!</f>
        <v>#REF!</v>
      </c>
      <c r="B540" s="104" t="str">
        <f t="shared" si="24"/>
        <v>#REF!</v>
      </c>
      <c r="C540" s="110" t="str">
        <f t="shared" si="24"/>
        <v>#REF!</v>
      </c>
      <c r="D540" s="105" t="str">
        <f t="shared" si="24"/>
        <v>#REF!</v>
      </c>
      <c r="E540" s="104" t="str">
        <f t="shared" si="24"/>
        <v>#REF!</v>
      </c>
      <c r="F540" s="104" t="str">
        <f t="shared" si="24"/>
        <v>#REF!</v>
      </c>
      <c r="G540" s="104" t="str">
        <f t="shared" si="24"/>
        <v>#REF!</v>
      </c>
      <c r="H540" s="104" t="str">
        <f t="shared" si="24"/>
        <v>#REF!</v>
      </c>
      <c r="I540" s="104" t="str">
        <f t="shared" si="24"/>
        <v>#REF!</v>
      </c>
      <c r="J540" s="104" t="str">
        <f t="shared" si="24"/>
        <v>#REF!</v>
      </c>
      <c r="K540" s="104" t="s">
        <v>4536</v>
      </c>
      <c r="L540" s="104" t="s">
        <v>26</v>
      </c>
      <c r="M540" s="104" t="s">
        <v>27</v>
      </c>
      <c r="N540" s="108" t="str">
        <f t="shared" si="1"/>
        <v>#REF!</v>
      </c>
      <c r="O540" s="111" t="str">
        <f t="shared" ref="O540:P540" si="25">#REF!</f>
        <v>#REF!</v>
      </c>
      <c r="P540" s="106" t="str">
        <f t="shared" si="25"/>
        <v>#REF!</v>
      </c>
    </row>
    <row r="541">
      <c r="A541" s="104" t="str">
        <f t="shared" ref="A541:J541" si="26">#REF!</f>
        <v>#REF!</v>
      </c>
      <c r="B541" s="104" t="str">
        <f t="shared" si="26"/>
        <v>#REF!</v>
      </c>
      <c r="C541" s="110" t="str">
        <f t="shared" si="26"/>
        <v>#REF!</v>
      </c>
      <c r="D541" s="105" t="str">
        <f t="shared" si="26"/>
        <v>#REF!</v>
      </c>
      <c r="E541" s="104" t="str">
        <f t="shared" si="26"/>
        <v>#REF!</v>
      </c>
      <c r="F541" s="104" t="str">
        <f t="shared" si="26"/>
        <v>#REF!</v>
      </c>
      <c r="G541" s="104" t="str">
        <f t="shared" si="26"/>
        <v>#REF!</v>
      </c>
      <c r="H541" s="104" t="str">
        <f t="shared" si="26"/>
        <v>#REF!</v>
      </c>
      <c r="I541" s="104" t="str">
        <f t="shared" si="26"/>
        <v>#REF!</v>
      </c>
      <c r="J541" s="104" t="str">
        <f t="shared" si="26"/>
        <v>#REF!</v>
      </c>
      <c r="K541" s="104" t="s">
        <v>4536</v>
      </c>
      <c r="L541" s="104" t="s">
        <v>26</v>
      </c>
      <c r="M541" s="104" t="s">
        <v>27</v>
      </c>
      <c r="N541" s="108" t="str">
        <f t="shared" si="1"/>
        <v>#REF!</v>
      </c>
      <c r="O541" s="111" t="str">
        <f t="shared" ref="O541:P541" si="27">#REF!</f>
        <v>#REF!</v>
      </c>
      <c r="P541" s="106" t="str">
        <f t="shared" si="27"/>
        <v>#REF!</v>
      </c>
    </row>
    <row r="542">
      <c r="A542" s="104" t="str">
        <f t="shared" ref="A542:J542" si="28">#REF!</f>
        <v>#REF!</v>
      </c>
      <c r="B542" s="104" t="str">
        <f t="shared" si="28"/>
        <v>#REF!</v>
      </c>
      <c r="C542" s="110" t="str">
        <f t="shared" si="28"/>
        <v>#REF!</v>
      </c>
      <c r="D542" s="105" t="str">
        <f t="shared" si="28"/>
        <v>#REF!</v>
      </c>
      <c r="E542" s="104" t="str">
        <f t="shared" si="28"/>
        <v>#REF!</v>
      </c>
      <c r="F542" s="104" t="str">
        <f t="shared" si="28"/>
        <v>#REF!</v>
      </c>
      <c r="G542" s="104" t="str">
        <f t="shared" si="28"/>
        <v>#REF!</v>
      </c>
      <c r="H542" s="104" t="str">
        <f t="shared" si="28"/>
        <v>#REF!</v>
      </c>
      <c r="I542" s="104" t="str">
        <f t="shared" si="28"/>
        <v>#REF!</v>
      </c>
      <c r="J542" s="104" t="str">
        <f t="shared" si="28"/>
        <v>#REF!</v>
      </c>
      <c r="K542" s="104" t="s">
        <v>4536</v>
      </c>
      <c r="L542" s="104" t="s">
        <v>26</v>
      </c>
      <c r="M542" s="104" t="s">
        <v>27</v>
      </c>
      <c r="N542" s="108" t="str">
        <f t="shared" si="1"/>
        <v>#REF!</v>
      </c>
      <c r="O542" s="111" t="str">
        <f t="shared" ref="O542:P542" si="29">#REF!</f>
        <v>#REF!</v>
      </c>
      <c r="P542" s="106" t="str">
        <f t="shared" si="29"/>
        <v>#REF!</v>
      </c>
    </row>
    <row r="543">
      <c r="A543" s="104" t="str">
        <f t="shared" ref="A543:J543" si="30">#REF!</f>
        <v>#REF!</v>
      </c>
      <c r="B543" s="104" t="str">
        <f t="shared" si="30"/>
        <v>#REF!</v>
      </c>
      <c r="C543" s="110" t="str">
        <f t="shared" si="30"/>
        <v>#REF!</v>
      </c>
      <c r="D543" s="105" t="str">
        <f t="shared" si="30"/>
        <v>#REF!</v>
      </c>
      <c r="E543" s="104" t="str">
        <f t="shared" si="30"/>
        <v>#REF!</v>
      </c>
      <c r="F543" s="104" t="str">
        <f t="shared" si="30"/>
        <v>#REF!</v>
      </c>
      <c r="G543" s="104" t="str">
        <f t="shared" si="30"/>
        <v>#REF!</v>
      </c>
      <c r="H543" s="104" t="str">
        <f t="shared" si="30"/>
        <v>#REF!</v>
      </c>
      <c r="I543" s="104" t="str">
        <f t="shared" si="30"/>
        <v>#REF!</v>
      </c>
      <c r="J543" s="104" t="str">
        <f t="shared" si="30"/>
        <v>#REF!</v>
      </c>
      <c r="K543" s="104" t="s">
        <v>4536</v>
      </c>
      <c r="L543" s="104" t="s">
        <v>26</v>
      </c>
      <c r="M543" s="104" t="s">
        <v>27</v>
      </c>
      <c r="N543" s="108" t="str">
        <f t="shared" si="1"/>
        <v>#REF!</v>
      </c>
      <c r="O543" s="111" t="str">
        <f t="shared" ref="O543:P543" si="31">#REF!</f>
        <v>#REF!</v>
      </c>
      <c r="P543" s="106" t="str">
        <f t="shared" si="31"/>
        <v>#REF!</v>
      </c>
    </row>
    <row r="544">
      <c r="A544" s="104" t="str">
        <f t="shared" ref="A544:J544" si="32">#REF!</f>
        <v>#REF!</v>
      </c>
      <c r="B544" s="104" t="str">
        <f t="shared" si="32"/>
        <v>#REF!</v>
      </c>
      <c r="C544" s="110" t="str">
        <f t="shared" si="32"/>
        <v>#REF!</v>
      </c>
      <c r="D544" s="105" t="str">
        <f t="shared" si="32"/>
        <v>#REF!</v>
      </c>
      <c r="E544" s="104" t="str">
        <f t="shared" si="32"/>
        <v>#REF!</v>
      </c>
      <c r="F544" s="104" t="str">
        <f t="shared" si="32"/>
        <v>#REF!</v>
      </c>
      <c r="G544" s="104" t="str">
        <f t="shared" si="32"/>
        <v>#REF!</v>
      </c>
      <c r="H544" s="104" t="str">
        <f t="shared" si="32"/>
        <v>#REF!</v>
      </c>
      <c r="I544" s="104" t="str">
        <f t="shared" si="32"/>
        <v>#REF!</v>
      </c>
      <c r="J544" s="104" t="str">
        <f t="shared" si="32"/>
        <v>#REF!</v>
      </c>
      <c r="K544" s="104" t="s">
        <v>4536</v>
      </c>
      <c r="L544" s="104" t="s">
        <v>26</v>
      </c>
      <c r="M544" s="104" t="s">
        <v>27</v>
      </c>
      <c r="N544" s="108" t="str">
        <f t="shared" si="1"/>
        <v>#REF!</v>
      </c>
      <c r="O544" s="111" t="str">
        <f t="shared" ref="O544:P544" si="33">#REF!</f>
        <v>#REF!</v>
      </c>
      <c r="P544" s="106" t="str">
        <f t="shared" si="33"/>
        <v>#REF!</v>
      </c>
    </row>
    <row r="545">
      <c r="A545" s="104" t="str">
        <f t="shared" ref="A545:J545" si="34">#REF!</f>
        <v>#REF!</v>
      </c>
      <c r="B545" s="104" t="str">
        <f t="shared" si="34"/>
        <v>#REF!</v>
      </c>
      <c r="C545" s="110" t="str">
        <f t="shared" si="34"/>
        <v>#REF!</v>
      </c>
      <c r="D545" s="105" t="str">
        <f t="shared" si="34"/>
        <v>#REF!</v>
      </c>
      <c r="E545" s="104" t="str">
        <f t="shared" si="34"/>
        <v>#REF!</v>
      </c>
      <c r="F545" s="104" t="str">
        <f t="shared" si="34"/>
        <v>#REF!</v>
      </c>
      <c r="G545" s="104" t="str">
        <f t="shared" si="34"/>
        <v>#REF!</v>
      </c>
      <c r="H545" s="104" t="str">
        <f t="shared" si="34"/>
        <v>#REF!</v>
      </c>
      <c r="I545" s="104" t="str">
        <f t="shared" si="34"/>
        <v>#REF!</v>
      </c>
      <c r="J545" s="104" t="str">
        <f t="shared" si="34"/>
        <v>#REF!</v>
      </c>
      <c r="K545" s="104" t="s">
        <v>4536</v>
      </c>
      <c r="L545" s="104" t="s">
        <v>26</v>
      </c>
      <c r="M545" s="104" t="s">
        <v>27</v>
      </c>
      <c r="N545" s="108" t="str">
        <f t="shared" si="1"/>
        <v>#REF!</v>
      </c>
      <c r="O545" s="111" t="str">
        <f t="shared" ref="O545:P545" si="35">#REF!</f>
        <v>#REF!</v>
      </c>
      <c r="P545" s="106" t="str">
        <f t="shared" si="35"/>
        <v>#REF!</v>
      </c>
    </row>
    <row r="546">
      <c r="A546" s="104" t="str">
        <f t="shared" ref="A546:J546" si="36">#REF!</f>
        <v>#REF!</v>
      </c>
      <c r="B546" s="104" t="str">
        <f t="shared" si="36"/>
        <v>#REF!</v>
      </c>
      <c r="C546" s="110" t="str">
        <f t="shared" si="36"/>
        <v>#REF!</v>
      </c>
      <c r="D546" s="105" t="str">
        <f t="shared" si="36"/>
        <v>#REF!</v>
      </c>
      <c r="E546" s="104" t="str">
        <f t="shared" si="36"/>
        <v>#REF!</v>
      </c>
      <c r="F546" s="104" t="str">
        <f t="shared" si="36"/>
        <v>#REF!</v>
      </c>
      <c r="G546" s="104" t="str">
        <f t="shared" si="36"/>
        <v>#REF!</v>
      </c>
      <c r="H546" s="104" t="str">
        <f t="shared" si="36"/>
        <v>#REF!</v>
      </c>
      <c r="I546" s="104" t="str">
        <f t="shared" si="36"/>
        <v>#REF!</v>
      </c>
      <c r="J546" s="104" t="str">
        <f t="shared" si="36"/>
        <v>#REF!</v>
      </c>
      <c r="K546" s="104" t="s">
        <v>4536</v>
      </c>
      <c r="L546" s="104" t="s">
        <v>26</v>
      </c>
      <c r="M546" s="104" t="s">
        <v>27</v>
      </c>
      <c r="N546" s="108" t="str">
        <f t="shared" si="1"/>
        <v>#REF!</v>
      </c>
      <c r="O546" s="111" t="str">
        <f t="shared" ref="O546:P546" si="37">#REF!</f>
        <v>#REF!</v>
      </c>
      <c r="P546" s="106" t="str">
        <f t="shared" si="37"/>
        <v>#REF!</v>
      </c>
    </row>
    <row r="547">
      <c r="A547" s="104" t="str">
        <f t="shared" ref="A547:J547" si="38">#REF!</f>
        <v>#REF!</v>
      </c>
      <c r="B547" s="104" t="str">
        <f t="shared" si="38"/>
        <v>#REF!</v>
      </c>
      <c r="C547" s="110" t="str">
        <f t="shared" si="38"/>
        <v>#REF!</v>
      </c>
      <c r="D547" s="105" t="str">
        <f t="shared" si="38"/>
        <v>#REF!</v>
      </c>
      <c r="E547" s="104" t="str">
        <f t="shared" si="38"/>
        <v>#REF!</v>
      </c>
      <c r="F547" s="104" t="str">
        <f t="shared" si="38"/>
        <v>#REF!</v>
      </c>
      <c r="G547" s="104" t="str">
        <f t="shared" si="38"/>
        <v>#REF!</v>
      </c>
      <c r="H547" s="104" t="str">
        <f t="shared" si="38"/>
        <v>#REF!</v>
      </c>
      <c r="I547" s="104" t="str">
        <f t="shared" si="38"/>
        <v>#REF!</v>
      </c>
      <c r="J547" s="104" t="str">
        <f t="shared" si="38"/>
        <v>#REF!</v>
      </c>
      <c r="K547" s="104" t="s">
        <v>4536</v>
      </c>
      <c r="L547" s="104" t="s">
        <v>26</v>
      </c>
      <c r="M547" s="104" t="s">
        <v>27</v>
      </c>
      <c r="N547" s="108" t="str">
        <f t="shared" si="1"/>
        <v>#REF!</v>
      </c>
      <c r="O547" s="111" t="str">
        <f t="shared" ref="O547:P547" si="39">#REF!</f>
        <v>#REF!</v>
      </c>
      <c r="P547" s="106" t="str">
        <f t="shared" si="39"/>
        <v>#REF!</v>
      </c>
    </row>
    <row r="548">
      <c r="A548" s="104" t="str">
        <f t="shared" ref="A548:J548" si="40">#REF!</f>
        <v>#REF!</v>
      </c>
      <c r="B548" s="104" t="str">
        <f t="shared" si="40"/>
        <v>#REF!</v>
      </c>
      <c r="C548" s="110" t="str">
        <f t="shared" si="40"/>
        <v>#REF!</v>
      </c>
      <c r="D548" s="105" t="str">
        <f t="shared" si="40"/>
        <v>#REF!</v>
      </c>
      <c r="E548" s="104" t="str">
        <f t="shared" si="40"/>
        <v>#REF!</v>
      </c>
      <c r="F548" s="104" t="str">
        <f t="shared" si="40"/>
        <v>#REF!</v>
      </c>
      <c r="G548" s="104" t="str">
        <f t="shared" si="40"/>
        <v>#REF!</v>
      </c>
      <c r="H548" s="104" t="str">
        <f t="shared" si="40"/>
        <v>#REF!</v>
      </c>
      <c r="I548" s="104" t="str">
        <f t="shared" si="40"/>
        <v>#REF!</v>
      </c>
      <c r="J548" s="104" t="str">
        <f t="shared" si="40"/>
        <v>#REF!</v>
      </c>
      <c r="K548" s="104" t="s">
        <v>4536</v>
      </c>
      <c r="L548" s="104" t="s">
        <v>26</v>
      </c>
      <c r="M548" s="104" t="s">
        <v>27</v>
      </c>
      <c r="N548" s="108" t="str">
        <f t="shared" si="1"/>
        <v>#REF!</v>
      </c>
      <c r="O548" s="111" t="str">
        <f t="shared" ref="O548:P548" si="41">#REF!</f>
        <v>#REF!</v>
      </c>
      <c r="P548" s="106" t="str">
        <f t="shared" si="41"/>
        <v>#REF!</v>
      </c>
    </row>
    <row r="549">
      <c r="A549" s="104" t="str">
        <f t="shared" ref="A549:J549" si="42">#REF!</f>
        <v>#REF!</v>
      </c>
      <c r="B549" s="104" t="str">
        <f t="shared" si="42"/>
        <v>#REF!</v>
      </c>
      <c r="C549" s="110" t="str">
        <f t="shared" si="42"/>
        <v>#REF!</v>
      </c>
      <c r="D549" s="105" t="str">
        <f t="shared" si="42"/>
        <v>#REF!</v>
      </c>
      <c r="E549" s="104" t="str">
        <f t="shared" si="42"/>
        <v>#REF!</v>
      </c>
      <c r="F549" s="104" t="str">
        <f t="shared" si="42"/>
        <v>#REF!</v>
      </c>
      <c r="G549" s="104" t="str">
        <f t="shared" si="42"/>
        <v>#REF!</v>
      </c>
      <c r="H549" s="104" t="str">
        <f t="shared" si="42"/>
        <v>#REF!</v>
      </c>
      <c r="I549" s="104" t="str">
        <f t="shared" si="42"/>
        <v>#REF!</v>
      </c>
      <c r="J549" s="104" t="str">
        <f t="shared" si="42"/>
        <v>#REF!</v>
      </c>
      <c r="K549" s="104" t="s">
        <v>4536</v>
      </c>
      <c r="L549" s="104" t="s">
        <v>26</v>
      </c>
      <c r="M549" s="104" t="s">
        <v>27</v>
      </c>
      <c r="N549" s="108" t="str">
        <f t="shared" si="1"/>
        <v>#REF!</v>
      </c>
      <c r="O549" s="111" t="str">
        <f t="shared" ref="O549:P549" si="43">#REF!</f>
        <v>#REF!</v>
      </c>
      <c r="P549" s="106" t="str">
        <f t="shared" si="43"/>
        <v>#REF!</v>
      </c>
    </row>
    <row r="550">
      <c r="A550" s="104" t="str">
        <f t="shared" ref="A550:J550" si="44">#REF!</f>
        <v>#REF!</v>
      </c>
      <c r="B550" s="104" t="str">
        <f t="shared" si="44"/>
        <v>#REF!</v>
      </c>
      <c r="C550" s="110" t="str">
        <f t="shared" si="44"/>
        <v>#REF!</v>
      </c>
      <c r="D550" s="105" t="str">
        <f t="shared" si="44"/>
        <v>#REF!</v>
      </c>
      <c r="E550" s="104" t="str">
        <f t="shared" si="44"/>
        <v>#REF!</v>
      </c>
      <c r="F550" s="104" t="str">
        <f t="shared" si="44"/>
        <v>#REF!</v>
      </c>
      <c r="G550" s="104" t="str">
        <f t="shared" si="44"/>
        <v>#REF!</v>
      </c>
      <c r="H550" s="104" t="str">
        <f t="shared" si="44"/>
        <v>#REF!</v>
      </c>
      <c r="I550" s="104" t="str">
        <f t="shared" si="44"/>
        <v>#REF!</v>
      </c>
      <c r="J550" s="104" t="str">
        <f t="shared" si="44"/>
        <v>#REF!</v>
      </c>
      <c r="K550" s="104" t="s">
        <v>4536</v>
      </c>
      <c r="L550" s="104" t="s">
        <v>26</v>
      </c>
      <c r="M550" s="104" t="s">
        <v>27</v>
      </c>
      <c r="N550" s="108" t="str">
        <f t="shared" si="1"/>
        <v>#REF!</v>
      </c>
      <c r="O550" s="111" t="str">
        <f t="shared" ref="O550:P550" si="45">#REF!</f>
        <v>#REF!</v>
      </c>
      <c r="P550" s="106" t="str">
        <f t="shared" si="45"/>
        <v>#REF!</v>
      </c>
    </row>
    <row r="551">
      <c r="A551" s="104" t="str">
        <f t="shared" ref="A551:J551" si="46">#REF!</f>
        <v>#REF!</v>
      </c>
      <c r="B551" s="104" t="str">
        <f t="shared" si="46"/>
        <v>#REF!</v>
      </c>
      <c r="C551" s="110" t="str">
        <f t="shared" si="46"/>
        <v>#REF!</v>
      </c>
      <c r="D551" s="105" t="str">
        <f t="shared" si="46"/>
        <v>#REF!</v>
      </c>
      <c r="E551" s="104" t="str">
        <f t="shared" si="46"/>
        <v>#REF!</v>
      </c>
      <c r="F551" s="104" t="str">
        <f t="shared" si="46"/>
        <v>#REF!</v>
      </c>
      <c r="G551" s="104" t="str">
        <f t="shared" si="46"/>
        <v>#REF!</v>
      </c>
      <c r="H551" s="104" t="str">
        <f t="shared" si="46"/>
        <v>#REF!</v>
      </c>
      <c r="I551" s="104" t="str">
        <f t="shared" si="46"/>
        <v>#REF!</v>
      </c>
      <c r="J551" s="104" t="str">
        <f t="shared" si="46"/>
        <v>#REF!</v>
      </c>
      <c r="K551" s="104" t="s">
        <v>4536</v>
      </c>
      <c r="L551" s="104" t="s">
        <v>26</v>
      </c>
      <c r="M551" s="104" t="s">
        <v>27</v>
      </c>
      <c r="N551" s="108" t="str">
        <f t="shared" si="1"/>
        <v>#REF!</v>
      </c>
      <c r="O551" s="111" t="str">
        <f t="shared" ref="O551:P551" si="47">#REF!</f>
        <v>#REF!</v>
      </c>
      <c r="P551" s="106" t="str">
        <f t="shared" si="47"/>
        <v>#REF!</v>
      </c>
    </row>
    <row r="552">
      <c r="A552" s="104" t="str">
        <f t="shared" ref="A552:J552" si="48">#REF!</f>
        <v>#REF!</v>
      </c>
      <c r="B552" s="104" t="str">
        <f t="shared" si="48"/>
        <v>#REF!</v>
      </c>
      <c r="C552" s="110" t="str">
        <f t="shared" si="48"/>
        <v>#REF!</v>
      </c>
      <c r="D552" s="105" t="str">
        <f t="shared" si="48"/>
        <v>#REF!</v>
      </c>
      <c r="E552" s="104" t="str">
        <f t="shared" si="48"/>
        <v>#REF!</v>
      </c>
      <c r="F552" s="104" t="str">
        <f t="shared" si="48"/>
        <v>#REF!</v>
      </c>
      <c r="G552" s="104" t="str">
        <f t="shared" si="48"/>
        <v>#REF!</v>
      </c>
      <c r="H552" s="104" t="str">
        <f t="shared" si="48"/>
        <v>#REF!</v>
      </c>
      <c r="I552" s="104" t="str">
        <f t="shared" si="48"/>
        <v>#REF!</v>
      </c>
      <c r="J552" s="104" t="str">
        <f t="shared" si="48"/>
        <v>#REF!</v>
      </c>
      <c r="K552" s="104" t="s">
        <v>4536</v>
      </c>
      <c r="L552" s="104" t="s">
        <v>26</v>
      </c>
      <c r="M552" s="104" t="s">
        <v>27</v>
      </c>
      <c r="N552" s="108" t="str">
        <f t="shared" si="1"/>
        <v>#REF!</v>
      </c>
      <c r="O552" s="111" t="str">
        <f t="shared" ref="O552:P552" si="49">#REF!</f>
        <v>#REF!</v>
      </c>
      <c r="P552" s="106" t="str">
        <f t="shared" si="49"/>
        <v>#REF!</v>
      </c>
    </row>
    <row r="553">
      <c r="A553" s="104" t="str">
        <f t="shared" ref="A553:J553" si="50">#REF!</f>
        <v>#REF!</v>
      </c>
      <c r="B553" s="104" t="str">
        <f t="shared" si="50"/>
        <v>#REF!</v>
      </c>
      <c r="C553" s="110" t="str">
        <f t="shared" si="50"/>
        <v>#REF!</v>
      </c>
      <c r="D553" s="105" t="str">
        <f t="shared" si="50"/>
        <v>#REF!</v>
      </c>
      <c r="E553" s="104" t="str">
        <f t="shared" si="50"/>
        <v>#REF!</v>
      </c>
      <c r="F553" s="104" t="str">
        <f t="shared" si="50"/>
        <v>#REF!</v>
      </c>
      <c r="G553" s="104" t="str">
        <f t="shared" si="50"/>
        <v>#REF!</v>
      </c>
      <c r="H553" s="104" t="str">
        <f t="shared" si="50"/>
        <v>#REF!</v>
      </c>
      <c r="I553" s="104" t="str">
        <f t="shared" si="50"/>
        <v>#REF!</v>
      </c>
      <c r="J553" s="104" t="str">
        <f t="shared" si="50"/>
        <v>#REF!</v>
      </c>
      <c r="K553" s="104" t="s">
        <v>4536</v>
      </c>
      <c r="L553" s="104" t="s">
        <v>26</v>
      </c>
      <c r="M553" s="104" t="s">
        <v>27</v>
      </c>
      <c r="N553" s="108" t="str">
        <f t="shared" si="1"/>
        <v>#REF!</v>
      </c>
      <c r="O553" s="111" t="str">
        <f t="shared" ref="O553:P553" si="51">#REF!</f>
        <v>#REF!</v>
      </c>
      <c r="P553" s="106" t="str">
        <f t="shared" si="51"/>
        <v>#REF!</v>
      </c>
    </row>
    <row r="554">
      <c r="A554" s="104" t="str">
        <f t="shared" ref="A554:J554" si="52">#REF!</f>
        <v>#REF!</v>
      </c>
      <c r="B554" s="104" t="str">
        <f t="shared" si="52"/>
        <v>#REF!</v>
      </c>
      <c r="C554" s="110" t="str">
        <f t="shared" si="52"/>
        <v>#REF!</v>
      </c>
      <c r="D554" s="105" t="str">
        <f t="shared" si="52"/>
        <v>#REF!</v>
      </c>
      <c r="E554" s="104" t="str">
        <f t="shared" si="52"/>
        <v>#REF!</v>
      </c>
      <c r="F554" s="104" t="str">
        <f t="shared" si="52"/>
        <v>#REF!</v>
      </c>
      <c r="G554" s="104" t="str">
        <f t="shared" si="52"/>
        <v>#REF!</v>
      </c>
      <c r="H554" s="104" t="str">
        <f t="shared" si="52"/>
        <v>#REF!</v>
      </c>
      <c r="I554" s="104" t="str">
        <f t="shared" si="52"/>
        <v>#REF!</v>
      </c>
      <c r="J554" s="104" t="str">
        <f t="shared" si="52"/>
        <v>#REF!</v>
      </c>
      <c r="K554" s="104" t="s">
        <v>4536</v>
      </c>
      <c r="L554" s="104" t="s">
        <v>26</v>
      </c>
      <c r="M554" s="104" t="s">
        <v>27</v>
      </c>
      <c r="N554" s="108" t="str">
        <f t="shared" si="1"/>
        <v>#REF!</v>
      </c>
      <c r="O554" s="111" t="str">
        <f t="shared" ref="O554:P554" si="53">#REF!</f>
        <v>#REF!</v>
      </c>
      <c r="P554" s="106" t="str">
        <f t="shared" si="53"/>
        <v>#REF!</v>
      </c>
    </row>
    <row r="555">
      <c r="A555" s="104" t="str">
        <f t="shared" ref="A555:J555" si="54">#REF!</f>
        <v>#REF!</v>
      </c>
      <c r="B555" s="104" t="str">
        <f t="shared" si="54"/>
        <v>#REF!</v>
      </c>
      <c r="C555" s="110" t="str">
        <f t="shared" si="54"/>
        <v>#REF!</v>
      </c>
      <c r="D555" s="105" t="str">
        <f t="shared" si="54"/>
        <v>#REF!</v>
      </c>
      <c r="E555" s="104" t="str">
        <f t="shared" si="54"/>
        <v>#REF!</v>
      </c>
      <c r="F555" s="104" t="str">
        <f t="shared" si="54"/>
        <v>#REF!</v>
      </c>
      <c r="G555" s="104" t="str">
        <f t="shared" si="54"/>
        <v>#REF!</v>
      </c>
      <c r="H555" s="104" t="str">
        <f t="shared" si="54"/>
        <v>#REF!</v>
      </c>
      <c r="I555" s="104" t="str">
        <f t="shared" si="54"/>
        <v>#REF!</v>
      </c>
      <c r="J555" s="104" t="str">
        <f t="shared" si="54"/>
        <v>#REF!</v>
      </c>
      <c r="K555" s="104" t="s">
        <v>4536</v>
      </c>
      <c r="L555" s="104" t="s">
        <v>26</v>
      </c>
      <c r="M555" s="104" t="s">
        <v>27</v>
      </c>
      <c r="N555" s="108" t="str">
        <f t="shared" si="1"/>
        <v>#REF!</v>
      </c>
      <c r="O555" s="111" t="str">
        <f t="shared" ref="O555:P555" si="55">#REF!</f>
        <v>#REF!</v>
      </c>
      <c r="P555" s="106" t="str">
        <f t="shared" si="55"/>
        <v>#REF!</v>
      </c>
    </row>
    <row r="556">
      <c r="A556" s="104" t="str">
        <f t="shared" ref="A556:J556" si="56">#REF!</f>
        <v>#REF!</v>
      </c>
      <c r="B556" s="104" t="str">
        <f t="shared" si="56"/>
        <v>#REF!</v>
      </c>
      <c r="C556" s="110" t="str">
        <f t="shared" si="56"/>
        <v>#REF!</v>
      </c>
      <c r="D556" s="105" t="str">
        <f t="shared" si="56"/>
        <v>#REF!</v>
      </c>
      <c r="E556" s="104" t="str">
        <f t="shared" si="56"/>
        <v>#REF!</v>
      </c>
      <c r="F556" s="104" t="str">
        <f t="shared" si="56"/>
        <v>#REF!</v>
      </c>
      <c r="G556" s="104" t="str">
        <f t="shared" si="56"/>
        <v>#REF!</v>
      </c>
      <c r="H556" s="104" t="str">
        <f t="shared" si="56"/>
        <v>#REF!</v>
      </c>
      <c r="I556" s="104" t="str">
        <f t="shared" si="56"/>
        <v>#REF!</v>
      </c>
      <c r="J556" s="104" t="str">
        <f t="shared" si="56"/>
        <v>#REF!</v>
      </c>
      <c r="K556" s="104" t="s">
        <v>4536</v>
      </c>
      <c r="L556" s="104" t="s">
        <v>26</v>
      </c>
      <c r="M556" s="104" t="s">
        <v>27</v>
      </c>
      <c r="N556" s="108" t="str">
        <f t="shared" si="1"/>
        <v>#REF!</v>
      </c>
      <c r="O556" s="111" t="str">
        <f t="shared" ref="O556:P556" si="57">#REF!</f>
        <v>#REF!</v>
      </c>
      <c r="P556" s="106" t="str">
        <f t="shared" si="57"/>
        <v>#REF!</v>
      </c>
    </row>
    <row r="557">
      <c r="A557" s="104" t="str">
        <f t="shared" ref="A557:J557" si="58">#REF!</f>
        <v>#REF!</v>
      </c>
      <c r="B557" s="104" t="str">
        <f t="shared" si="58"/>
        <v>#REF!</v>
      </c>
      <c r="C557" s="110" t="str">
        <f t="shared" si="58"/>
        <v>#REF!</v>
      </c>
      <c r="D557" s="105" t="str">
        <f t="shared" si="58"/>
        <v>#REF!</v>
      </c>
      <c r="E557" s="104" t="str">
        <f t="shared" si="58"/>
        <v>#REF!</v>
      </c>
      <c r="F557" s="104" t="str">
        <f t="shared" si="58"/>
        <v>#REF!</v>
      </c>
      <c r="G557" s="104" t="str">
        <f t="shared" si="58"/>
        <v>#REF!</v>
      </c>
      <c r="H557" s="104" t="str">
        <f t="shared" si="58"/>
        <v>#REF!</v>
      </c>
      <c r="I557" s="104" t="str">
        <f t="shared" si="58"/>
        <v>#REF!</v>
      </c>
      <c r="J557" s="104" t="str">
        <f t="shared" si="58"/>
        <v>#REF!</v>
      </c>
      <c r="K557" s="104" t="s">
        <v>4536</v>
      </c>
      <c r="L557" s="104" t="s">
        <v>26</v>
      </c>
      <c r="M557" s="104" t="s">
        <v>27</v>
      </c>
      <c r="N557" s="108" t="str">
        <f t="shared" si="1"/>
        <v>#REF!</v>
      </c>
      <c r="O557" s="111" t="str">
        <f t="shared" ref="O557:P557" si="59">#REF!</f>
        <v>#REF!</v>
      </c>
      <c r="P557" s="106" t="str">
        <f t="shared" si="59"/>
        <v>#REF!</v>
      </c>
    </row>
    <row r="558">
      <c r="A558" s="104" t="str">
        <f t="shared" ref="A558:J558" si="60">#REF!</f>
        <v>#REF!</v>
      </c>
      <c r="B558" s="104" t="str">
        <f t="shared" si="60"/>
        <v>#REF!</v>
      </c>
      <c r="C558" s="110" t="str">
        <f t="shared" si="60"/>
        <v>#REF!</v>
      </c>
      <c r="D558" s="105" t="str">
        <f t="shared" si="60"/>
        <v>#REF!</v>
      </c>
      <c r="E558" s="104" t="str">
        <f t="shared" si="60"/>
        <v>#REF!</v>
      </c>
      <c r="F558" s="104" t="str">
        <f t="shared" si="60"/>
        <v>#REF!</v>
      </c>
      <c r="G558" s="104" t="str">
        <f t="shared" si="60"/>
        <v>#REF!</v>
      </c>
      <c r="H558" s="104" t="str">
        <f t="shared" si="60"/>
        <v>#REF!</v>
      </c>
      <c r="I558" s="104" t="str">
        <f t="shared" si="60"/>
        <v>#REF!</v>
      </c>
      <c r="J558" s="104" t="str">
        <f t="shared" si="60"/>
        <v>#REF!</v>
      </c>
      <c r="K558" s="104" t="s">
        <v>4536</v>
      </c>
      <c r="L558" s="104" t="s">
        <v>26</v>
      </c>
      <c r="M558" s="104" t="s">
        <v>27</v>
      </c>
      <c r="N558" s="108" t="str">
        <f t="shared" si="1"/>
        <v>#REF!</v>
      </c>
      <c r="O558" s="111" t="str">
        <f t="shared" ref="O558:P558" si="61">#REF!</f>
        <v>#REF!</v>
      </c>
      <c r="P558" s="106" t="str">
        <f t="shared" si="61"/>
        <v>#REF!</v>
      </c>
    </row>
    <row r="559">
      <c r="A559" s="104" t="str">
        <f t="shared" ref="A559:J559" si="62">#REF!</f>
        <v>#REF!</v>
      </c>
      <c r="B559" s="104" t="str">
        <f t="shared" si="62"/>
        <v>#REF!</v>
      </c>
      <c r="C559" s="110" t="str">
        <f t="shared" si="62"/>
        <v>#REF!</v>
      </c>
      <c r="D559" s="105" t="str">
        <f t="shared" si="62"/>
        <v>#REF!</v>
      </c>
      <c r="E559" s="104" t="str">
        <f t="shared" si="62"/>
        <v>#REF!</v>
      </c>
      <c r="F559" s="104" t="str">
        <f t="shared" si="62"/>
        <v>#REF!</v>
      </c>
      <c r="G559" s="104" t="str">
        <f t="shared" si="62"/>
        <v>#REF!</v>
      </c>
      <c r="H559" s="104" t="str">
        <f t="shared" si="62"/>
        <v>#REF!</v>
      </c>
      <c r="I559" s="104" t="str">
        <f t="shared" si="62"/>
        <v>#REF!</v>
      </c>
      <c r="J559" s="104" t="str">
        <f t="shared" si="62"/>
        <v>#REF!</v>
      </c>
      <c r="K559" s="104" t="s">
        <v>4536</v>
      </c>
      <c r="L559" s="104" t="s">
        <v>26</v>
      </c>
      <c r="M559" s="104" t="s">
        <v>27</v>
      </c>
      <c r="N559" s="108" t="str">
        <f t="shared" si="1"/>
        <v>#REF!</v>
      </c>
      <c r="O559" s="111" t="str">
        <f t="shared" ref="O559:P559" si="63">#REF!</f>
        <v>#REF!</v>
      </c>
      <c r="P559" s="106" t="str">
        <f t="shared" si="63"/>
        <v>#REF!</v>
      </c>
    </row>
    <row r="560">
      <c r="A560" s="104" t="str">
        <f t="shared" ref="A560:J560" si="64">#REF!</f>
        <v>#REF!</v>
      </c>
      <c r="B560" s="104" t="str">
        <f t="shared" si="64"/>
        <v>#REF!</v>
      </c>
      <c r="C560" s="110" t="str">
        <f t="shared" si="64"/>
        <v>#REF!</v>
      </c>
      <c r="D560" s="105" t="str">
        <f t="shared" si="64"/>
        <v>#REF!</v>
      </c>
      <c r="E560" s="104" t="str">
        <f t="shared" si="64"/>
        <v>#REF!</v>
      </c>
      <c r="F560" s="104" t="str">
        <f t="shared" si="64"/>
        <v>#REF!</v>
      </c>
      <c r="G560" s="104" t="str">
        <f t="shared" si="64"/>
        <v>#REF!</v>
      </c>
      <c r="H560" s="104" t="str">
        <f t="shared" si="64"/>
        <v>#REF!</v>
      </c>
      <c r="I560" s="104" t="str">
        <f t="shared" si="64"/>
        <v>#REF!</v>
      </c>
      <c r="J560" s="104" t="str">
        <f t="shared" si="64"/>
        <v>#REF!</v>
      </c>
      <c r="K560" s="104" t="s">
        <v>4536</v>
      </c>
      <c r="L560" s="104" t="s">
        <v>26</v>
      </c>
      <c r="M560" s="104" t="s">
        <v>27</v>
      </c>
      <c r="N560" s="108" t="str">
        <f t="shared" si="1"/>
        <v>#REF!</v>
      </c>
      <c r="O560" s="111" t="str">
        <f t="shared" ref="O560:P560" si="65">#REF!</f>
        <v>#REF!</v>
      </c>
      <c r="P560" s="106" t="str">
        <f t="shared" si="65"/>
        <v>#REF!</v>
      </c>
    </row>
    <row r="561">
      <c r="A561" s="104" t="str">
        <f t="shared" ref="A561:J561" si="66">#REF!</f>
        <v>#REF!</v>
      </c>
      <c r="B561" s="104" t="str">
        <f t="shared" si="66"/>
        <v>#REF!</v>
      </c>
      <c r="C561" s="110" t="str">
        <f t="shared" si="66"/>
        <v>#REF!</v>
      </c>
      <c r="D561" s="105" t="str">
        <f t="shared" si="66"/>
        <v>#REF!</v>
      </c>
      <c r="E561" s="104" t="str">
        <f t="shared" si="66"/>
        <v>#REF!</v>
      </c>
      <c r="F561" s="104" t="str">
        <f t="shared" si="66"/>
        <v>#REF!</v>
      </c>
      <c r="G561" s="104" t="str">
        <f t="shared" si="66"/>
        <v>#REF!</v>
      </c>
      <c r="H561" s="104" t="str">
        <f t="shared" si="66"/>
        <v>#REF!</v>
      </c>
      <c r="I561" s="104" t="str">
        <f t="shared" si="66"/>
        <v>#REF!</v>
      </c>
      <c r="J561" s="104" t="str">
        <f t="shared" si="66"/>
        <v>#REF!</v>
      </c>
      <c r="K561" s="104" t="s">
        <v>4536</v>
      </c>
      <c r="L561" s="104" t="s">
        <v>26</v>
      </c>
      <c r="M561" s="104" t="s">
        <v>27</v>
      </c>
      <c r="N561" s="108" t="str">
        <f t="shared" si="1"/>
        <v>#REF!</v>
      </c>
      <c r="O561" s="111" t="str">
        <f t="shared" ref="O561:P561" si="67">#REF!</f>
        <v>#REF!</v>
      </c>
      <c r="P561" s="106" t="str">
        <f t="shared" si="67"/>
        <v>#REF!</v>
      </c>
    </row>
    <row r="562">
      <c r="A562" s="104" t="str">
        <f t="shared" ref="A562:J562" si="68">#REF!</f>
        <v>#REF!</v>
      </c>
      <c r="B562" s="104" t="str">
        <f t="shared" si="68"/>
        <v>#REF!</v>
      </c>
      <c r="C562" s="110" t="str">
        <f t="shared" si="68"/>
        <v>#REF!</v>
      </c>
      <c r="D562" s="105" t="str">
        <f t="shared" si="68"/>
        <v>#REF!</v>
      </c>
      <c r="E562" s="104" t="str">
        <f t="shared" si="68"/>
        <v>#REF!</v>
      </c>
      <c r="F562" s="104" t="str">
        <f t="shared" si="68"/>
        <v>#REF!</v>
      </c>
      <c r="G562" s="104" t="str">
        <f t="shared" si="68"/>
        <v>#REF!</v>
      </c>
      <c r="H562" s="104" t="str">
        <f t="shared" si="68"/>
        <v>#REF!</v>
      </c>
      <c r="I562" s="104" t="str">
        <f t="shared" si="68"/>
        <v>#REF!</v>
      </c>
      <c r="J562" s="104" t="str">
        <f t="shared" si="68"/>
        <v>#REF!</v>
      </c>
      <c r="K562" s="104" t="s">
        <v>4536</v>
      </c>
      <c r="L562" s="104" t="s">
        <v>26</v>
      </c>
      <c r="M562" s="104" t="s">
        <v>27</v>
      </c>
      <c r="N562" s="108" t="str">
        <f t="shared" si="1"/>
        <v>#REF!</v>
      </c>
      <c r="O562" s="111" t="str">
        <f t="shared" ref="O562:P562" si="69">#REF!</f>
        <v>#REF!</v>
      </c>
      <c r="P562" s="106" t="str">
        <f t="shared" si="69"/>
        <v>#REF!</v>
      </c>
    </row>
    <row r="563">
      <c r="A563" s="104" t="str">
        <f t="shared" ref="A563:J563" si="70">#REF!</f>
        <v>#REF!</v>
      </c>
      <c r="B563" s="104" t="str">
        <f t="shared" si="70"/>
        <v>#REF!</v>
      </c>
      <c r="C563" s="110" t="str">
        <f t="shared" si="70"/>
        <v>#REF!</v>
      </c>
      <c r="D563" s="105" t="str">
        <f t="shared" si="70"/>
        <v>#REF!</v>
      </c>
      <c r="E563" s="104" t="str">
        <f t="shared" si="70"/>
        <v>#REF!</v>
      </c>
      <c r="F563" s="104" t="str">
        <f t="shared" si="70"/>
        <v>#REF!</v>
      </c>
      <c r="G563" s="104" t="str">
        <f t="shared" si="70"/>
        <v>#REF!</v>
      </c>
      <c r="H563" s="104" t="str">
        <f t="shared" si="70"/>
        <v>#REF!</v>
      </c>
      <c r="I563" s="104" t="str">
        <f t="shared" si="70"/>
        <v>#REF!</v>
      </c>
      <c r="J563" s="104" t="str">
        <f t="shared" si="70"/>
        <v>#REF!</v>
      </c>
      <c r="K563" s="104" t="s">
        <v>4536</v>
      </c>
      <c r="L563" s="104" t="s">
        <v>26</v>
      </c>
      <c r="M563" s="104" t="s">
        <v>27</v>
      </c>
      <c r="N563" s="108" t="str">
        <f t="shared" si="1"/>
        <v>#REF!</v>
      </c>
      <c r="O563" s="111" t="str">
        <f t="shared" ref="O563:P563" si="71">#REF!</f>
        <v>#REF!</v>
      </c>
      <c r="P563" s="106" t="str">
        <f t="shared" si="71"/>
        <v>#REF!</v>
      </c>
    </row>
    <row r="564">
      <c r="A564" s="104" t="str">
        <f t="shared" ref="A564:J564" si="72">#REF!</f>
        <v>#REF!</v>
      </c>
      <c r="B564" s="104" t="str">
        <f t="shared" si="72"/>
        <v>#REF!</v>
      </c>
      <c r="C564" s="110" t="str">
        <f t="shared" si="72"/>
        <v>#REF!</v>
      </c>
      <c r="D564" s="105" t="str">
        <f t="shared" si="72"/>
        <v>#REF!</v>
      </c>
      <c r="E564" s="104" t="str">
        <f t="shared" si="72"/>
        <v>#REF!</v>
      </c>
      <c r="F564" s="104" t="str">
        <f t="shared" si="72"/>
        <v>#REF!</v>
      </c>
      <c r="G564" s="104" t="str">
        <f t="shared" si="72"/>
        <v>#REF!</v>
      </c>
      <c r="H564" s="104" t="str">
        <f t="shared" si="72"/>
        <v>#REF!</v>
      </c>
      <c r="I564" s="104" t="str">
        <f t="shared" si="72"/>
        <v>#REF!</v>
      </c>
      <c r="J564" s="104" t="str">
        <f t="shared" si="72"/>
        <v>#REF!</v>
      </c>
      <c r="K564" s="104" t="s">
        <v>4536</v>
      </c>
      <c r="L564" s="104" t="s">
        <v>26</v>
      </c>
      <c r="M564" s="104" t="s">
        <v>27</v>
      </c>
      <c r="N564" s="108" t="str">
        <f t="shared" si="1"/>
        <v>#REF!</v>
      </c>
      <c r="O564" s="111" t="str">
        <f t="shared" ref="O564:P564" si="73">#REF!</f>
        <v>#REF!</v>
      </c>
      <c r="P564" s="106" t="str">
        <f t="shared" si="73"/>
        <v>#REF!</v>
      </c>
    </row>
    <row r="565">
      <c r="A565" s="104" t="str">
        <f t="shared" ref="A565:J565" si="74">#REF!</f>
        <v>#REF!</v>
      </c>
      <c r="B565" s="104" t="str">
        <f t="shared" si="74"/>
        <v>#REF!</v>
      </c>
      <c r="C565" s="110" t="str">
        <f t="shared" si="74"/>
        <v>#REF!</v>
      </c>
      <c r="D565" s="105" t="str">
        <f t="shared" si="74"/>
        <v>#REF!</v>
      </c>
      <c r="E565" s="104" t="str">
        <f t="shared" si="74"/>
        <v>#REF!</v>
      </c>
      <c r="F565" s="104" t="str">
        <f t="shared" si="74"/>
        <v>#REF!</v>
      </c>
      <c r="G565" s="104" t="str">
        <f t="shared" si="74"/>
        <v>#REF!</v>
      </c>
      <c r="H565" s="104" t="str">
        <f t="shared" si="74"/>
        <v>#REF!</v>
      </c>
      <c r="I565" s="104" t="str">
        <f t="shared" si="74"/>
        <v>#REF!</v>
      </c>
      <c r="J565" s="104" t="str">
        <f t="shared" si="74"/>
        <v>#REF!</v>
      </c>
      <c r="K565" s="104" t="s">
        <v>4536</v>
      </c>
      <c r="L565" s="104" t="s">
        <v>26</v>
      </c>
      <c r="M565" s="104" t="s">
        <v>27</v>
      </c>
      <c r="N565" s="108" t="str">
        <f t="shared" si="1"/>
        <v>#REF!</v>
      </c>
      <c r="O565" s="111" t="str">
        <f t="shared" ref="O565:P565" si="75">#REF!</f>
        <v>#REF!</v>
      </c>
      <c r="P565" s="106" t="str">
        <f t="shared" si="75"/>
        <v>#REF!</v>
      </c>
    </row>
    <row r="566">
      <c r="A566" s="104" t="str">
        <f t="shared" ref="A566:J566" si="76">#REF!</f>
        <v>#REF!</v>
      </c>
      <c r="B566" s="104" t="str">
        <f t="shared" si="76"/>
        <v>#REF!</v>
      </c>
      <c r="C566" s="110" t="str">
        <f t="shared" si="76"/>
        <v>#REF!</v>
      </c>
      <c r="D566" s="105" t="str">
        <f t="shared" si="76"/>
        <v>#REF!</v>
      </c>
      <c r="E566" s="104" t="str">
        <f t="shared" si="76"/>
        <v>#REF!</v>
      </c>
      <c r="F566" s="104" t="str">
        <f t="shared" si="76"/>
        <v>#REF!</v>
      </c>
      <c r="G566" s="104" t="str">
        <f t="shared" si="76"/>
        <v>#REF!</v>
      </c>
      <c r="H566" s="104" t="str">
        <f t="shared" si="76"/>
        <v>#REF!</v>
      </c>
      <c r="I566" s="104" t="str">
        <f t="shared" si="76"/>
        <v>#REF!</v>
      </c>
      <c r="J566" s="104" t="str">
        <f t="shared" si="76"/>
        <v>#REF!</v>
      </c>
      <c r="K566" s="104" t="s">
        <v>4536</v>
      </c>
      <c r="L566" s="104" t="s">
        <v>26</v>
      </c>
      <c r="M566" s="104" t="s">
        <v>27</v>
      </c>
      <c r="N566" s="108" t="str">
        <f t="shared" si="1"/>
        <v>#REF!</v>
      </c>
      <c r="O566" s="111" t="str">
        <f t="shared" ref="O566:P566" si="77">#REF!</f>
        <v>#REF!</v>
      </c>
      <c r="P566" s="106" t="str">
        <f t="shared" si="77"/>
        <v>#REF!</v>
      </c>
    </row>
    <row r="567">
      <c r="A567" s="104" t="str">
        <f t="shared" ref="A567:J567" si="78">#REF!</f>
        <v>#REF!</v>
      </c>
      <c r="B567" s="104" t="str">
        <f t="shared" si="78"/>
        <v>#REF!</v>
      </c>
      <c r="C567" s="110" t="str">
        <f t="shared" si="78"/>
        <v>#REF!</v>
      </c>
      <c r="D567" s="105" t="str">
        <f t="shared" si="78"/>
        <v>#REF!</v>
      </c>
      <c r="E567" s="104" t="str">
        <f t="shared" si="78"/>
        <v>#REF!</v>
      </c>
      <c r="F567" s="104" t="str">
        <f t="shared" si="78"/>
        <v>#REF!</v>
      </c>
      <c r="G567" s="104" t="str">
        <f t="shared" si="78"/>
        <v>#REF!</v>
      </c>
      <c r="H567" s="104" t="str">
        <f t="shared" si="78"/>
        <v>#REF!</v>
      </c>
      <c r="I567" s="104" t="str">
        <f t="shared" si="78"/>
        <v>#REF!</v>
      </c>
      <c r="J567" s="104" t="str">
        <f t="shared" si="78"/>
        <v>#REF!</v>
      </c>
      <c r="K567" s="104" t="s">
        <v>4536</v>
      </c>
      <c r="L567" s="104" t="s">
        <v>26</v>
      </c>
      <c r="M567" s="104" t="s">
        <v>27</v>
      </c>
      <c r="N567" s="108" t="str">
        <f t="shared" si="1"/>
        <v>#REF!</v>
      </c>
      <c r="O567" s="111" t="str">
        <f t="shared" ref="O567:P567" si="79">#REF!</f>
        <v>#REF!</v>
      </c>
      <c r="P567" s="106" t="str">
        <f t="shared" si="79"/>
        <v>#REF!</v>
      </c>
    </row>
    <row r="568">
      <c r="A568" s="104" t="str">
        <f t="shared" ref="A568:J568" si="80">#REF!</f>
        <v>#REF!</v>
      </c>
      <c r="B568" s="104" t="str">
        <f t="shared" si="80"/>
        <v>#REF!</v>
      </c>
      <c r="C568" s="110" t="str">
        <f t="shared" si="80"/>
        <v>#REF!</v>
      </c>
      <c r="D568" s="105" t="str">
        <f t="shared" si="80"/>
        <v>#REF!</v>
      </c>
      <c r="E568" s="104" t="str">
        <f t="shared" si="80"/>
        <v>#REF!</v>
      </c>
      <c r="F568" s="104" t="str">
        <f t="shared" si="80"/>
        <v>#REF!</v>
      </c>
      <c r="G568" s="104" t="str">
        <f t="shared" si="80"/>
        <v>#REF!</v>
      </c>
      <c r="H568" s="104" t="str">
        <f t="shared" si="80"/>
        <v>#REF!</v>
      </c>
      <c r="I568" s="104" t="str">
        <f t="shared" si="80"/>
        <v>#REF!</v>
      </c>
      <c r="J568" s="104" t="str">
        <f t="shared" si="80"/>
        <v>#REF!</v>
      </c>
      <c r="K568" s="104" t="s">
        <v>4536</v>
      </c>
      <c r="L568" s="104" t="s">
        <v>26</v>
      </c>
      <c r="M568" s="104" t="s">
        <v>27</v>
      </c>
      <c r="N568" s="108" t="str">
        <f t="shared" si="1"/>
        <v>#REF!</v>
      </c>
      <c r="O568" s="111" t="str">
        <f t="shared" ref="O568:P568" si="81">#REF!</f>
        <v>#REF!</v>
      </c>
      <c r="P568" s="106" t="str">
        <f t="shared" si="81"/>
        <v>#REF!</v>
      </c>
    </row>
    <row r="569">
      <c r="A569" s="104" t="str">
        <f t="shared" ref="A569:J569" si="82">#REF!</f>
        <v>#REF!</v>
      </c>
      <c r="B569" s="104" t="str">
        <f t="shared" si="82"/>
        <v>#REF!</v>
      </c>
      <c r="C569" s="110" t="str">
        <f t="shared" si="82"/>
        <v>#REF!</v>
      </c>
      <c r="D569" s="105" t="str">
        <f t="shared" si="82"/>
        <v>#REF!</v>
      </c>
      <c r="E569" s="104" t="str">
        <f t="shared" si="82"/>
        <v>#REF!</v>
      </c>
      <c r="F569" s="104" t="str">
        <f t="shared" si="82"/>
        <v>#REF!</v>
      </c>
      <c r="G569" s="104" t="str">
        <f t="shared" si="82"/>
        <v>#REF!</v>
      </c>
      <c r="H569" s="104" t="str">
        <f t="shared" si="82"/>
        <v>#REF!</v>
      </c>
      <c r="I569" s="104" t="str">
        <f t="shared" si="82"/>
        <v>#REF!</v>
      </c>
      <c r="J569" s="104" t="str">
        <f t="shared" si="82"/>
        <v>#REF!</v>
      </c>
      <c r="K569" s="104" t="s">
        <v>4536</v>
      </c>
      <c r="L569" s="104" t="s">
        <v>26</v>
      </c>
      <c r="M569" s="104" t="s">
        <v>27</v>
      </c>
      <c r="N569" s="108" t="str">
        <f t="shared" si="1"/>
        <v>#REF!</v>
      </c>
      <c r="O569" s="111" t="str">
        <f t="shared" ref="O569:P569" si="83">#REF!</f>
        <v>#REF!</v>
      </c>
      <c r="P569" s="106" t="str">
        <f t="shared" si="83"/>
        <v>#REF!</v>
      </c>
    </row>
    <row r="570">
      <c r="A570" s="104" t="str">
        <f t="shared" ref="A570:J570" si="84">#REF!</f>
        <v>#REF!</v>
      </c>
      <c r="B570" s="104" t="str">
        <f t="shared" si="84"/>
        <v>#REF!</v>
      </c>
      <c r="C570" s="110" t="str">
        <f t="shared" si="84"/>
        <v>#REF!</v>
      </c>
      <c r="D570" s="105" t="str">
        <f t="shared" si="84"/>
        <v>#REF!</v>
      </c>
      <c r="E570" s="104" t="str">
        <f t="shared" si="84"/>
        <v>#REF!</v>
      </c>
      <c r="F570" s="104" t="str">
        <f t="shared" si="84"/>
        <v>#REF!</v>
      </c>
      <c r="G570" s="104" t="str">
        <f t="shared" si="84"/>
        <v>#REF!</v>
      </c>
      <c r="H570" s="104" t="str">
        <f t="shared" si="84"/>
        <v>#REF!</v>
      </c>
      <c r="I570" s="104" t="str">
        <f t="shared" si="84"/>
        <v>#REF!</v>
      </c>
      <c r="J570" s="104" t="str">
        <f t="shared" si="84"/>
        <v>#REF!</v>
      </c>
      <c r="K570" s="104" t="s">
        <v>4536</v>
      </c>
      <c r="L570" s="104" t="s">
        <v>26</v>
      </c>
      <c r="M570" s="104" t="s">
        <v>27</v>
      </c>
      <c r="N570" s="108" t="str">
        <f t="shared" si="1"/>
        <v>#REF!</v>
      </c>
      <c r="O570" s="111" t="str">
        <f t="shared" ref="O570:P570" si="85">#REF!</f>
        <v>#REF!</v>
      </c>
      <c r="P570" s="106" t="str">
        <f t="shared" si="85"/>
        <v>#REF!</v>
      </c>
    </row>
    <row r="571">
      <c r="A571" s="104" t="str">
        <f t="shared" ref="A571:J571" si="86">#REF!</f>
        <v>#REF!</v>
      </c>
      <c r="B571" s="104" t="str">
        <f t="shared" si="86"/>
        <v>#REF!</v>
      </c>
      <c r="C571" s="110" t="str">
        <f t="shared" si="86"/>
        <v>#REF!</v>
      </c>
      <c r="D571" s="105" t="str">
        <f t="shared" si="86"/>
        <v>#REF!</v>
      </c>
      <c r="E571" s="104" t="str">
        <f t="shared" si="86"/>
        <v>#REF!</v>
      </c>
      <c r="F571" s="104" t="str">
        <f t="shared" si="86"/>
        <v>#REF!</v>
      </c>
      <c r="G571" s="104" t="str">
        <f t="shared" si="86"/>
        <v>#REF!</v>
      </c>
      <c r="H571" s="104" t="str">
        <f t="shared" si="86"/>
        <v>#REF!</v>
      </c>
      <c r="I571" s="104" t="str">
        <f t="shared" si="86"/>
        <v>#REF!</v>
      </c>
      <c r="J571" s="104" t="str">
        <f t="shared" si="86"/>
        <v>#REF!</v>
      </c>
      <c r="K571" s="104" t="s">
        <v>4536</v>
      </c>
      <c r="L571" s="104" t="s">
        <v>26</v>
      </c>
      <c r="M571" s="104" t="s">
        <v>27</v>
      </c>
      <c r="N571" s="108" t="str">
        <f t="shared" si="1"/>
        <v>#REF!</v>
      </c>
      <c r="O571" s="111" t="str">
        <f t="shared" ref="O571:P571" si="87">#REF!</f>
        <v>#REF!</v>
      </c>
      <c r="P571" s="106" t="str">
        <f t="shared" si="87"/>
        <v>#REF!</v>
      </c>
    </row>
    <row r="572">
      <c r="A572" s="104" t="str">
        <f t="shared" ref="A572:J572" si="88">#REF!</f>
        <v>#REF!</v>
      </c>
      <c r="B572" s="104" t="str">
        <f t="shared" si="88"/>
        <v>#REF!</v>
      </c>
      <c r="C572" s="110" t="str">
        <f t="shared" si="88"/>
        <v>#REF!</v>
      </c>
      <c r="D572" s="105" t="str">
        <f t="shared" si="88"/>
        <v>#REF!</v>
      </c>
      <c r="E572" s="104" t="str">
        <f t="shared" si="88"/>
        <v>#REF!</v>
      </c>
      <c r="F572" s="104" t="str">
        <f t="shared" si="88"/>
        <v>#REF!</v>
      </c>
      <c r="G572" s="104" t="str">
        <f t="shared" si="88"/>
        <v>#REF!</v>
      </c>
      <c r="H572" s="104" t="str">
        <f t="shared" si="88"/>
        <v>#REF!</v>
      </c>
      <c r="I572" s="104" t="str">
        <f t="shared" si="88"/>
        <v>#REF!</v>
      </c>
      <c r="J572" s="104" t="str">
        <f t="shared" si="88"/>
        <v>#REF!</v>
      </c>
      <c r="K572" s="104" t="s">
        <v>4536</v>
      </c>
      <c r="L572" s="104" t="s">
        <v>26</v>
      </c>
      <c r="M572" s="104" t="s">
        <v>27</v>
      </c>
      <c r="N572" s="108" t="str">
        <f t="shared" si="1"/>
        <v>#REF!</v>
      </c>
      <c r="O572" s="111" t="str">
        <f t="shared" ref="O572:P572" si="89">#REF!</f>
        <v>#REF!</v>
      </c>
      <c r="P572" s="106" t="str">
        <f t="shared" si="89"/>
        <v>#REF!</v>
      </c>
    </row>
    <row r="573">
      <c r="A573" s="104" t="str">
        <f t="shared" ref="A573:J573" si="90">#REF!</f>
        <v>#REF!</v>
      </c>
      <c r="B573" s="104" t="str">
        <f t="shared" si="90"/>
        <v>#REF!</v>
      </c>
      <c r="C573" s="110" t="str">
        <f t="shared" si="90"/>
        <v>#REF!</v>
      </c>
      <c r="D573" s="105" t="str">
        <f t="shared" si="90"/>
        <v>#REF!</v>
      </c>
      <c r="E573" s="104" t="str">
        <f t="shared" si="90"/>
        <v>#REF!</v>
      </c>
      <c r="F573" s="104" t="str">
        <f t="shared" si="90"/>
        <v>#REF!</v>
      </c>
      <c r="G573" s="104" t="str">
        <f t="shared" si="90"/>
        <v>#REF!</v>
      </c>
      <c r="H573" s="104" t="str">
        <f t="shared" si="90"/>
        <v>#REF!</v>
      </c>
      <c r="I573" s="104" t="str">
        <f t="shared" si="90"/>
        <v>#REF!</v>
      </c>
      <c r="J573" s="104" t="str">
        <f t="shared" si="90"/>
        <v>#REF!</v>
      </c>
      <c r="K573" s="104" t="s">
        <v>4536</v>
      </c>
      <c r="L573" s="104" t="s">
        <v>26</v>
      </c>
      <c r="M573" s="104" t="s">
        <v>27</v>
      </c>
      <c r="N573" s="108" t="str">
        <f t="shared" si="1"/>
        <v>#REF!</v>
      </c>
      <c r="O573" s="111" t="str">
        <f t="shared" ref="O573:P573" si="91">#REF!</f>
        <v>#REF!</v>
      </c>
      <c r="P573" s="106" t="str">
        <f t="shared" si="91"/>
        <v>#REF!</v>
      </c>
    </row>
    <row r="574">
      <c r="A574" s="104" t="str">
        <f t="shared" ref="A574:J574" si="92">#REF!</f>
        <v>#REF!</v>
      </c>
      <c r="B574" s="104" t="str">
        <f t="shared" si="92"/>
        <v>#REF!</v>
      </c>
      <c r="C574" s="110" t="str">
        <f t="shared" si="92"/>
        <v>#REF!</v>
      </c>
      <c r="D574" s="105" t="str">
        <f t="shared" si="92"/>
        <v>#REF!</v>
      </c>
      <c r="E574" s="104" t="str">
        <f t="shared" si="92"/>
        <v>#REF!</v>
      </c>
      <c r="F574" s="104" t="str">
        <f t="shared" si="92"/>
        <v>#REF!</v>
      </c>
      <c r="G574" s="104" t="str">
        <f t="shared" si="92"/>
        <v>#REF!</v>
      </c>
      <c r="H574" s="104" t="str">
        <f t="shared" si="92"/>
        <v>#REF!</v>
      </c>
      <c r="I574" s="104" t="str">
        <f t="shared" si="92"/>
        <v>#REF!</v>
      </c>
      <c r="J574" s="104" t="str">
        <f t="shared" si="92"/>
        <v>#REF!</v>
      </c>
      <c r="K574" s="104" t="s">
        <v>4536</v>
      </c>
      <c r="L574" s="104" t="s">
        <v>26</v>
      </c>
      <c r="M574" s="104" t="s">
        <v>27</v>
      </c>
      <c r="N574" s="108" t="str">
        <f t="shared" si="1"/>
        <v>#REF!</v>
      </c>
      <c r="O574" s="111" t="str">
        <f t="shared" ref="O574:P574" si="93">#REF!</f>
        <v>#REF!</v>
      </c>
      <c r="P574" s="106" t="str">
        <f t="shared" si="93"/>
        <v>#REF!</v>
      </c>
    </row>
    <row r="575">
      <c r="A575" s="104" t="str">
        <f t="shared" ref="A575:J575" si="94">#REF!</f>
        <v>#REF!</v>
      </c>
      <c r="B575" s="104" t="str">
        <f t="shared" si="94"/>
        <v>#REF!</v>
      </c>
      <c r="C575" s="110" t="str">
        <f t="shared" si="94"/>
        <v>#REF!</v>
      </c>
      <c r="D575" s="105" t="str">
        <f t="shared" si="94"/>
        <v>#REF!</v>
      </c>
      <c r="E575" s="104" t="str">
        <f t="shared" si="94"/>
        <v>#REF!</v>
      </c>
      <c r="F575" s="104" t="str">
        <f t="shared" si="94"/>
        <v>#REF!</v>
      </c>
      <c r="G575" s="104" t="str">
        <f t="shared" si="94"/>
        <v>#REF!</v>
      </c>
      <c r="H575" s="104" t="str">
        <f t="shared" si="94"/>
        <v>#REF!</v>
      </c>
      <c r="I575" s="104" t="str">
        <f t="shared" si="94"/>
        <v>#REF!</v>
      </c>
      <c r="J575" s="104" t="str">
        <f t="shared" si="94"/>
        <v>#REF!</v>
      </c>
      <c r="K575" s="104" t="s">
        <v>4536</v>
      </c>
      <c r="L575" s="104" t="s">
        <v>26</v>
      </c>
      <c r="M575" s="104" t="s">
        <v>27</v>
      </c>
      <c r="N575" s="108" t="str">
        <f t="shared" si="1"/>
        <v>#REF!</v>
      </c>
      <c r="O575" s="111" t="str">
        <f t="shared" ref="O575:P575" si="95">#REF!</f>
        <v>#REF!</v>
      </c>
      <c r="P575" s="106" t="str">
        <f t="shared" si="95"/>
        <v>#REF!</v>
      </c>
    </row>
    <row r="576">
      <c r="A576" s="104" t="str">
        <f t="shared" ref="A576:J576" si="96">#REF!</f>
        <v>#REF!</v>
      </c>
      <c r="B576" s="104" t="str">
        <f t="shared" si="96"/>
        <v>#REF!</v>
      </c>
      <c r="C576" s="110" t="str">
        <f t="shared" si="96"/>
        <v>#REF!</v>
      </c>
      <c r="D576" s="105" t="str">
        <f t="shared" si="96"/>
        <v>#REF!</v>
      </c>
      <c r="E576" s="104" t="str">
        <f t="shared" si="96"/>
        <v>#REF!</v>
      </c>
      <c r="F576" s="104" t="str">
        <f t="shared" si="96"/>
        <v>#REF!</v>
      </c>
      <c r="G576" s="104" t="str">
        <f t="shared" si="96"/>
        <v>#REF!</v>
      </c>
      <c r="H576" s="104" t="str">
        <f t="shared" si="96"/>
        <v>#REF!</v>
      </c>
      <c r="I576" s="104" t="str">
        <f t="shared" si="96"/>
        <v>#REF!</v>
      </c>
      <c r="J576" s="104" t="str">
        <f t="shared" si="96"/>
        <v>#REF!</v>
      </c>
      <c r="K576" s="104" t="s">
        <v>4536</v>
      </c>
      <c r="L576" s="104" t="s">
        <v>26</v>
      </c>
      <c r="M576" s="104" t="s">
        <v>27</v>
      </c>
      <c r="N576" s="108" t="str">
        <f t="shared" si="1"/>
        <v>#REF!</v>
      </c>
      <c r="O576" s="111" t="str">
        <f t="shared" ref="O576:P576" si="97">#REF!</f>
        <v>#REF!</v>
      </c>
      <c r="P576" s="106" t="str">
        <f t="shared" si="97"/>
        <v>#REF!</v>
      </c>
    </row>
    <row r="577">
      <c r="A577" s="104" t="str">
        <f t="shared" ref="A577:J577" si="98">#REF!</f>
        <v>#REF!</v>
      </c>
      <c r="B577" s="104" t="str">
        <f t="shared" si="98"/>
        <v>#REF!</v>
      </c>
      <c r="C577" s="110" t="str">
        <f t="shared" si="98"/>
        <v>#REF!</v>
      </c>
      <c r="D577" s="105" t="str">
        <f t="shared" si="98"/>
        <v>#REF!</v>
      </c>
      <c r="E577" s="104" t="str">
        <f t="shared" si="98"/>
        <v>#REF!</v>
      </c>
      <c r="F577" s="104" t="str">
        <f t="shared" si="98"/>
        <v>#REF!</v>
      </c>
      <c r="G577" s="104" t="str">
        <f t="shared" si="98"/>
        <v>#REF!</v>
      </c>
      <c r="H577" s="104" t="str">
        <f t="shared" si="98"/>
        <v>#REF!</v>
      </c>
      <c r="I577" s="104" t="str">
        <f t="shared" si="98"/>
        <v>#REF!</v>
      </c>
      <c r="J577" s="104" t="str">
        <f t="shared" si="98"/>
        <v>#REF!</v>
      </c>
      <c r="K577" s="104" t="s">
        <v>4536</v>
      </c>
      <c r="L577" s="104" t="s">
        <v>26</v>
      </c>
      <c r="M577" s="104" t="s">
        <v>27</v>
      </c>
      <c r="N577" s="108" t="str">
        <f t="shared" si="1"/>
        <v>#REF!</v>
      </c>
      <c r="O577" s="111" t="str">
        <f t="shared" ref="O577:P577" si="99">#REF!</f>
        <v>#REF!</v>
      </c>
      <c r="P577" s="106" t="str">
        <f t="shared" si="99"/>
        <v>#REF!</v>
      </c>
    </row>
    <row r="578">
      <c r="A578" s="104" t="str">
        <f t="shared" ref="A578:J578" si="100">#REF!</f>
        <v>#REF!</v>
      </c>
      <c r="B578" s="104" t="str">
        <f t="shared" si="100"/>
        <v>#REF!</v>
      </c>
      <c r="C578" s="110" t="str">
        <f t="shared" si="100"/>
        <v>#REF!</v>
      </c>
      <c r="D578" s="105" t="str">
        <f t="shared" si="100"/>
        <v>#REF!</v>
      </c>
      <c r="E578" s="104" t="str">
        <f t="shared" si="100"/>
        <v>#REF!</v>
      </c>
      <c r="F578" s="104" t="str">
        <f t="shared" si="100"/>
        <v>#REF!</v>
      </c>
      <c r="G578" s="104" t="str">
        <f t="shared" si="100"/>
        <v>#REF!</v>
      </c>
      <c r="H578" s="104" t="str">
        <f t="shared" si="100"/>
        <v>#REF!</v>
      </c>
      <c r="I578" s="104" t="str">
        <f t="shared" si="100"/>
        <v>#REF!</v>
      </c>
      <c r="J578" s="104" t="str">
        <f t="shared" si="100"/>
        <v>#REF!</v>
      </c>
      <c r="K578" s="104" t="s">
        <v>4536</v>
      </c>
      <c r="L578" s="104" t="s">
        <v>26</v>
      </c>
      <c r="M578" s="104" t="s">
        <v>27</v>
      </c>
      <c r="N578" s="108" t="str">
        <f t="shared" si="1"/>
        <v>#REF!</v>
      </c>
      <c r="O578" s="111" t="str">
        <f t="shared" ref="O578:P578" si="101">#REF!</f>
        <v>#REF!</v>
      </c>
      <c r="P578" s="106" t="str">
        <f t="shared" si="101"/>
        <v>#REF!</v>
      </c>
    </row>
    <row r="579">
      <c r="A579" s="104" t="str">
        <f t="shared" ref="A579:J579" si="102">#REF!</f>
        <v>#REF!</v>
      </c>
      <c r="B579" s="104" t="str">
        <f t="shared" si="102"/>
        <v>#REF!</v>
      </c>
      <c r="C579" s="110" t="str">
        <f t="shared" si="102"/>
        <v>#REF!</v>
      </c>
      <c r="D579" s="105" t="str">
        <f t="shared" si="102"/>
        <v>#REF!</v>
      </c>
      <c r="E579" s="104" t="str">
        <f t="shared" si="102"/>
        <v>#REF!</v>
      </c>
      <c r="F579" s="104" t="str">
        <f t="shared" si="102"/>
        <v>#REF!</v>
      </c>
      <c r="G579" s="104" t="str">
        <f t="shared" si="102"/>
        <v>#REF!</v>
      </c>
      <c r="H579" s="104" t="str">
        <f t="shared" si="102"/>
        <v>#REF!</v>
      </c>
      <c r="I579" s="104" t="str">
        <f t="shared" si="102"/>
        <v>#REF!</v>
      </c>
      <c r="J579" s="104" t="str">
        <f t="shared" si="102"/>
        <v>#REF!</v>
      </c>
      <c r="K579" s="104" t="s">
        <v>4536</v>
      </c>
      <c r="L579" s="104" t="s">
        <v>26</v>
      </c>
      <c r="M579" s="104" t="s">
        <v>27</v>
      </c>
      <c r="N579" s="108" t="str">
        <f t="shared" si="1"/>
        <v>#REF!</v>
      </c>
      <c r="O579" s="111" t="str">
        <f t="shared" ref="O579:P579" si="103">#REF!</f>
        <v>#REF!</v>
      </c>
      <c r="P579" s="106" t="str">
        <f t="shared" si="103"/>
        <v>#REF!</v>
      </c>
    </row>
    <row r="580">
      <c r="A580" s="104" t="str">
        <f t="shared" ref="A580:J580" si="104">#REF!</f>
        <v>#REF!</v>
      </c>
      <c r="B580" s="104" t="str">
        <f t="shared" si="104"/>
        <v>#REF!</v>
      </c>
      <c r="C580" s="110" t="str">
        <f t="shared" si="104"/>
        <v>#REF!</v>
      </c>
      <c r="D580" s="105" t="str">
        <f t="shared" si="104"/>
        <v>#REF!</v>
      </c>
      <c r="E580" s="104" t="str">
        <f t="shared" si="104"/>
        <v>#REF!</v>
      </c>
      <c r="F580" s="104" t="str">
        <f t="shared" si="104"/>
        <v>#REF!</v>
      </c>
      <c r="G580" s="104" t="str">
        <f t="shared" si="104"/>
        <v>#REF!</v>
      </c>
      <c r="H580" s="104" t="str">
        <f t="shared" si="104"/>
        <v>#REF!</v>
      </c>
      <c r="I580" s="104" t="str">
        <f t="shared" si="104"/>
        <v>#REF!</v>
      </c>
      <c r="J580" s="104" t="str">
        <f t="shared" si="104"/>
        <v>#REF!</v>
      </c>
      <c r="K580" s="104" t="s">
        <v>4536</v>
      </c>
      <c r="L580" s="104" t="s">
        <v>26</v>
      </c>
      <c r="M580" s="104" t="s">
        <v>27</v>
      </c>
      <c r="N580" s="108" t="str">
        <f t="shared" si="1"/>
        <v>#REF!</v>
      </c>
      <c r="O580" s="111" t="str">
        <f t="shared" ref="O580:P580" si="105">#REF!</f>
        <v>#REF!</v>
      </c>
      <c r="P580" s="106" t="str">
        <f t="shared" si="105"/>
        <v>#REF!</v>
      </c>
    </row>
    <row r="581">
      <c r="A581" s="104" t="str">
        <f t="shared" ref="A581:J581" si="106">#REF!</f>
        <v>#REF!</v>
      </c>
      <c r="B581" s="104" t="str">
        <f t="shared" si="106"/>
        <v>#REF!</v>
      </c>
      <c r="C581" s="110" t="str">
        <f t="shared" si="106"/>
        <v>#REF!</v>
      </c>
      <c r="D581" s="105" t="str">
        <f t="shared" si="106"/>
        <v>#REF!</v>
      </c>
      <c r="E581" s="104" t="str">
        <f t="shared" si="106"/>
        <v>#REF!</v>
      </c>
      <c r="F581" s="104" t="str">
        <f t="shared" si="106"/>
        <v>#REF!</v>
      </c>
      <c r="G581" s="104" t="str">
        <f t="shared" si="106"/>
        <v>#REF!</v>
      </c>
      <c r="H581" s="104" t="str">
        <f t="shared" si="106"/>
        <v>#REF!</v>
      </c>
      <c r="I581" s="104" t="str">
        <f t="shared" si="106"/>
        <v>#REF!</v>
      </c>
      <c r="J581" s="104" t="str">
        <f t="shared" si="106"/>
        <v>#REF!</v>
      </c>
      <c r="K581" s="104" t="s">
        <v>4536</v>
      </c>
      <c r="L581" s="104" t="s">
        <v>26</v>
      </c>
      <c r="M581" s="104" t="s">
        <v>27</v>
      </c>
      <c r="N581" s="108" t="str">
        <f t="shared" si="1"/>
        <v>#REF!</v>
      </c>
      <c r="O581" s="111" t="str">
        <f t="shared" ref="O581:P581" si="107">#REF!</f>
        <v>#REF!</v>
      </c>
      <c r="P581" s="106" t="str">
        <f t="shared" si="107"/>
        <v>#REF!</v>
      </c>
    </row>
    <row r="582">
      <c r="A582" s="104" t="str">
        <f t="shared" ref="A582:J582" si="108">#REF!</f>
        <v>#REF!</v>
      </c>
      <c r="B582" s="104" t="str">
        <f t="shared" si="108"/>
        <v>#REF!</v>
      </c>
      <c r="C582" s="110" t="str">
        <f t="shared" si="108"/>
        <v>#REF!</v>
      </c>
      <c r="D582" s="105" t="str">
        <f t="shared" si="108"/>
        <v>#REF!</v>
      </c>
      <c r="E582" s="104" t="str">
        <f t="shared" si="108"/>
        <v>#REF!</v>
      </c>
      <c r="F582" s="104" t="str">
        <f t="shared" si="108"/>
        <v>#REF!</v>
      </c>
      <c r="G582" s="104" t="str">
        <f t="shared" si="108"/>
        <v>#REF!</v>
      </c>
      <c r="H582" s="104" t="str">
        <f t="shared" si="108"/>
        <v>#REF!</v>
      </c>
      <c r="I582" s="104" t="str">
        <f t="shared" si="108"/>
        <v>#REF!</v>
      </c>
      <c r="J582" s="104" t="str">
        <f t="shared" si="108"/>
        <v>#REF!</v>
      </c>
      <c r="K582" s="104" t="s">
        <v>4536</v>
      </c>
      <c r="L582" s="104" t="s">
        <v>26</v>
      </c>
      <c r="M582" s="104" t="s">
        <v>27</v>
      </c>
      <c r="N582" s="108" t="str">
        <f t="shared" si="1"/>
        <v>#REF!</v>
      </c>
      <c r="O582" s="111" t="str">
        <f t="shared" ref="O582:P582" si="109">#REF!</f>
        <v>#REF!</v>
      </c>
      <c r="P582" s="106" t="str">
        <f t="shared" si="109"/>
        <v>#REF!</v>
      </c>
    </row>
    <row r="583">
      <c r="A583" s="104" t="str">
        <f t="shared" ref="A583:J583" si="110">#REF!</f>
        <v>#REF!</v>
      </c>
      <c r="B583" s="104" t="str">
        <f t="shared" si="110"/>
        <v>#REF!</v>
      </c>
      <c r="C583" s="110" t="str">
        <f t="shared" si="110"/>
        <v>#REF!</v>
      </c>
      <c r="D583" s="105" t="str">
        <f t="shared" si="110"/>
        <v>#REF!</v>
      </c>
      <c r="E583" s="104" t="str">
        <f t="shared" si="110"/>
        <v>#REF!</v>
      </c>
      <c r="F583" s="104" t="str">
        <f t="shared" si="110"/>
        <v>#REF!</v>
      </c>
      <c r="G583" s="104" t="str">
        <f t="shared" si="110"/>
        <v>#REF!</v>
      </c>
      <c r="H583" s="104" t="str">
        <f t="shared" si="110"/>
        <v>#REF!</v>
      </c>
      <c r="I583" s="104" t="str">
        <f t="shared" si="110"/>
        <v>#REF!</v>
      </c>
      <c r="J583" s="104" t="str">
        <f t="shared" si="110"/>
        <v>#REF!</v>
      </c>
      <c r="K583" s="104" t="s">
        <v>4536</v>
      </c>
      <c r="L583" s="104" t="s">
        <v>26</v>
      </c>
      <c r="M583" s="104" t="s">
        <v>27</v>
      </c>
      <c r="N583" s="108" t="str">
        <f t="shared" si="1"/>
        <v>#REF!</v>
      </c>
      <c r="O583" s="111" t="str">
        <f t="shared" ref="O583:P583" si="111">#REF!</f>
        <v>#REF!</v>
      </c>
      <c r="P583" s="106" t="str">
        <f t="shared" si="111"/>
        <v>#REF!</v>
      </c>
    </row>
    <row r="584">
      <c r="A584" s="104" t="str">
        <f t="shared" ref="A584:J584" si="112">#REF!</f>
        <v>#REF!</v>
      </c>
      <c r="B584" s="104" t="str">
        <f t="shared" si="112"/>
        <v>#REF!</v>
      </c>
      <c r="C584" s="110" t="str">
        <f t="shared" si="112"/>
        <v>#REF!</v>
      </c>
      <c r="D584" s="105" t="str">
        <f t="shared" si="112"/>
        <v>#REF!</v>
      </c>
      <c r="E584" s="104" t="str">
        <f t="shared" si="112"/>
        <v>#REF!</v>
      </c>
      <c r="F584" s="104" t="str">
        <f t="shared" si="112"/>
        <v>#REF!</v>
      </c>
      <c r="G584" s="104" t="str">
        <f t="shared" si="112"/>
        <v>#REF!</v>
      </c>
      <c r="H584" s="104" t="str">
        <f t="shared" si="112"/>
        <v>#REF!</v>
      </c>
      <c r="I584" s="104" t="str">
        <f t="shared" si="112"/>
        <v>#REF!</v>
      </c>
      <c r="J584" s="104" t="str">
        <f t="shared" si="112"/>
        <v>#REF!</v>
      </c>
      <c r="K584" s="104" t="s">
        <v>4536</v>
      </c>
      <c r="L584" s="104" t="s">
        <v>26</v>
      </c>
      <c r="M584" s="104" t="s">
        <v>27</v>
      </c>
      <c r="N584" s="108" t="str">
        <f t="shared" si="1"/>
        <v>#REF!</v>
      </c>
      <c r="O584" s="111" t="str">
        <f t="shared" ref="O584:P584" si="113">#REF!</f>
        <v>#REF!</v>
      </c>
      <c r="P584" s="106" t="str">
        <f t="shared" si="113"/>
        <v>#REF!</v>
      </c>
    </row>
    <row r="585">
      <c r="A585" s="104" t="str">
        <f t="shared" ref="A585:J585" si="114">#REF!</f>
        <v>#REF!</v>
      </c>
      <c r="B585" s="104" t="str">
        <f t="shared" si="114"/>
        <v>#REF!</v>
      </c>
      <c r="C585" s="110" t="str">
        <f t="shared" si="114"/>
        <v>#REF!</v>
      </c>
      <c r="D585" s="105" t="str">
        <f t="shared" si="114"/>
        <v>#REF!</v>
      </c>
      <c r="E585" s="104" t="str">
        <f t="shared" si="114"/>
        <v>#REF!</v>
      </c>
      <c r="F585" s="104" t="str">
        <f t="shared" si="114"/>
        <v>#REF!</v>
      </c>
      <c r="G585" s="104" t="str">
        <f t="shared" si="114"/>
        <v>#REF!</v>
      </c>
      <c r="H585" s="104" t="str">
        <f t="shared" si="114"/>
        <v>#REF!</v>
      </c>
      <c r="I585" s="104" t="str">
        <f t="shared" si="114"/>
        <v>#REF!</v>
      </c>
      <c r="J585" s="104" t="str">
        <f t="shared" si="114"/>
        <v>#REF!</v>
      </c>
      <c r="K585" s="104" t="s">
        <v>4536</v>
      </c>
      <c r="L585" s="104" t="s">
        <v>26</v>
      </c>
      <c r="M585" s="104" t="s">
        <v>27</v>
      </c>
      <c r="N585" s="108" t="str">
        <f t="shared" si="1"/>
        <v>#REF!</v>
      </c>
      <c r="O585" s="111" t="str">
        <f t="shared" ref="O585:P585" si="115">#REF!</f>
        <v>#REF!</v>
      </c>
      <c r="P585" s="106" t="str">
        <f t="shared" si="115"/>
        <v>#REF!</v>
      </c>
    </row>
    <row r="586">
      <c r="A586" s="104" t="str">
        <f t="shared" ref="A586:J586" si="116">#REF!</f>
        <v>#REF!</v>
      </c>
      <c r="B586" s="104" t="str">
        <f t="shared" si="116"/>
        <v>#REF!</v>
      </c>
      <c r="C586" s="110" t="str">
        <f t="shared" si="116"/>
        <v>#REF!</v>
      </c>
      <c r="D586" s="105" t="str">
        <f t="shared" si="116"/>
        <v>#REF!</v>
      </c>
      <c r="E586" s="104" t="str">
        <f t="shared" si="116"/>
        <v>#REF!</v>
      </c>
      <c r="F586" s="104" t="str">
        <f t="shared" si="116"/>
        <v>#REF!</v>
      </c>
      <c r="G586" s="104" t="str">
        <f t="shared" si="116"/>
        <v>#REF!</v>
      </c>
      <c r="H586" s="104" t="str">
        <f t="shared" si="116"/>
        <v>#REF!</v>
      </c>
      <c r="I586" s="104" t="str">
        <f t="shared" si="116"/>
        <v>#REF!</v>
      </c>
      <c r="J586" s="104" t="str">
        <f t="shared" si="116"/>
        <v>#REF!</v>
      </c>
      <c r="K586" s="104" t="s">
        <v>4536</v>
      </c>
      <c r="L586" s="104" t="s">
        <v>26</v>
      </c>
      <c r="M586" s="104" t="s">
        <v>27</v>
      </c>
      <c r="N586" s="108" t="str">
        <f t="shared" si="1"/>
        <v>#REF!</v>
      </c>
      <c r="O586" s="111" t="str">
        <f t="shared" ref="O586:P586" si="117">#REF!</f>
        <v>#REF!</v>
      </c>
      <c r="P586" s="106" t="str">
        <f t="shared" si="117"/>
        <v>#REF!</v>
      </c>
    </row>
    <row r="587">
      <c r="A587" s="104" t="str">
        <f t="shared" ref="A587:J587" si="118">#REF!</f>
        <v>#REF!</v>
      </c>
      <c r="B587" s="104" t="str">
        <f t="shared" si="118"/>
        <v>#REF!</v>
      </c>
      <c r="C587" s="110" t="str">
        <f t="shared" si="118"/>
        <v>#REF!</v>
      </c>
      <c r="D587" s="105" t="str">
        <f t="shared" si="118"/>
        <v>#REF!</v>
      </c>
      <c r="E587" s="104" t="str">
        <f t="shared" si="118"/>
        <v>#REF!</v>
      </c>
      <c r="F587" s="104" t="str">
        <f t="shared" si="118"/>
        <v>#REF!</v>
      </c>
      <c r="G587" s="104" t="str">
        <f t="shared" si="118"/>
        <v>#REF!</v>
      </c>
      <c r="H587" s="104" t="str">
        <f t="shared" si="118"/>
        <v>#REF!</v>
      </c>
      <c r="I587" s="104" t="str">
        <f t="shared" si="118"/>
        <v>#REF!</v>
      </c>
      <c r="J587" s="104" t="str">
        <f t="shared" si="118"/>
        <v>#REF!</v>
      </c>
      <c r="K587" s="104" t="s">
        <v>4536</v>
      </c>
      <c r="L587" s="104" t="s">
        <v>26</v>
      </c>
      <c r="M587" s="104" t="s">
        <v>27</v>
      </c>
      <c r="N587" s="108" t="str">
        <f t="shared" si="1"/>
        <v>#REF!</v>
      </c>
      <c r="O587" s="111" t="str">
        <f t="shared" ref="O587:P587" si="119">#REF!</f>
        <v>#REF!</v>
      </c>
      <c r="P587" s="106" t="str">
        <f t="shared" si="119"/>
        <v>#REF!</v>
      </c>
    </row>
    <row r="588">
      <c r="A588" s="104" t="str">
        <f t="shared" ref="A588:J588" si="120">#REF!</f>
        <v>#REF!</v>
      </c>
      <c r="B588" s="104" t="str">
        <f t="shared" si="120"/>
        <v>#REF!</v>
      </c>
      <c r="C588" s="110" t="str">
        <f t="shared" si="120"/>
        <v>#REF!</v>
      </c>
      <c r="D588" s="105" t="str">
        <f t="shared" si="120"/>
        <v>#REF!</v>
      </c>
      <c r="E588" s="104" t="str">
        <f t="shared" si="120"/>
        <v>#REF!</v>
      </c>
      <c r="F588" s="104" t="str">
        <f t="shared" si="120"/>
        <v>#REF!</v>
      </c>
      <c r="G588" s="104" t="str">
        <f t="shared" si="120"/>
        <v>#REF!</v>
      </c>
      <c r="H588" s="104" t="str">
        <f t="shared" si="120"/>
        <v>#REF!</v>
      </c>
      <c r="I588" s="104" t="str">
        <f t="shared" si="120"/>
        <v>#REF!</v>
      </c>
      <c r="J588" s="104" t="str">
        <f t="shared" si="120"/>
        <v>#REF!</v>
      </c>
      <c r="K588" s="104" t="s">
        <v>4536</v>
      </c>
      <c r="L588" s="104" t="s">
        <v>26</v>
      </c>
      <c r="M588" s="104" t="s">
        <v>27</v>
      </c>
      <c r="N588" s="108" t="str">
        <f t="shared" si="1"/>
        <v>#REF!</v>
      </c>
      <c r="O588" s="111" t="str">
        <f t="shared" ref="O588:P588" si="121">#REF!</f>
        <v>#REF!</v>
      </c>
      <c r="P588" s="106" t="str">
        <f t="shared" si="121"/>
        <v>#REF!</v>
      </c>
    </row>
    <row r="589">
      <c r="A589" s="104" t="str">
        <f t="shared" ref="A589:J589" si="122">#REF!</f>
        <v>#REF!</v>
      </c>
      <c r="B589" s="104" t="str">
        <f t="shared" si="122"/>
        <v>#REF!</v>
      </c>
      <c r="C589" s="110" t="str">
        <f t="shared" si="122"/>
        <v>#REF!</v>
      </c>
      <c r="D589" s="105" t="str">
        <f t="shared" si="122"/>
        <v>#REF!</v>
      </c>
      <c r="E589" s="104" t="str">
        <f t="shared" si="122"/>
        <v>#REF!</v>
      </c>
      <c r="F589" s="104" t="str">
        <f t="shared" si="122"/>
        <v>#REF!</v>
      </c>
      <c r="G589" s="104" t="str">
        <f t="shared" si="122"/>
        <v>#REF!</v>
      </c>
      <c r="H589" s="104" t="str">
        <f t="shared" si="122"/>
        <v>#REF!</v>
      </c>
      <c r="I589" s="104" t="str">
        <f t="shared" si="122"/>
        <v>#REF!</v>
      </c>
      <c r="J589" s="104" t="str">
        <f t="shared" si="122"/>
        <v>#REF!</v>
      </c>
      <c r="K589" s="104" t="s">
        <v>4536</v>
      </c>
      <c r="L589" s="104" t="s">
        <v>26</v>
      </c>
      <c r="M589" s="104" t="s">
        <v>27</v>
      </c>
      <c r="N589" s="108" t="str">
        <f t="shared" si="1"/>
        <v>#REF!</v>
      </c>
      <c r="O589" s="111" t="str">
        <f t="shared" ref="O589:P589" si="123">#REF!</f>
        <v>#REF!</v>
      </c>
      <c r="P589" s="106" t="str">
        <f t="shared" si="123"/>
        <v>#REF!</v>
      </c>
    </row>
    <row r="590">
      <c r="A590" s="104" t="str">
        <f t="shared" ref="A590:J590" si="124">#REF!</f>
        <v>#REF!</v>
      </c>
      <c r="B590" s="104" t="str">
        <f t="shared" si="124"/>
        <v>#REF!</v>
      </c>
      <c r="C590" s="110" t="str">
        <f t="shared" si="124"/>
        <v>#REF!</v>
      </c>
      <c r="D590" s="105" t="str">
        <f t="shared" si="124"/>
        <v>#REF!</v>
      </c>
      <c r="E590" s="104" t="str">
        <f t="shared" si="124"/>
        <v>#REF!</v>
      </c>
      <c r="F590" s="104" t="str">
        <f t="shared" si="124"/>
        <v>#REF!</v>
      </c>
      <c r="G590" s="104" t="str">
        <f t="shared" si="124"/>
        <v>#REF!</v>
      </c>
      <c r="H590" s="104" t="str">
        <f t="shared" si="124"/>
        <v>#REF!</v>
      </c>
      <c r="I590" s="104" t="str">
        <f t="shared" si="124"/>
        <v>#REF!</v>
      </c>
      <c r="J590" s="104" t="str">
        <f t="shared" si="124"/>
        <v>#REF!</v>
      </c>
      <c r="K590" s="104" t="s">
        <v>4536</v>
      </c>
      <c r="L590" s="104" t="s">
        <v>26</v>
      </c>
      <c r="M590" s="104" t="s">
        <v>27</v>
      </c>
      <c r="N590" s="108" t="str">
        <f t="shared" si="1"/>
        <v>#REF!</v>
      </c>
      <c r="O590" s="111" t="str">
        <f t="shared" ref="O590:P590" si="125">#REF!</f>
        <v>#REF!</v>
      </c>
      <c r="P590" s="106" t="str">
        <f t="shared" si="125"/>
        <v>#REF!</v>
      </c>
    </row>
    <row r="591">
      <c r="A591" s="104" t="str">
        <f t="shared" ref="A591:J591" si="126">#REF!</f>
        <v>#REF!</v>
      </c>
      <c r="B591" s="104" t="str">
        <f t="shared" si="126"/>
        <v>#REF!</v>
      </c>
      <c r="C591" s="110" t="str">
        <f t="shared" si="126"/>
        <v>#REF!</v>
      </c>
      <c r="D591" s="105" t="str">
        <f t="shared" si="126"/>
        <v>#REF!</v>
      </c>
      <c r="E591" s="104" t="str">
        <f t="shared" si="126"/>
        <v>#REF!</v>
      </c>
      <c r="F591" s="104" t="str">
        <f t="shared" si="126"/>
        <v>#REF!</v>
      </c>
      <c r="G591" s="104" t="str">
        <f t="shared" si="126"/>
        <v>#REF!</v>
      </c>
      <c r="H591" s="104" t="str">
        <f t="shared" si="126"/>
        <v>#REF!</v>
      </c>
      <c r="I591" s="104" t="str">
        <f t="shared" si="126"/>
        <v>#REF!</v>
      </c>
      <c r="J591" s="104" t="str">
        <f t="shared" si="126"/>
        <v>#REF!</v>
      </c>
      <c r="K591" s="104" t="s">
        <v>4536</v>
      </c>
      <c r="L591" s="104" t="s">
        <v>26</v>
      </c>
      <c r="M591" s="104" t="s">
        <v>27</v>
      </c>
      <c r="N591" s="108" t="str">
        <f t="shared" si="1"/>
        <v>#REF!</v>
      </c>
      <c r="O591" s="111" t="str">
        <f t="shared" ref="O591:P591" si="127">#REF!</f>
        <v>#REF!</v>
      </c>
      <c r="P591" s="106" t="str">
        <f t="shared" si="127"/>
        <v>#REF!</v>
      </c>
    </row>
    <row r="592">
      <c r="A592" s="104" t="str">
        <f t="shared" ref="A592:J592" si="128">#REF!</f>
        <v>#REF!</v>
      </c>
      <c r="B592" s="104" t="str">
        <f t="shared" si="128"/>
        <v>#REF!</v>
      </c>
      <c r="C592" s="110" t="str">
        <f t="shared" si="128"/>
        <v>#REF!</v>
      </c>
      <c r="D592" s="105" t="str">
        <f t="shared" si="128"/>
        <v>#REF!</v>
      </c>
      <c r="E592" s="104" t="str">
        <f t="shared" si="128"/>
        <v>#REF!</v>
      </c>
      <c r="F592" s="104" t="str">
        <f t="shared" si="128"/>
        <v>#REF!</v>
      </c>
      <c r="G592" s="104" t="str">
        <f t="shared" si="128"/>
        <v>#REF!</v>
      </c>
      <c r="H592" s="104" t="str">
        <f t="shared" si="128"/>
        <v>#REF!</v>
      </c>
      <c r="I592" s="104" t="str">
        <f t="shared" si="128"/>
        <v>#REF!</v>
      </c>
      <c r="J592" s="104" t="str">
        <f t="shared" si="128"/>
        <v>#REF!</v>
      </c>
      <c r="K592" s="104" t="s">
        <v>4536</v>
      </c>
      <c r="L592" s="104" t="s">
        <v>26</v>
      </c>
      <c r="M592" s="104" t="s">
        <v>27</v>
      </c>
      <c r="N592" s="108" t="str">
        <f t="shared" si="1"/>
        <v>#REF!</v>
      </c>
      <c r="O592" s="111" t="str">
        <f t="shared" ref="O592:P592" si="129">#REF!</f>
        <v>#REF!</v>
      </c>
      <c r="P592" s="106" t="str">
        <f t="shared" si="129"/>
        <v>#REF!</v>
      </c>
    </row>
    <row r="593">
      <c r="A593" s="104" t="str">
        <f t="shared" ref="A593:J593" si="130">#REF!</f>
        <v>#REF!</v>
      </c>
      <c r="B593" s="104" t="str">
        <f t="shared" si="130"/>
        <v>#REF!</v>
      </c>
      <c r="C593" s="110" t="str">
        <f t="shared" si="130"/>
        <v>#REF!</v>
      </c>
      <c r="D593" s="105" t="str">
        <f t="shared" si="130"/>
        <v>#REF!</v>
      </c>
      <c r="E593" s="104" t="str">
        <f t="shared" si="130"/>
        <v>#REF!</v>
      </c>
      <c r="F593" s="104" t="str">
        <f t="shared" si="130"/>
        <v>#REF!</v>
      </c>
      <c r="G593" s="104" t="str">
        <f t="shared" si="130"/>
        <v>#REF!</v>
      </c>
      <c r="H593" s="104" t="str">
        <f t="shared" si="130"/>
        <v>#REF!</v>
      </c>
      <c r="I593" s="104" t="str">
        <f t="shared" si="130"/>
        <v>#REF!</v>
      </c>
      <c r="J593" s="104" t="str">
        <f t="shared" si="130"/>
        <v>#REF!</v>
      </c>
      <c r="K593" s="104" t="s">
        <v>4536</v>
      </c>
      <c r="L593" s="104" t="s">
        <v>26</v>
      </c>
      <c r="M593" s="104" t="s">
        <v>27</v>
      </c>
      <c r="N593" s="108" t="str">
        <f t="shared" si="1"/>
        <v>#REF!</v>
      </c>
      <c r="O593" s="111" t="str">
        <f t="shared" ref="O593:P593" si="131">#REF!</f>
        <v>#REF!</v>
      </c>
      <c r="P593" s="106" t="str">
        <f t="shared" si="131"/>
        <v>#REF!</v>
      </c>
    </row>
    <row r="594">
      <c r="A594" s="104" t="str">
        <f t="shared" ref="A594:J594" si="132">#REF!</f>
        <v>#REF!</v>
      </c>
      <c r="B594" s="104" t="str">
        <f t="shared" si="132"/>
        <v>#REF!</v>
      </c>
      <c r="C594" s="110" t="str">
        <f t="shared" si="132"/>
        <v>#REF!</v>
      </c>
      <c r="D594" s="105" t="str">
        <f t="shared" si="132"/>
        <v>#REF!</v>
      </c>
      <c r="E594" s="104" t="str">
        <f t="shared" si="132"/>
        <v>#REF!</v>
      </c>
      <c r="F594" s="104" t="str">
        <f t="shared" si="132"/>
        <v>#REF!</v>
      </c>
      <c r="G594" s="104" t="str">
        <f t="shared" si="132"/>
        <v>#REF!</v>
      </c>
      <c r="H594" s="104" t="str">
        <f t="shared" si="132"/>
        <v>#REF!</v>
      </c>
      <c r="I594" s="104" t="str">
        <f t="shared" si="132"/>
        <v>#REF!</v>
      </c>
      <c r="J594" s="104" t="str">
        <f t="shared" si="132"/>
        <v>#REF!</v>
      </c>
      <c r="K594" s="104" t="s">
        <v>4536</v>
      </c>
      <c r="L594" s="104" t="s">
        <v>26</v>
      </c>
      <c r="M594" s="104" t="s">
        <v>27</v>
      </c>
      <c r="N594" s="108" t="str">
        <f t="shared" si="1"/>
        <v>#REF!</v>
      </c>
      <c r="O594" s="111" t="str">
        <f t="shared" ref="O594:P594" si="133">#REF!</f>
        <v>#REF!</v>
      </c>
      <c r="P594" s="106" t="str">
        <f t="shared" si="133"/>
        <v>#REF!</v>
      </c>
    </row>
    <row r="595">
      <c r="A595" s="104" t="str">
        <f t="shared" ref="A595:J595" si="134">#REF!</f>
        <v>#REF!</v>
      </c>
      <c r="B595" s="104" t="str">
        <f t="shared" si="134"/>
        <v>#REF!</v>
      </c>
      <c r="C595" s="110" t="str">
        <f t="shared" si="134"/>
        <v>#REF!</v>
      </c>
      <c r="D595" s="105" t="str">
        <f t="shared" si="134"/>
        <v>#REF!</v>
      </c>
      <c r="E595" s="104" t="str">
        <f t="shared" si="134"/>
        <v>#REF!</v>
      </c>
      <c r="F595" s="104" t="str">
        <f t="shared" si="134"/>
        <v>#REF!</v>
      </c>
      <c r="G595" s="104" t="str">
        <f t="shared" si="134"/>
        <v>#REF!</v>
      </c>
      <c r="H595" s="104" t="str">
        <f t="shared" si="134"/>
        <v>#REF!</v>
      </c>
      <c r="I595" s="104" t="str">
        <f t="shared" si="134"/>
        <v>#REF!</v>
      </c>
      <c r="J595" s="104" t="str">
        <f t="shared" si="134"/>
        <v>#REF!</v>
      </c>
      <c r="K595" s="104" t="s">
        <v>4536</v>
      </c>
      <c r="L595" s="104" t="s">
        <v>26</v>
      </c>
      <c r="M595" s="104" t="s">
        <v>27</v>
      </c>
      <c r="N595" s="108" t="str">
        <f t="shared" si="1"/>
        <v>#REF!</v>
      </c>
      <c r="O595" s="111" t="str">
        <f t="shared" ref="O595:P595" si="135">#REF!</f>
        <v>#REF!</v>
      </c>
      <c r="P595" s="106" t="str">
        <f t="shared" si="135"/>
        <v>#REF!</v>
      </c>
    </row>
    <row r="596">
      <c r="A596" s="104" t="str">
        <f t="shared" ref="A596:J596" si="136">#REF!</f>
        <v>#REF!</v>
      </c>
      <c r="B596" s="104" t="str">
        <f t="shared" si="136"/>
        <v>#REF!</v>
      </c>
      <c r="C596" s="110" t="str">
        <f t="shared" si="136"/>
        <v>#REF!</v>
      </c>
      <c r="D596" s="105" t="str">
        <f t="shared" si="136"/>
        <v>#REF!</v>
      </c>
      <c r="E596" s="104" t="str">
        <f t="shared" si="136"/>
        <v>#REF!</v>
      </c>
      <c r="F596" s="104" t="str">
        <f t="shared" si="136"/>
        <v>#REF!</v>
      </c>
      <c r="G596" s="104" t="str">
        <f t="shared" si="136"/>
        <v>#REF!</v>
      </c>
      <c r="H596" s="104" t="str">
        <f t="shared" si="136"/>
        <v>#REF!</v>
      </c>
      <c r="I596" s="104" t="str">
        <f t="shared" si="136"/>
        <v>#REF!</v>
      </c>
      <c r="J596" s="104" t="str">
        <f t="shared" si="136"/>
        <v>#REF!</v>
      </c>
      <c r="K596" s="104" t="s">
        <v>4536</v>
      </c>
      <c r="L596" s="104" t="s">
        <v>26</v>
      </c>
      <c r="M596" s="104" t="s">
        <v>27</v>
      </c>
      <c r="N596" s="108" t="str">
        <f t="shared" si="1"/>
        <v>#REF!</v>
      </c>
      <c r="O596" s="111" t="str">
        <f t="shared" ref="O596:P596" si="137">#REF!</f>
        <v>#REF!</v>
      </c>
      <c r="P596" s="106" t="str">
        <f t="shared" si="137"/>
        <v>#REF!</v>
      </c>
    </row>
    <row r="597">
      <c r="A597" s="104" t="str">
        <f>Cadastro!$A529</f>
        <v>URBS 4</v>
      </c>
      <c r="B597" s="104" t="str">
        <f>Cadastro!$B529</f>
        <v>CURITIBA</v>
      </c>
      <c r="C597" s="107" t="str">
        <f>Cadastro!$C529</f>
        <v>https://monitoramento.pm.pr.gov.br/proxy_image_4/</v>
      </c>
      <c r="D597" s="105">
        <f>Cadastro!$D529</f>
        <v>48601</v>
      </c>
      <c r="E597" s="104" t="str">
        <f>Cadastro!$E529</f>
        <v>TE023CFTV01</v>
      </c>
      <c r="F597" s="104" t="str">
        <f>Cadastro!$F529</f>
        <v>TERM. GUDALUPE C1</v>
      </c>
      <c r="G597" s="104">
        <f>Cadastro!$G529</f>
        <v>0</v>
      </c>
      <c r="H597" s="104">
        <f>Cadastro!$H529</f>
        <v>0</v>
      </c>
      <c r="I597" s="104" t="str">
        <f>Cadastro!$I529</f>
        <v>copom_DDTQ</v>
      </c>
      <c r="J597" s="104">
        <f>Cadastro!$J529</f>
        <v>1</v>
      </c>
      <c r="K597" s="104" t="s">
        <v>4536</v>
      </c>
      <c r="L597" s="104" t="s">
        <v>26</v>
      </c>
      <c r="M597" s="104" t="s">
        <v>27</v>
      </c>
      <c r="N597" s="108" t="str">
        <f t="shared" si="1"/>
        <v>URBS 4</v>
      </c>
      <c r="O597" s="112" t="str">
        <f>Cadastro!$O529</f>
        <v>#</v>
      </c>
      <c r="P597" s="106">
        <f>Cadastro!$P529</f>
        <v>0</v>
      </c>
    </row>
    <row r="598">
      <c r="A598" s="104" t="str">
        <f>Cadastro!$A530</f>
        <v>URBS 4</v>
      </c>
      <c r="B598" s="104" t="str">
        <f>Cadastro!$B530</f>
        <v>CURITIBA</v>
      </c>
      <c r="C598" s="107" t="str">
        <f>Cadastro!$C530</f>
        <v>https://monitoramento.pm.pr.gov.br/proxy_image_4/</v>
      </c>
      <c r="D598" s="105">
        <f>Cadastro!$D530</f>
        <v>48601</v>
      </c>
      <c r="E598" s="104" t="str">
        <f>Cadastro!$E530</f>
        <v>TE023CFTV02</v>
      </c>
      <c r="F598" s="104" t="str">
        <f>Cadastro!$F530</f>
        <v>TERM. GUDALUPE C2</v>
      </c>
      <c r="G598" s="104">
        <f>Cadastro!$G530</f>
        <v>0</v>
      </c>
      <c r="H598" s="104">
        <f>Cadastro!$H530</f>
        <v>0</v>
      </c>
      <c r="I598" s="104" t="str">
        <f>Cadastro!$I530</f>
        <v>copom_DDTQ</v>
      </c>
      <c r="J598" s="104">
        <f>Cadastro!$J530</f>
        <v>1</v>
      </c>
      <c r="K598" s="104" t="s">
        <v>4536</v>
      </c>
      <c r="L598" s="104" t="s">
        <v>26</v>
      </c>
      <c r="M598" s="104" t="s">
        <v>27</v>
      </c>
      <c r="N598" s="108" t="str">
        <f t="shared" si="1"/>
        <v>URBS 4</v>
      </c>
      <c r="O598" s="112" t="str">
        <f>Cadastro!$O530</f>
        <v>#</v>
      </c>
      <c r="P598" s="106">
        <f>Cadastro!$P530</f>
        <v>1</v>
      </c>
    </row>
    <row r="599">
      <c r="A599" s="104" t="str">
        <f>Cadastro!$A531</f>
        <v>URBS 4</v>
      </c>
      <c r="B599" s="104" t="str">
        <f>Cadastro!$B531</f>
        <v>CURITIBA</v>
      </c>
      <c r="C599" s="107" t="str">
        <f>Cadastro!$C531</f>
        <v>https://monitoramento.pm.pr.gov.br/proxy_image_4/</v>
      </c>
      <c r="D599" s="105">
        <f>Cadastro!$D531</f>
        <v>48601</v>
      </c>
      <c r="E599" s="104" t="str">
        <f>Cadastro!$E531</f>
        <v>TE023CFTV03</v>
      </c>
      <c r="F599" s="104" t="str">
        <f>Cadastro!$F531</f>
        <v>TERM. GUDALUPE C3</v>
      </c>
      <c r="G599" s="104">
        <f>Cadastro!$G531</f>
        <v>0</v>
      </c>
      <c r="H599" s="104">
        <f>Cadastro!$H531</f>
        <v>0</v>
      </c>
      <c r="I599" s="104" t="str">
        <f>Cadastro!$I531</f>
        <v>copom_DDTQ</v>
      </c>
      <c r="J599" s="104">
        <f>Cadastro!$J531</f>
        <v>1</v>
      </c>
      <c r="K599" s="104" t="s">
        <v>4536</v>
      </c>
      <c r="L599" s="104" t="s">
        <v>26</v>
      </c>
      <c r="M599" s="104" t="s">
        <v>27</v>
      </c>
      <c r="N599" s="108" t="str">
        <f t="shared" si="1"/>
        <v>URBS 4</v>
      </c>
      <c r="O599" s="112" t="str">
        <f>Cadastro!$O531</f>
        <v>#</v>
      </c>
      <c r="P599" s="106">
        <f>Cadastro!$P531</f>
        <v>1</v>
      </c>
    </row>
    <row r="600">
      <c r="A600" s="104" t="str">
        <f>Cadastro!$A532</f>
        <v>URBS 4</v>
      </c>
      <c r="B600" s="104" t="str">
        <f>Cadastro!$B532</f>
        <v>CURITIBA</v>
      </c>
      <c r="C600" s="107" t="str">
        <f>Cadastro!$C532</f>
        <v>https://monitoramento.pm.pr.gov.br/proxy_image_4/</v>
      </c>
      <c r="D600" s="105">
        <f>Cadastro!$D532</f>
        <v>48601</v>
      </c>
      <c r="E600" s="104" t="str">
        <f>Cadastro!$E532</f>
        <v>TE023CFTV04</v>
      </c>
      <c r="F600" s="104" t="str">
        <f>Cadastro!$F532</f>
        <v>TERM. GUDALUPE C4</v>
      </c>
      <c r="G600" s="104">
        <f>Cadastro!$G532</f>
        <v>0</v>
      </c>
      <c r="H600" s="104">
        <f>Cadastro!$H532</f>
        <v>0</v>
      </c>
      <c r="I600" s="104" t="str">
        <f>Cadastro!$I532</f>
        <v>copom_DDTQ</v>
      </c>
      <c r="J600" s="104">
        <f>Cadastro!$J532</f>
        <v>1</v>
      </c>
      <c r="K600" s="104" t="s">
        <v>4536</v>
      </c>
      <c r="L600" s="104" t="s">
        <v>26</v>
      </c>
      <c r="M600" s="104" t="s">
        <v>27</v>
      </c>
      <c r="N600" s="108" t="str">
        <f t="shared" si="1"/>
        <v>URBS 4</v>
      </c>
      <c r="O600" s="112" t="str">
        <f>Cadastro!$O532</f>
        <v>#</v>
      </c>
      <c r="P600" s="106">
        <f>Cadastro!$P532</f>
        <v>1</v>
      </c>
    </row>
    <row r="601">
      <c r="A601" s="104" t="str">
        <f>Cadastro!$A533</f>
        <v>URBS 4</v>
      </c>
      <c r="B601" s="104" t="str">
        <f>Cadastro!$B533</f>
        <v>CURITIBA</v>
      </c>
      <c r="C601" s="107" t="str">
        <f>Cadastro!$C533</f>
        <v>https://monitoramento.pm.pr.gov.br/proxy_image_4/</v>
      </c>
      <c r="D601" s="105">
        <f>Cadastro!$D533</f>
        <v>48601</v>
      </c>
      <c r="E601" s="104" t="str">
        <f>Cadastro!$E533</f>
        <v>TE023CFTV05</v>
      </c>
      <c r="F601" s="104" t="str">
        <f>Cadastro!$F533</f>
        <v>TERM. GUDALUPE C5</v>
      </c>
      <c r="G601" s="104">
        <f>Cadastro!$G533</f>
        <v>0</v>
      </c>
      <c r="H601" s="104">
        <f>Cadastro!$H533</f>
        <v>0</v>
      </c>
      <c r="I601" s="104" t="str">
        <f>Cadastro!$I533</f>
        <v>copom_DDTQ</v>
      </c>
      <c r="J601" s="104">
        <f>Cadastro!$J533</f>
        <v>1</v>
      </c>
      <c r="K601" s="104" t="s">
        <v>4536</v>
      </c>
      <c r="L601" s="104" t="s">
        <v>26</v>
      </c>
      <c r="M601" s="104" t="s">
        <v>27</v>
      </c>
      <c r="N601" s="108" t="str">
        <f t="shared" si="1"/>
        <v>URBS 4</v>
      </c>
      <c r="O601" s="112" t="str">
        <f>Cadastro!$O533</f>
        <v>#</v>
      </c>
      <c r="P601" s="106">
        <f>Cadastro!$P533</f>
        <v>1</v>
      </c>
    </row>
    <row r="602">
      <c r="A602" s="104" t="str">
        <f>Cadastro!$A534</f>
        <v>URBS 4</v>
      </c>
      <c r="B602" s="104" t="str">
        <f>Cadastro!$B534</f>
        <v>CURITIBA</v>
      </c>
      <c r="C602" s="107" t="str">
        <f>Cadastro!$C534</f>
        <v>https://monitoramento.pm.pr.gov.br/proxy_image_4/</v>
      </c>
      <c r="D602" s="105">
        <f>Cadastro!$D534</f>
        <v>48601</v>
      </c>
      <c r="E602" s="104" t="str">
        <f>Cadastro!$E534</f>
        <v>TE023CFTV06</v>
      </c>
      <c r="F602" s="104" t="str">
        <f>Cadastro!$F534</f>
        <v>TERM. GUDALUPE C6</v>
      </c>
      <c r="G602" s="104">
        <f>Cadastro!$G534</f>
        <v>0</v>
      </c>
      <c r="H602" s="104">
        <f>Cadastro!$H534</f>
        <v>0</v>
      </c>
      <c r="I602" s="104" t="str">
        <f>Cadastro!$I534</f>
        <v>copom_DDTQ</v>
      </c>
      <c r="J602" s="104">
        <f>Cadastro!$J534</f>
        <v>1</v>
      </c>
      <c r="K602" s="104" t="s">
        <v>4536</v>
      </c>
      <c r="L602" s="104" t="s">
        <v>26</v>
      </c>
      <c r="M602" s="104" t="s">
        <v>27</v>
      </c>
      <c r="N602" s="108" t="str">
        <f t="shared" si="1"/>
        <v>URBS 4</v>
      </c>
      <c r="O602" s="112" t="str">
        <f>Cadastro!$O534</f>
        <v>#</v>
      </c>
      <c r="P602" s="106">
        <f>Cadastro!$P534</f>
        <v>1</v>
      </c>
    </row>
    <row r="603">
      <c r="A603" s="104" t="str">
        <f>Cadastro!$A535</f>
        <v>URBS 4</v>
      </c>
      <c r="B603" s="104" t="str">
        <f>Cadastro!$B535</f>
        <v>CURITIBA</v>
      </c>
      <c r="C603" s="107" t="str">
        <f>Cadastro!$C535</f>
        <v>https://monitoramento.pm.pr.gov.br/proxy_image_4/</v>
      </c>
      <c r="D603" s="105">
        <f>Cadastro!$D535</f>
        <v>48601</v>
      </c>
      <c r="E603" s="104" t="str">
        <f>Cadastro!$E535</f>
        <v>TE023CFTV07</v>
      </c>
      <c r="F603" s="104" t="str">
        <f>Cadastro!$F535</f>
        <v>TERM. GUDALUPE C7</v>
      </c>
      <c r="G603" s="104">
        <f>Cadastro!$G535</f>
        <v>0</v>
      </c>
      <c r="H603" s="104">
        <f>Cadastro!$H535</f>
        <v>0</v>
      </c>
      <c r="I603" s="104" t="str">
        <f>Cadastro!$I535</f>
        <v>copom_DDTQ</v>
      </c>
      <c r="J603" s="104">
        <f>Cadastro!$J535</f>
        <v>1</v>
      </c>
      <c r="K603" s="104" t="s">
        <v>4536</v>
      </c>
      <c r="L603" s="104" t="s">
        <v>26</v>
      </c>
      <c r="M603" s="104" t="s">
        <v>27</v>
      </c>
      <c r="N603" s="108" t="str">
        <f t="shared" si="1"/>
        <v>URBS 4</v>
      </c>
      <c r="O603" s="112" t="str">
        <f>Cadastro!$O535</f>
        <v>#</v>
      </c>
      <c r="P603" s="106">
        <f>Cadastro!$P535</f>
        <v>1</v>
      </c>
    </row>
    <row r="604">
      <c r="A604" s="104" t="str">
        <f>Cadastro!$A536</f>
        <v>GUARATUBA</v>
      </c>
      <c r="B604" s="104" t="str">
        <f>Cadastro!$B536</f>
        <v>GUARATUBA</v>
      </c>
      <c r="C604" s="107" t="str">
        <f>Cadastro!$C536</f>
        <v>https://monitoramento.pm.pr.gov.br/proxy_image_6/</v>
      </c>
      <c r="D604" s="105">
        <f>Cadastro!$D536</f>
        <v>8601</v>
      </c>
      <c r="E604" s="104" t="str">
        <f>Cadastro!$E536</f>
        <v>C.001</v>
      </c>
      <c r="F604" s="104" t="str">
        <f>Cadastro!$F536</f>
        <v>SPD - Av. Atlântica x R.Alois Cicatka (Ponta Caleiras)</v>
      </c>
      <c r="G604" s="104" t="str">
        <f>Cadastro!$G536</f>
        <v>-25.872658</v>
      </c>
      <c r="H604" s="104" t="str">
        <f>Cadastro!$H536</f>
        <v>-48.564636</v>
      </c>
      <c r="I604" s="104" t="str">
        <f>Cadastro!$I536</f>
        <v>siscop</v>
      </c>
      <c r="J604" s="104" t="str">
        <f>Cadastro!$J536</f>
        <v>Siscop1234</v>
      </c>
      <c r="K604" s="104" t="s">
        <v>4536</v>
      </c>
      <c r="L604" s="104" t="s">
        <v>26</v>
      </c>
      <c r="M604" s="104" t="s">
        <v>27</v>
      </c>
      <c r="N604" s="108" t="str">
        <f t="shared" si="1"/>
        <v>GUARATUBA</v>
      </c>
      <c r="O604" s="109" t="str">
        <f>Cadastro!$O536</f>
        <v>https://monitoramento.pm.pr.gov.br/proxy_image_6/Interface/Cameras/GetJPEGStream?Camera=C.001&amp;AuthUser=siscop&amp;AuthPass=Siscop1234&amp;Width=1024&amp;Height=768&amp;Quality=70&amp;FPS=10&amp;ResponseFormat=Text</v>
      </c>
      <c r="P604" s="106">
        <f>Cadastro!$P536</f>
        <v>1</v>
      </c>
    </row>
    <row r="605">
      <c r="A605" s="104" t="str">
        <f>Cadastro!$A537</f>
        <v>GUARATUBA</v>
      </c>
      <c r="B605" s="104" t="str">
        <f>Cadastro!$B537</f>
        <v>GUARATUBA</v>
      </c>
      <c r="C605" s="107" t="str">
        <f>Cadastro!$C537</f>
        <v>https://monitoramento.pm.pr.gov.br/proxy_image_6/</v>
      </c>
      <c r="D605" s="105">
        <f>Cadastro!$D537</f>
        <v>8601</v>
      </c>
      <c r="E605" s="104" t="str">
        <f>Cadastro!$E537</f>
        <v>C.002</v>
      </c>
      <c r="F605" s="104" t="str">
        <f>Cadastro!$F537</f>
        <v>Av. Atlântica x R.Alois Cicatka (Ponta Caleiras)</v>
      </c>
      <c r="G605" s="104" t="str">
        <f>Cadastro!$G537</f>
        <v>-25.872658</v>
      </c>
      <c r="H605" s="104" t="str">
        <f>Cadastro!$H537</f>
        <v>-48.564629</v>
      </c>
      <c r="I605" s="104" t="str">
        <f>Cadastro!$I537</f>
        <v>siscop</v>
      </c>
      <c r="J605" s="104" t="str">
        <f>Cadastro!$J537</f>
        <v>Siscop1234</v>
      </c>
      <c r="K605" s="104" t="s">
        <v>4536</v>
      </c>
      <c r="L605" s="104" t="s">
        <v>26</v>
      </c>
      <c r="M605" s="104" t="s">
        <v>27</v>
      </c>
      <c r="N605" s="108" t="str">
        <f t="shared" si="1"/>
        <v>GUARATUBA</v>
      </c>
      <c r="O605" s="109" t="str">
        <f>Cadastro!$O537</f>
        <v>https://monitoramento.pm.pr.gov.br/proxy_image_6/Interface/Cameras/GetJPEGStream?Camera=C.002&amp;AuthUser=siscop&amp;AuthPass=Siscop1234&amp;Width=1024&amp;Height=768&amp;Quality=70&amp;FPS=10&amp;ResponseFormat=Text</v>
      </c>
      <c r="P605" s="106">
        <f>Cadastro!$P537</f>
        <v>1</v>
      </c>
    </row>
    <row r="606">
      <c r="A606" s="104" t="str">
        <f>Cadastro!$A538</f>
        <v>GUARATUBA</v>
      </c>
      <c r="B606" s="104" t="str">
        <f>Cadastro!$B538</f>
        <v>GUARATUBA</v>
      </c>
      <c r="C606" s="107" t="str">
        <f>Cadastro!$C538</f>
        <v>https://monitoramento.pm.pr.gov.br/proxy_image_6/</v>
      </c>
      <c r="D606" s="105">
        <f>Cadastro!$D538</f>
        <v>8601</v>
      </c>
      <c r="E606" s="104" t="str">
        <f>Cadastro!$E538</f>
        <v>C.003</v>
      </c>
      <c r="F606" s="104" t="str">
        <f>Cadastro!$F538</f>
        <v>Saguao da Prefeitura Sede Nova</v>
      </c>
      <c r="G606" s="104" t="str">
        <f>Cadastro!$G538</f>
        <v>-25.876272</v>
      </c>
      <c r="H606" s="104" t="str">
        <f>Cadastro!$H538</f>
        <v>-48.575081</v>
      </c>
      <c r="I606" s="104" t="str">
        <f>Cadastro!$I538</f>
        <v>siscop</v>
      </c>
      <c r="J606" s="104" t="str">
        <f>Cadastro!$J538</f>
        <v>Siscop1234</v>
      </c>
      <c r="K606" s="104" t="s">
        <v>4536</v>
      </c>
      <c r="L606" s="104" t="s">
        <v>26</v>
      </c>
      <c r="M606" s="104" t="s">
        <v>27</v>
      </c>
      <c r="N606" s="108" t="str">
        <f t="shared" si="1"/>
        <v>GUARATUBA</v>
      </c>
      <c r="O606" s="109" t="str">
        <f>Cadastro!$O538</f>
        <v>https://monitoramento.pm.pr.gov.br/proxy_image_6/Interface/Cameras/GetJPEGStream?Camera=C.003&amp;AuthUser=siscop&amp;AuthPass=Siscop1234&amp;Width=1024&amp;Height=768&amp;Quality=70&amp;FPS=10&amp;ResponseFormat=Text</v>
      </c>
      <c r="P606" s="106">
        <f>Cadastro!$P538</f>
        <v>1</v>
      </c>
    </row>
    <row r="607">
      <c r="A607" s="104" t="str">
        <f>Cadastro!$A539</f>
        <v>GUARATUBA</v>
      </c>
      <c r="B607" s="104" t="str">
        <f>Cadastro!$B539</f>
        <v>GUARATUBA</v>
      </c>
      <c r="C607" s="107" t="str">
        <f>Cadastro!$C539</f>
        <v>https://monitoramento.pm.pr.gov.br/proxy_image_6/</v>
      </c>
      <c r="D607" s="105">
        <f>Cadastro!$D539</f>
        <v>8601</v>
      </c>
      <c r="E607" s="104" t="str">
        <f>Cadastro!$E539</f>
        <v>C.004</v>
      </c>
      <c r="F607" s="104" t="str">
        <f>Cadastro!$F539</f>
        <v>SPD - Av. 29 de Abril x Av. Curitiba</v>
      </c>
      <c r="G607" s="104" t="str">
        <f>Cadastro!$G539</f>
        <v>-25.881739</v>
      </c>
      <c r="H607" s="104" t="str">
        <f>Cadastro!$H539</f>
        <v>-48.568729</v>
      </c>
      <c r="I607" s="104" t="str">
        <f>Cadastro!$I539</f>
        <v>siscop</v>
      </c>
      <c r="J607" s="104" t="str">
        <f>Cadastro!$J539</f>
        <v>Siscop1234</v>
      </c>
      <c r="K607" s="104" t="s">
        <v>4536</v>
      </c>
      <c r="L607" s="104" t="s">
        <v>26</v>
      </c>
      <c r="M607" s="104" t="s">
        <v>27</v>
      </c>
      <c r="N607" s="108" t="str">
        <f t="shared" si="1"/>
        <v>GUARATUBA</v>
      </c>
      <c r="O607" s="109" t="str">
        <f>Cadastro!$O539</f>
        <v>https://monitoramento.pm.pr.gov.br/proxy_image_6/Interface/Cameras/GetJPEGStream?Camera=C.004&amp;AuthUser=siscop&amp;AuthPass=Siscop1234&amp;Width=1024&amp;Height=768&amp;Quality=70&amp;FPS=10&amp;ResponseFormat=Text</v>
      </c>
      <c r="P607" s="106">
        <f>Cadastro!$P539</f>
        <v>1</v>
      </c>
    </row>
    <row r="608">
      <c r="A608" s="104" t="str">
        <f>Cadastro!$A540</f>
        <v>GUARATUBA</v>
      </c>
      <c r="B608" s="104" t="str">
        <f>Cadastro!$B540</f>
        <v>GUARATUBA</v>
      </c>
      <c r="C608" s="107" t="str">
        <f>Cadastro!$C540</f>
        <v>https://monitoramento.pm.pr.gov.br/proxy_image_6/</v>
      </c>
      <c r="D608" s="105">
        <f>Cadastro!$D540</f>
        <v>8601</v>
      </c>
      <c r="E608" s="104" t="str">
        <f>Cadastro!$E540</f>
        <v>C.005</v>
      </c>
      <c r="F608" s="104" t="str">
        <f>Cadastro!$F540</f>
        <v>Av. 29 de Abril x Av. Curitiba</v>
      </c>
      <c r="G608" s="104" t="str">
        <f>Cadastro!$G540</f>
        <v>-25.881800</v>
      </c>
      <c r="H608" s="104" t="str">
        <f>Cadastro!$H540</f>
        <v>-48.568718</v>
      </c>
      <c r="I608" s="104" t="str">
        <f>Cadastro!$I540</f>
        <v>siscop</v>
      </c>
      <c r="J608" s="104" t="str">
        <f>Cadastro!$J540</f>
        <v>Siscop1234</v>
      </c>
      <c r="K608" s="104" t="s">
        <v>4536</v>
      </c>
      <c r="L608" s="104" t="s">
        <v>26</v>
      </c>
      <c r="M608" s="104" t="s">
        <v>27</v>
      </c>
      <c r="N608" s="108" t="str">
        <f t="shared" si="1"/>
        <v>GUARATUBA</v>
      </c>
      <c r="O608" s="109" t="str">
        <f>Cadastro!$O540</f>
        <v>https://monitoramento.pm.pr.gov.br/proxy_image_6/Interface/Cameras/GetJPEGStream?Camera=C.005&amp;AuthUser=siscop&amp;AuthPass=Siscop1234&amp;Width=1024&amp;Height=768&amp;Quality=70&amp;FPS=10&amp;ResponseFormat=Text</v>
      </c>
      <c r="P608" s="106">
        <f>Cadastro!$P540</f>
        <v>1</v>
      </c>
    </row>
    <row r="609">
      <c r="A609" s="104" t="str">
        <f>Cadastro!$A541</f>
        <v>GUARATUBA</v>
      </c>
      <c r="B609" s="104" t="str">
        <f>Cadastro!$B541</f>
        <v>GUARATUBA</v>
      </c>
      <c r="C609" s="107" t="str">
        <f>Cadastro!$C541</f>
        <v>https://monitoramento.pm.pr.gov.br/proxy_image_6/</v>
      </c>
      <c r="D609" s="105">
        <f>Cadastro!$D541</f>
        <v>8601</v>
      </c>
      <c r="E609" s="104" t="str">
        <f>Cadastro!$E541</f>
        <v>C.006</v>
      </c>
      <c r="F609" s="104" t="str">
        <f>Cadastro!$F541</f>
        <v>Av. 29 de Abril x Av. Curitiba</v>
      </c>
      <c r="G609" s="104" t="str">
        <f>Cadastro!$G541</f>
        <v>-25.881729</v>
      </c>
      <c r="H609" s="104" t="str">
        <f>Cadastro!$H541</f>
        <v>-48.568722</v>
      </c>
      <c r="I609" s="104" t="str">
        <f>Cadastro!$I541</f>
        <v>siscop</v>
      </c>
      <c r="J609" s="104" t="str">
        <f>Cadastro!$J541</f>
        <v>Siscop1234</v>
      </c>
      <c r="K609" s="104" t="s">
        <v>4536</v>
      </c>
      <c r="L609" s="104" t="s">
        <v>26</v>
      </c>
      <c r="M609" s="104" t="s">
        <v>27</v>
      </c>
      <c r="N609" s="108" t="str">
        <f t="shared" si="1"/>
        <v>GUARATUBA</v>
      </c>
      <c r="O609" s="109" t="str">
        <f>Cadastro!$O541</f>
        <v>https://monitoramento.pm.pr.gov.br/proxy_image_6/Interface/Cameras/GetJPEGStream?Camera=C.006&amp;AuthUser=siscop&amp;AuthPass=Siscop1234&amp;Width=1024&amp;Height=768&amp;Quality=70&amp;FPS=10&amp;ResponseFormat=Text</v>
      </c>
      <c r="P609" s="106">
        <f>Cadastro!$P541</f>
        <v>1</v>
      </c>
    </row>
    <row r="610">
      <c r="A610" s="104" t="str">
        <f>Cadastro!$A542</f>
        <v>GUARATUBA</v>
      </c>
      <c r="B610" s="104" t="str">
        <f>Cadastro!$B542</f>
        <v>GUARATUBA</v>
      </c>
      <c r="C610" s="107" t="str">
        <f>Cadastro!$C542</f>
        <v>https://monitoramento.pm.pr.gov.br/proxy_image_6/</v>
      </c>
      <c r="D610" s="105">
        <f>Cadastro!$D542</f>
        <v>8601</v>
      </c>
      <c r="E610" s="104" t="str">
        <f>Cadastro!$E542</f>
        <v>C.007</v>
      </c>
      <c r="F610" s="104" t="str">
        <f>Cadastro!$F542</f>
        <v>SPD - Av. Atlântica - Morro do Cristo</v>
      </c>
      <c r="G610" s="104" t="str">
        <f>Cadastro!$G542</f>
        <v>-25.889862</v>
      </c>
      <c r="H610" s="104" t="str">
        <f>Cadastro!$H542</f>
        <v>-48.563019</v>
      </c>
      <c r="I610" s="104" t="str">
        <f>Cadastro!$I542</f>
        <v>siscop</v>
      </c>
      <c r="J610" s="104" t="str">
        <f>Cadastro!$J542</f>
        <v>Siscop1234</v>
      </c>
      <c r="K610" s="104" t="s">
        <v>4536</v>
      </c>
      <c r="L610" s="104" t="s">
        <v>26</v>
      </c>
      <c r="M610" s="104" t="s">
        <v>27</v>
      </c>
      <c r="N610" s="108" t="str">
        <f t="shared" si="1"/>
        <v>GUARATUBA</v>
      </c>
      <c r="O610" s="109" t="str">
        <f>Cadastro!$O542</f>
        <v>https://monitoramento.pm.pr.gov.br/proxy_image_6/Interface/Cameras/GetJPEGStream?Camera=C.007&amp;AuthUser=siscop&amp;AuthPass=Siscop1234&amp;Width=1024&amp;Height=768&amp;Quality=70&amp;FPS=10&amp;ResponseFormat=Text</v>
      </c>
      <c r="P610" s="106">
        <f>Cadastro!$P542</f>
        <v>1</v>
      </c>
    </row>
    <row r="611">
      <c r="A611" s="104" t="str">
        <f>Cadastro!$A543</f>
        <v>GUARATUBA</v>
      </c>
      <c r="B611" s="104" t="str">
        <f>Cadastro!$B543</f>
        <v>GUARATUBA</v>
      </c>
      <c r="C611" s="107" t="str">
        <f>Cadastro!$C543</f>
        <v>https://monitoramento.pm.pr.gov.br/proxy_image_6/</v>
      </c>
      <c r="D611" s="105">
        <f>Cadastro!$D543</f>
        <v>8601</v>
      </c>
      <c r="E611" s="104" t="str">
        <f>Cadastro!$E543</f>
        <v>C.008</v>
      </c>
      <c r="F611" s="104" t="str">
        <f>Cadastro!$F543</f>
        <v>Av. Atlântica - Morro do Cristo</v>
      </c>
      <c r="G611" s="104" t="str">
        <f>Cadastro!$G543</f>
        <v>-25.889889</v>
      </c>
      <c r="H611" s="104" t="str">
        <f>Cadastro!$H543</f>
        <v>-48.563068</v>
      </c>
      <c r="I611" s="104" t="str">
        <f>Cadastro!$I543</f>
        <v>siscop</v>
      </c>
      <c r="J611" s="104" t="str">
        <f>Cadastro!$J543</f>
        <v>Siscop1234</v>
      </c>
      <c r="K611" s="104" t="s">
        <v>4536</v>
      </c>
      <c r="L611" s="104" t="s">
        <v>26</v>
      </c>
      <c r="M611" s="104" t="s">
        <v>27</v>
      </c>
      <c r="N611" s="108" t="str">
        <f t="shared" si="1"/>
        <v>GUARATUBA</v>
      </c>
      <c r="O611" s="109" t="str">
        <f>Cadastro!$O543</f>
        <v>https://monitoramento.pm.pr.gov.br/proxy_image_6/Interface/Cameras/GetJPEGStream?Camera=C.008&amp;AuthUser=siscop&amp;AuthPass=Siscop1234&amp;Width=1024&amp;Height=768&amp;Quality=70&amp;FPS=10&amp;ResponseFormat=Text</v>
      </c>
      <c r="P611" s="106">
        <f>Cadastro!$P543</f>
        <v>1</v>
      </c>
    </row>
    <row r="612">
      <c r="A612" s="104" t="str">
        <f>Cadastro!$A544</f>
        <v>GUARATUBA</v>
      </c>
      <c r="B612" s="104" t="str">
        <f>Cadastro!$B544</f>
        <v>GUARATUBA</v>
      </c>
      <c r="C612" s="107" t="str">
        <f>Cadastro!$C544</f>
        <v>https://monitoramento.pm.pr.gov.br/proxy_image_6/</v>
      </c>
      <c r="D612" s="105">
        <f>Cadastro!$D544</f>
        <v>8601</v>
      </c>
      <c r="E612" s="104" t="str">
        <f>Cadastro!$E544</f>
        <v>C.009</v>
      </c>
      <c r="F612" s="104" t="str">
        <f>Cadastro!$F544</f>
        <v>PR 412 - Rodovia Máximo Jamur</v>
      </c>
      <c r="G612" s="104" t="str">
        <f>Cadastro!$G544</f>
        <v>-25.950075</v>
      </c>
      <c r="H612" s="104" t="str">
        <f>Cadastro!$H544</f>
        <v>-48.621109</v>
      </c>
      <c r="I612" s="104" t="str">
        <f>Cadastro!$I544</f>
        <v>siscop</v>
      </c>
      <c r="J612" s="104" t="str">
        <f>Cadastro!$J544</f>
        <v>Siscop1234</v>
      </c>
      <c r="K612" s="104" t="s">
        <v>4536</v>
      </c>
      <c r="L612" s="104" t="s">
        <v>26</v>
      </c>
      <c r="M612" s="104" t="s">
        <v>27</v>
      </c>
      <c r="N612" s="108" t="str">
        <f t="shared" si="1"/>
        <v>GUARATUBA</v>
      </c>
      <c r="O612" s="109" t="str">
        <f>Cadastro!$O544</f>
        <v>https://monitoramento.pm.pr.gov.br/proxy_image_6/Interface/Cameras/GetJPEGStream?Camera=C.009&amp;AuthUser=siscop&amp;AuthPass=Siscop1234&amp;Width=1024&amp;Height=768&amp;Quality=70&amp;FPS=10&amp;ResponseFormat=Text</v>
      </c>
      <c r="P612" s="106">
        <f>Cadastro!$P544</f>
        <v>1</v>
      </c>
    </row>
    <row r="613">
      <c r="A613" s="104" t="str">
        <f>Cadastro!$A545</f>
        <v>GUARATUBA</v>
      </c>
      <c r="B613" s="104" t="str">
        <f>Cadastro!$B545</f>
        <v>GUARATUBA</v>
      </c>
      <c r="C613" s="107" t="str">
        <f>Cadastro!$C545</f>
        <v>https://monitoramento.pm.pr.gov.br/proxy_image_6/</v>
      </c>
      <c r="D613" s="105">
        <f>Cadastro!$D545</f>
        <v>8601</v>
      </c>
      <c r="E613" s="104" t="str">
        <f>Cadastro!$E545</f>
        <v>C.010</v>
      </c>
      <c r="F613" s="104" t="str">
        <f>Cadastro!$F545</f>
        <v>SPD - Centro Poliesportivo (Guarita)</v>
      </c>
      <c r="G613" s="104" t="str">
        <f>Cadastro!$G545</f>
        <v>-25.880312</v>
      </c>
      <c r="H613" s="104" t="str">
        <f>Cadastro!$H545</f>
        <v>-48.592670</v>
      </c>
      <c r="I613" s="104" t="str">
        <f>Cadastro!$I545</f>
        <v>siscop</v>
      </c>
      <c r="J613" s="104" t="str">
        <f>Cadastro!$J545</f>
        <v>Siscop1234</v>
      </c>
      <c r="K613" s="104" t="s">
        <v>4536</v>
      </c>
      <c r="L613" s="104" t="s">
        <v>26</v>
      </c>
      <c r="M613" s="104" t="s">
        <v>27</v>
      </c>
      <c r="N613" s="108" t="str">
        <f t="shared" si="1"/>
        <v>GUARATUBA</v>
      </c>
      <c r="O613" s="109" t="str">
        <f>Cadastro!$O545</f>
        <v>https://monitoramento.pm.pr.gov.br/proxy_image_6/Interface/Cameras/GetJPEGStream?Camera=C.010&amp;AuthUser=siscop&amp;AuthPass=Siscop1234&amp;Width=1024&amp;Height=768&amp;Quality=70&amp;FPS=10&amp;ResponseFormat=Text</v>
      </c>
      <c r="P613" s="106">
        <f>Cadastro!$P545</f>
        <v>1</v>
      </c>
    </row>
    <row r="614">
      <c r="A614" s="104" t="str">
        <f>Cadastro!$A546</f>
        <v>GUARATUBA</v>
      </c>
      <c r="B614" s="104" t="str">
        <f>Cadastro!$B546</f>
        <v>GUARATUBA</v>
      </c>
      <c r="C614" s="107" t="str">
        <f>Cadastro!$C546</f>
        <v>https://monitoramento.pm.pr.gov.br/proxy_image_6/</v>
      </c>
      <c r="D614" s="105">
        <f>Cadastro!$D546</f>
        <v>8601</v>
      </c>
      <c r="E614" s="104" t="str">
        <f>Cadastro!$E546</f>
        <v>C.011</v>
      </c>
      <c r="F614" s="104" t="str">
        <f>Cadastro!$F546</f>
        <v>Av. Brejatuba x R. Jacarezinho (Praia dos Paraguaios)</v>
      </c>
      <c r="G614" s="104" t="str">
        <f>Cadastro!$G546</f>
        <v>-25.893213</v>
      </c>
      <c r="H614" s="104" t="str">
        <f>Cadastro!$H546</f>
        <v>-48.563290</v>
      </c>
      <c r="I614" s="104" t="str">
        <f>Cadastro!$I546</f>
        <v>siscop</v>
      </c>
      <c r="J614" s="104" t="str">
        <f>Cadastro!$J546</f>
        <v>Siscop1234</v>
      </c>
      <c r="K614" s="104" t="s">
        <v>4536</v>
      </c>
      <c r="L614" s="104" t="s">
        <v>26</v>
      </c>
      <c r="M614" s="104" t="s">
        <v>27</v>
      </c>
      <c r="N614" s="108" t="str">
        <f t="shared" si="1"/>
        <v>GUARATUBA</v>
      </c>
      <c r="O614" s="109" t="str">
        <f>Cadastro!$O546</f>
        <v>https://monitoramento.pm.pr.gov.br/proxy_image_6/Interface/Cameras/GetJPEGStream?Camera=C.011&amp;AuthUser=siscop&amp;AuthPass=Siscop1234&amp;Width=1024&amp;Height=768&amp;Quality=70&amp;FPS=10&amp;ResponseFormat=Text</v>
      </c>
      <c r="P614" s="106">
        <f>Cadastro!$P546</f>
        <v>1</v>
      </c>
    </row>
    <row r="615">
      <c r="A615" s="104" t="str">
        <f>Cadastro!$A547</f>
        <v>GUARATUBA</v>
      </c>
      <c r="B615" s="104" t="str">
        <f>Cadastro!$B547</f>
        <v>GUARATUBA</v>
      </c>
      <c r="C615" s="107" t="str">
        <f>Cadastro!$C547</f>
        <v>https://monitoramento.pm.pr.gov.br/proxy_image_6/</v>
      </c>
      <c r="D615" s="105">
        <f>Cadastro!$D547</f>
        <v>8601</v>
      </c>
      <c r="E615" s="104" t="str">
        <f>Cadastro!$E547</f>
        <v>C.012</v>
      </c>
      <c r="F615" s="104" t="str">
        <f>Cadastro!$F547</f>
        <v>SPD - Av. Brejatuba x R. Jacarezinho (Praia dos Paraguaios)</v>
      </c>
      <c r="G615" s="104" t="str">
        <f>Cadastro!$G547</f>
        <v>-25.893202</v>
      </c>
      <c r="H615" s="104" t="str">
        <f>Cadastro!$H547</f>
        <v>-48.563301</v>
      </c>
      <c r="I615" s="104" t="str">
        <f>Cadastro!$I547</f>
        <v>siscop</v>
      </c>
      <c r="J615" s="104" t="str">
        <f>Cadastro!$J547</f>
        <v>Siscop1234</v>
      </c>
      <c r="K615" s="104" t="s">
        <v>4536</v>
      </c>
      <c r="L615" s="104" t="s">
        <v>26</v>
      </c>
      <c r="M615" s="104" t="s">
        <v>27</v>
      </c>
      <c r="N615" s="108" t="str">
        <f t="shared" si="1"/>
        <v>GUARATUBA</v>
      </c>
      <c r="O615" s="109" t="str">
        <f>Cadastro!$O547</f>
        <v>https://monitoramento.pm.pr.gov.br/proxy_image_6/Interface/Cameras/GetJPEGStream?Camera=C.012&amp;AuthUser=siscop&amp;AuthPass=Siscop1234&amp;Width=1024&amp;Height=768&amp;Quality=70&amp;FPS=10&amp;ResponseFormat=Text</v>
      </c>
      <c r="P615" s="106">
        <f>Cadastro!$P547</f>
        <v>1</v>
      </c>
    </row>
    <row r="616">
      <c r="A616" s="104" t="str">
        <f>Cadastro!$A548</f>
        <v>GUARATUBA</v>
      </c>
      <c r="B616" s="104" t="str">
        <f>Cadastro!$B548</f>
        <v>GUARATUBA</v>
      </c>
      <c r="C616" s="107" t="str">
        <f>Cadastro!$C548</f>
        <v>https://monitoramento.pm.pr.gov.br/proxy_image_6/</v>
      </c>
      <c r="D616" s="105">
        <f>Cadastro!$D548</f>
        <v>8601</v>
      </c>
      <c r="E616" s="104" t="str">
        <f>Cadastro!$E548</f>
        <v>C.013</v>
      </c>
      <c r="F616" s="104" t="str">
        <f>Cadastro!$F548</f>
        <v>SPD - Rotatória Coroados</v>
      </c>
      <c r="G616" s="104" t="str">
        <f>Cadastro!$G548</f>
        <v>-25.947420</v>
      </c>
      <c r="H616" s="104" t="str">
        <f>Cadastro!$H548</f>
        <v>-48.596344</v>
      </c>
      <c r="I616" s="104" t="str">
        <f>Cadastro!$I548</f>
        <v>siscop</v>
      </c>
      <c r="J616" s="104" t="str">
        <f>Cadastro!$J548</f>
        <v>Siscop1234</v>
      </c>
      <c r="K616" s="104" t="s">
        <v>4536</v>
      </c>
      <c r="L616" s="104" t="s">
        <v>26</v>
      </c>
      <c r="M616" s="104" t="s">
        <v>27</v>
      </c>
      <c r="N616" s="108" t="str">
        <f t="shared" si="1"/>
        <v>GUARATUBA</v>
      </c>
      <c r="O616" s="109" t="str">
        <f>Cadastro!$O548</f>
        <v>https://monitoramento.pm.pr.gov.br/proxy_image_6/Interface/Cameras/GetJPEGStream?Camera=C.013&amp;AuthUser=siscop&amp;AuthPass=Siscop1234&amp;Width=1024&amp;Height=768&amp;Quality=70&amp;FPS=10&amp;ResponseFormat=Text</v>
      </c>
      <c r="P616" s="106">
        <f>Cadastro!$P548</f>
        <v>1</v>
      </c>
    </row>
    <row r="617">
      <c r="A617" s="104" t="str">
        <f>Cadastro!$A549</f>
        <v>GUARATUBA</v>
      </c>
      <c r="B617" s="104" t="str">
        <f>Cadastro!$B549</f>
        <v>GUARATUBA</v>
      </c>
      <c r="C617" s="107" t="str">
        <f>Cadastro!$C549</f>
        <v>https://monitoramento.pm.pr.gov.br/proxy_image_6/</v>
      </c>
      <c r="D617" s="105">
        <f>Cadastro!$D549</f>
        <v>8601</v>
      </c>
      <c r="E617" s="104" t="str">
        <f>Cadastro!$E549</f>
        <v>C.014</v>
      </c>
      <c r="F617" s="104" t="str">
        <f>Cadastro!$F549</f>
        <v>Rotatória Coroados</v>
      </c>
      <c r="G617" s="104" t="str">
        <f>Cadastro!$G549</f>
        <v>-25.947409</v>
      </c>
      <c r="H617" s="104" t="str">
        <f>Cadastro!$H549</f>
        <v>-48.596321</v>
      </c>
      <c r="I617" s="104" t="str">
        <f>Cadastro!$I549</f>
        <v>siscop</v>
      </c>
      <c r="J617" s="104" t="str">
        <f>Cadastro!$J549</f>
        <v>Siscop1234</v>
      </c>
      <c r="K617" s="104" t="s">
        <v>4536</v>
      </c>
      <c r="L617" s="104" t="s">
        <v>26</v>
      </c>
      <c r="M617" s="104" t="s">
        <v>27</v>
      </c>
      <c r="N617" s="108" t="str">
        <f t="shared" si="1"/>
        <v>GUARATUBA</v>
      </c>
      <c r="O617" s="109" t="str">
        <f>Cadastro!$O549</f>
        <v>https://monitoramento.pm.pr.gov.br/proxy_image_6/Interface/Cameras/GetJPEGStream?Camera=C.014&amp;AuthUser=siscop&amp;AuthPass=Siscop1234&amp;Width=1024&amp;Height=768&amp;Quality=70&amp;FPS=10&amp;ResponseFormat=Text</v>
      </c>
      <c r="P617" s="106">
        <f>Cadastro!$P549</f>
        <v>1</v>
      </c>
    </row>
    <row r="618">
      <c r="A618" s="104" t="str">
        <f>Cadastro!$A550</f>
        <v>GUARATUBA</v>
      </c>
      <c r="B618" s="104" t="str">
        <f>Cadastro!$B550</f>
        <v>GUARATUBA</v>
      </c>
      <c r="C618" s="107" t="str">
        <f>Cadastro!$C550</f>
        <v>https://monitoramento.pm.pr.gov.br/proxy_image_6/</v>
      </c>
      <c r="D618" s="105">
        <f>Cadastro!$D550</f>
        <v>8601</v>
      </c>
      <c r="E618" s="104" t="str">
        <f>Cadastro!$E550</f>
        <v>C.015</v>
      </c>
      <c r="F618" s="104" t="str">
        <f>Cadastro!$F550</f>
        <v>Xavier da Silxa x 29 de Abril (sent. centro)</v>
      </c>
      <c r="G618" s="104" t="str">
        <f>Cadastro!$G550</f>
        <v>-25.879892</v>
      </c>
      <c r="H618" s="104" t="str">
        <f>Cadastro!$H550</f>
        <v>-48.570248</v>
      </c>
      <c r="I618" s="104" t="str">
        <f>Cadastro!$I550</f>
        <v>siscop</v>
      </c>
      <c r="J618" s="104" t="str">
        <f>Cadastro!$J550</f>
        <v>Siscop1234</v>
      </c>
      <c r="K618" s="104" t="s">
        <v>4536</v>
      </c>
      <c r="L618" s="104" t="s">
        <v>26</v>
      </c>
      <c r="M618" s="104" t="s">
        <v>27</v>
      </c>
      <c r="N618" s="108" t="str">
        <f t="shared" si="1"/>
        <v>GUARATUBA</v>
      </c>
      <c r="O618" s="109" t="str">
        <f>Cadastro!$O550</f>
        <v>https://monitoramento.pm.pr.gov.br/proxy_image_6/Interface/Cameras/GetJPEGStream?Camera=C.015&amp;AuthUser=siscop&amp;AuthPass=Siscop1234&amp;Width=1024&amp;Height=768&amp;Quality=70&amp;FPS=10&amp;ResponseFormat=Text</v>
      </c>
      <c r="P618" s="106">
        <f>Cadastro!$P550</f>
        <v>1</v>
      </c>
    </row>
    <row r="619">
      <c r="A619" s="104" t="str">
        <f>Cadastro!$A551</f>
        <v>GUARATUBA</v>
      </c>
      <c r="B619" s="104" t="str">
        <f>Cadastro!$B551</f>
        <v>GUARATUBA</v>
      </c>
      <c r="C619" s="107" t="str">
        <f>Cadastro!$C551</f>
        <v>https://monitoramento.pm.pr.gov.br/proxy_image_6/</v>
      </c>
      <c r="D619" s="105">
        <f>Cadastro!$D551</f>
        <v>8601</v>
      </c>
      <c r="E619" s="104" t="str">
        <f>Cadastro!$E551</f>
        <v>C.016</v>
      </c>
      <c r="F619" s="104" t="str">
        <f>Cadastro!$F551</f>
        <v>Rotatória Coroados - Sentido Centro</v>
      </c>
      <c r="G619" s="104" t="str">
        <f>Cadastro!$G551</f>
        <v>-25.947409</v>
      </c>
      <c r="H619" s="104" t="str">
        <f>Cadastro!$H551</f>
        <v>-48.596321</v>
      </c>
      <c r="I619" s="104" t="str">
        <f>Cadastro!$I551</f>
        <v>siscop</v>
      </c>
      <c r="J619" s="104" t="str">
        <f>Cadastro!$J551</f>
        <v>Siscop1234</v>
      </c>
      <c r="K619" s="104" t="s">
        <v>4536</v>
      </c>
      <c r="L619" s="104" t="s">
        <v>26</v>
      </c>
      <c r="M619" s="104" t="s">
        <v>27</v>
      </c>
      <c r="N619" s="108" t="str">
        <f t="shared" si="1"/>
        <v>GUARATUBA</v>
      </c>
      <c r="O619" s="109" t="str">
        <f>Cadastro!$O551</f>
        <v>https://monitoramento.pm.pr.gov.br/proxy_image_6/Interface/Cameras/GetJPEGStream?Camera=C.016&amp;AuthUser=siscop&amp;AuthPass=Siscop1234&amp;Width=1024&amp;Height=768&amp;Quality=70&amp;FPS=10&amp;ResponseFormat=Text</v>
      </c>
      <c r="P619" s="106">
        <f>Cadastro!$P551</f>
        <v>1</v>
      </c>
    </row>
    <row r="620">
      <c r="A620" s="104" t="str">
        <f>Cadastro!$A552</f>
        <v>GUARATUBA</v>
      </c>
      <c r="B620" s="104" t="str">
        <f>Cadastro!$B552</f>
        <v>GUARATUBA</v>
      </c>
      <c r="C620" s="107" t="str">
        <f>Cadastro!$C552</f>
        <v>https://monitoramento.pm.pr.gov.br/proxy_image_6/</v>
      </c>
      <c r="D620" s="105">
        <f>Cadastro!$D552</f>
        <v>8601</v>
      </c>
      <c r="E620" s="104" t="str">
        <f>Cadastro!$E552</f>
        <v>C.017</v>
      </c>
      <c r="F620" s="104" t="str">
        <f>Cadastro!$F552</f>
        <v>SPD - Av. 29 de Abril x José Nicolau Abagge</v>
      </c>
      <c r="G620" s="104" t="str">
        <f>Cadastro!$G552</f>
        <v>-25.877350</v>
      </c>
      <c r="H620" s="104" t="str">
        <f>Cadastro!$H552</f>
        <v>-48.572762</v>
      </c>
      <c r="I620" s="104" t="str">
        <f>Cadastro!$I552</f>
        <v>siscop</v>
      </c>
      <c r="J620" s="104" t="str">
        <f>Cadastro!$J552</f>
        <v>Siscop1234</v>
      </c>
      <c r="K620" s="104" t="s">
        <v>4536</v>
      </c>
      <c r="L620" s="104" t="s">
        <v>26</v>
      </c>
      <c r="M620" s="104" t="s">
        <v>27</v>
      </c>
      <c r="N620" s="108" t="str">
        <f t="shared" si="1"/>
        <v>GUARATUBA</v>
      </c>
      <c r="O620" s="109" t="str">
        <f>Cadastro!$O552</f>
        <v>https://monitoramento.pm.pr.gov.br/proxy_image_6/Interface/Cameras/GetJPEGStream?Camera=C.017&amp;AuthUser=siscop&amp;AuthPass=Siscop1234&amp;Width=1024&amp;Height=768&amp;Quality=70&amp;FPS=10&amp;ResponseFormat=Text</v>
      </c>
      <c r="P620" s="106">
        <f>Cadastro!$P552</f>
        <v>1</v>
      </c>
    </row>
    <row r="621">
      <c r="A621" s="104" t="str">
        <f>Cadastro!$A553</f>
        <v>GUARATUBA</v>
      </c>
      <c r="B621" s="104" t="str">
        <f>Cadastro!$B553</f>
        <v>GUARATUBA</v>
      </c>
      <c r="C621" s="107" t="str">
        <f>Cadastro!$C553</f>
        <v>https://monitoramento.pm.pr.gov.br/proxy_image_6/</v>
      </c>
      <c r="D621" s="105">
        <f>Cadastro!$D553</f>
        <v>8601</v>
      </c>
      <c r="E621" s="104" t="str">
        <f>Cadastro!$E553</f>
        <v>C.018</v>
      </c>
      <c r="F621" s="104" t="str">
        <f>Cadastro!$F553</f>
        <v>Av. 29 de Abril x José Nicolau Abagge</v>
      </c>
      <c r="G621" s="104" t="str">
        <f>Cadastro!$G553</f>
        <v>-25.877348</v>
      </c>
      <c r="H621" s="104" t="str">
        <f>Cadastro!$H553</f>
        <v>-48.572758</v>
      </c>
      <c r="I621" s="104" t="str">
        <f>Cadastro!$I553</f>
        <v>siscop</v>
      </c>
      <c r="J621" s="104" t="str">
        <f>Cadastro!$J553</f>
        <v>Siscop1234</v>
      </c>
      <c r="K621" s="104" t="s">
        <v>4536</v>
      </c>
      <c r="L621" s="104" t="s">
        <v>26</v>
      </c>
      <c r="M621" s="104" t="s">
        <v>27</v>
      </c>
      <c r="N621" s="108" t="str">
        <f t="shared" si="1"/>
        <v>GUARATUBA</v>
      </c>
      <c r="O621" s="109" t="str">
        <f>Cadastro!$O553</f>
        <v>https://monitoramento.pm.pr.gov.br/proxy_image_6/Interface/Cameras/GetJPEGStream?Camera=C.018&amp;AuthUser=siscop&amp;AuthPass=Siscop1234&amp;Width=1024&amp;Height=768&amp;Quality=70&amp;FPS=10&amp;ResponseFormat=Text</v>
      </c>
      <c r="P621" s="106">
        <f>Cadastro!$P553</f>
        <v>1</v>
      </c>
    </row>
    <row r="622">
      <c r="A622" s="104" t="str">
        <f>Cadastro!$A554</f>
        <v>GUARATUBA</v>
      </c>
      <c r="B622" s="104" t="str">
        <f>Cadastro!$B554</f>
        <v>GUARATUBA</v>
      </c>
      <c r="C622" s="107" t="str">
        <f>Cadastro!$C554</f>
        <v>https://monitoramento.pm.pr.gov.br/proxy_image_6/</v>
      </c>
      <c r="D622" s="105">
        <f>Cadastro!$D554</f>
        <v>8601</v>
      </c>
      <c r="E622" s="104" t="str">
        <f>Cadastro!$E554</f>
        <v>C.019</v>
      </c>
      <c r="F622" s="104" t="str">
        <f>Cadastro!$F554</f>
        <v>Av. 29 de Abril x José Nicolau Abagge</v>
      </c>
      <c r="G622" s="104" t="str">
        <f>Cadastro!$G554</f>
        <v>-25.877357</v>
      </c>
      <c r="H622" s="104" t="str">
        <f>Cadastro!$H554</f>
        <v>-48.572762</v>
      </c>
      <c r="I622" s="104" t="str">
        <f>Cadastro!$I554</f>
        <v>siscop</v>
      </c>
      <c r="J622" s="104" t="str">
        <f>Cadastro!$J554</f>
        <v>Siscop1234</v>
      </c>
      <c r="K622" s="104" t="s">
        <v>4536</v>
      </c>
      <c r="L622" s="104" t="s">
        <v>26</v>
      </c>
      <c r="M622" s="104" t="s">
        <v>27</v>
      </c>
      <c r="N622" s="108" t="str">
        <f t="shared" si="1"/>
        <v>GUARATUBA</v>
      </c>
      <c r="O622" s="109" t="str">
        <f>Cadastro!$O554</f>
        <v>https://monitoramento.pm.pr.gov.br/proxy_image_6/Interface/Cameras/GetJPEGStream?Camera=C.019&amp;AuthUser=siscop&amp;AuthPass=Siscop1234&amp;Width=1024&amp;Height=768&amp;Quality=70&amp;FPS=10&amp;ResponseFormat=Text</v>
      </c>
      <c r="P622" s="106">
        <f>Cadastro!$P554</f>
        <v>1</v>
      </c>
    </row>
    <row r="623">
      <c r="A623" s="104" t="str">
        <f>Cadastro!$A555</f>
        <v>GUARATUBA</v>
      </c>
      <c r="B623" s="104" t="str">
        <f>Cadastro!$B555</f>
        <v>GUARATUBA</v>
      </c>
      <c r="C623" s="107" t="str">
        <f>Cadastro!$C555</f>
        <v>https://monitoramento.pm.pr.gov.br/proxy_image_6/</v>
      </c>
      <c r="D623" s="105">
        <f>Cadastro!$D555</f>
        <v>8601</v>
      </c>
      <c r="E623" s="104" t="str">
        <f>Cadastro!$E555</f>
        <v>C.020</v>
      </c>
      <c r="F623" s="104" t="str">
        <f>Cadastro!$F555</f>
        <v>Av. 29 de Abril x José Nicolau Abagge</v>
      </c>
      <c r="G623" s="104" t="str">
        <f>Cadastro!$G555</f>
        <v>-25.877413</v>
      </c>
      <c r="H623" s="104" t="str">
        <f>Cadastro!$H555</f>
        <v>-48.572788</v>
      </c>
      <c r="I623" s="104" t="str">
        <f>Cadastro!$I555</f>
        <v>siscop</v>
      </c>
      <c r="J623" s="104" t="str">
        <f>Cadastro!$J555</f>
        <v>Siscop1234</v>
      </c>
      <c r="K623" s="104" t="s">
        <v>4536</v>
      </c>
      <c r="L623" s="104" t="s">
        <v>26</v>
      </c>
      <c r="M623" s="104" t="s">
        <v>27</v>
      </c>
      <c r="N623" s="108" t="str">
        <f t="shared" si="1"/>
        <v>GUARATUBA</v>
      </c>
      <c r="O623" s="109" t="str">
        <f>Cadastro!$O555</f>
        <v>https://monitoramento.pm.pr.gov.br/proxy_image_6/Interface/Cameras/GetJPEGStream?Camera=C.020&amp;AuthUser=siscop&amp;AuthPass=Siscop1234&amp;Width=1024&amp;Height=768&amp;Quality=70&amp;FPS=10&amp;ResponseFormat=Text</v>
      </c>
      <c r="P623" s="106">
        <f>Cadastro!$P555</f>
        <v>1</v>
      </c>
    </row>
    <row r="624">
      <c r="A624" s="104" t="str">
        <f>Cadastro!$A556</f>
        <v>GUARATUBA</v>
      </c>
      <c r="B624" s="104" t="str">
        <f>Cadastro!$B556</f>
        <v>GUARATUBA</v>
      </c>
      <c r="C624" s="107" t="str">
        <f>Cadastro!$C556</f>
        <v>https://monitoramento.pm.pr.gov.br/proxy_image_6/</v>
      </c>
      <c r="D624" s="105">
        <f>Cadastro!$D556</f>
        <v>8601</v>
      </c>
      <c r="E624" s="104" t="str">
        <f>Cadastro!$E556</f>
        <v>C.021</v>
      </c>
      <c r="F624" s="104" t="str">
        <f>Cadastro!$F556</f>
        <v>SPD - R. Cel. Afonso B de Souza x Tv. Dr Luis Sobrinho (Praça dos Namorados)</v>
      </c>
      <c r="G624" s="104" t="str">
        <f>Cadastro!$G556</f>
        <v>-25.872929</v>
      </c>
      <c r="H624" s="104" t="str">
        <f>Cadastro!$H556</f>
        <v>-48.576691</v>
      </c>
      <c r="I624" s="104" t="str">
        <f>Cadastro!$I556</f>
        <v>siscop</v>
      </c>
      <c r="J624" s="104" t="str">
        <f>Cadastro!$J556</f>
        <v>Siscop1234</v>
      </c>
      <c r="K624" s="104" t="s">
        <v>4536</v>
      </c>
      <c r="L624" s="104" t="s">
        <v>26</v>
      </c>
      <c r="M624" s="104" t="s">
        <v>27</v>
      </c>
      <c r="N624" s="108" t="str">
        <f t="shared" si="1"/>
        <v>GUARATUBA</v>
      </c>
      <c r="O624" s="109" t="str">
        <f>Cadastro!$O556</f>
        <v>https://monitoramento.pm.pr.gov.br/proxy_image_6/Interface/Cameras/GetJPEGStream?Camera=C.021&amp;AuthUser=siscop&amp;AuthPass=Siscop1234&amp;Width=1024&amp;Height=768&amp;Quality=70&amp;FPS=10&amp;ResponseFormat=Text</v>
      </c>
      <c r="P624" s="106">
        <f>Cadastro!$P556</f>
        <v>1</v>
      </c>
    </row>
    <row r="625">
      <c r="A625" s="104" t="str">
        <f>Cadastro!$A557</f>
        <v>GUARATUBA</v>
      </c>
      <c r="B625" s="104" t="str">
        <f>Cadastro!$B557</f>
        <v>GUARATUBA</v>
      </c>
      <c r="C625" s="107" t="str">
        <f>Cadastro!$C557</f>
        <v>https://monitoramento.pm.pr.gov.br/proxy_image_6/</v>
      </c>
      <c r="D625" s="105">
        <f>Cadastro!$D557</f>
        <v>8601</v>
      </c>
      <c r="E625" s="104" t="str">
        <f>Cadastro!$E557</f>
        <v>C.022</v>
      </c>
      <c r="F625" s="104" t="str">
        <f>Cadastro!$F557</f>
        <v>R. Cel. Afonso B de Souza x Tv. Dr Luis Sobrinho (Praça dos Namorados)</v>
      </c>
      <c r="G625" s="104" t="str">
        <f>Cadastro!$G557</f>
        <v>-25.872923</v>
      </c>
      <c r="H625" s="104" t="str">
        <f>Cadastro!$H557</f>
        <v>-48.576691</v>
      </c>
      <c r="I625" s="104" t="str">
        <f>Cadastro!$I557</f>
        <v>siscop</v>
      </c>
      <c r="J625" s="104" t="str">
        <f>Cadastro!$J557</f>
        <v>Siscop1234</v>
      </c>
      <c r="K625" s="104" t="s">
        <v>4536</v>
      </c>
      <c r="L625" s="104" t="s">
        <v>26</v>
      </c>
      <c r="M625" s="104" t="s">
        <v>27</v>
      </c>
      <c r="N625" s="108" t="str">
        <f t="shared" si="1"/>
        <v>GUARATUBA</v>
      </c>
      <c r="O625" s="109" t="str">
        <f>Cadastro!$O557</f>
        <v>https://monitoramento.pm.pr.gov.br/proxy_image_6/Interface/Cameras/GetJPEGStream?Camera=C.022&amp;AuthUser=siscop&amp;AuthPass=Siscop1234&amp;Width=1024&amp;Height=768&amp;Quality=70&amp;FPS=10&amp;ResponseFormat=Text</v>
      </c>
      <c r="P625" s="106">
        <f>Cadastro!$P557</f>
        <v>1</v>
      </c>
    </row>
    <row r="626">
      <c r="A626" s="104" t="str">
        <f>Cadastro!$A558</f>
        <v>GUARATUBA</v>
      </c>
      <c r="B626" s="104" t="str">
        <f>Cadastro!$B558</f>
        <v>GUARATUBA</v>
      </c>
      <c r="C626" s="107" t="str">
        <f>Cadastro!$C558</f>
        <v>https://monitoramento.pm.pr.gov.br/proxy_image_6/</v>
      </c>
      <c r="D626" s="105">
        <f>Cadastro!$D558</f>
        <v>8601</v>
      </c>
      <c r="E626" s="104" t="str">
        <f>Cadastro!$E558</f>
        <v>C.023</v>
      </c>
      <c r="F626" s="104" t="str">
        <f>Cadastro!$F558</f>
        <v>R. Cel. Afonso B de Souza x Tv. Dr Luis Sobrinho (Praça dos Namorados)</v>
      </c>
      <c r="G626" s="104" t="str">
        <f>Cadastro!$G558</f>
        <v>-25.872923</v>
      </c>
      <c r="H626" s="104" t="str">
        <f>Cadastro!$H558</f>
        <v>-48.576691</v>
      </c>
      <c r="I626" s="104" t="str">
        <f>Cadastro!$I558</f>
        <v>siscop</v>
      </c>
      <c r="J626" s="104" t="str">
        <f>Cadastro!$J558</f>
        <v>Siscop1234</v>
      </c>
      <c r="K626" s="104" t="s">
        <v>4536</v>
      </c>
      <c r="L626" s="104" t="s">
        <v>26</v>
      </c>
      <c r="M626" s="104" t="s">
        <v>27</v>
      </c>
      <c r="N626" s="108" t="str">
        <f t="shared" si="1"/>
        <v>GUARATUBA</v>
      </c>
      <c r="O626" s="109" t="str">
        <f>Cadastro!$O558</f>
        <v>https://monitoramento.pm.pr.gov.br/proxy_image_6/Interface/Cameras/GetJPEGStream?Camera=C.023&amp;AuthUser=siscop&amp;AuthPass=Siscop1234&amp;Width=1024&amp;Height=768&amp;Quality=70&amp;FPS=10&amp;ResponseFormat=Text</v>
      </c>
      <c r="P626" s="106">
        <f>Cadastro!$P558</f>
        <v>1</v>
      </c>
    </row>
    <row r="627">
      <c r="A627" s="104" t="str">
        <f>Cadastro!$A559</f>
        <v>GUARATUBA</v>
      </c>
      <c r="B627" s="104" t="str">
        <f>Cadastro!$B559</f>
        <v>GUARATUBA</v>
      </c>
      <c r="C627" s="107" t="str">
        <f>Cadastro!$C559</f>
        <v>https://monitoramento.pm.pr.gov.br/proxy_image_6/</v>
      </c>
      <c r="D627" s="105">
        <f>Cadastro!$D559</f>
        <v>8601</v>
      </c>
      <c r="E627" s="104" t="str">
        <f>Cadastro!$E559</f>
        <v>C.024</v>
      </c>
      <c r="F627" s="104" t="str">
        <f>Cadastro!$F559</f>
        <v>SPD - Av. Damião Botelho x R. Menelau A. Torres (Rodoviária)</v>
      </c>
      <c r="G627" s="104" t="str">
        <f>Cadastro!$G559</f>
        <v>-25.877256</v>
      </c>
      <c r="H627" s="104" t="str">
        <f>Cadastro!$H559</f>
        <v>-48.585129</v>
      </c>
      <c r="I627" s="104" t="str">
        <f>Cadastro!$I559</f>
        <v>siscop</v>
      </c>
      <c r="J627" s="104" t="str">
        <f>Cadastro!$J559</f>
        <v>Siscop1234</v>
      </c>
      <c r="K627" s="104" t="s">
        <v>4536</v>
      </c>
      <c r="L627" s="104" t="s">
        <v>26</v>
      </c>
      <c r="M627" s="104" t="s">
        <v>27</v>
      </c>
      <c r="N627" s="108" t="str">
        <f t="shared" si="1"/>
        <v>GUARATUBA</v>
      </c>
      <c r="O627" s="109" t="str">
        <f>Cadastro!$O559</f>
        <v>https://monitoramento.pm.pr.gov.br/proxy_image_6/Interface/Cameras/GetJPEGStream?Camera=C.024&amp;AuthUser=siscop&amp;AuthPass=Siscop1234&amp;Width=1024&amp;Height=768&amp;Quality=70&amp;FPS=10&amp;ResponseFormat=Text</v>
      </c>
      <c r="P627" s="106">
        <f>Cadastro!$P559</f>
        <v>1</v>
      </c>
    </row>
    <row r="628">
      <c r="A628" s="104" t="str">
        <f>Cadastro!$A560</f>
        <v>GUARATUBA</v>
      </c>
      <c r="B628" s="104" t="str">
        <f>Cadastro!$B560</f>
        <v>GUARATUBA</v>
      </c>
      <c r="C628" s="107" t="str">
        <f>Cadastro!$C560</f>
        <v>https://monitoramento.pm.pr.gov.br/proxy_image_6/</v>
      </c>
      <c r="D628" s="105">
        <f>Cadastro!$D560</f>
        <v>8601</v>
      </c>
      <c r="E628" s="104" t="str">
        <f>Cadastro!$E560</f>
        <v>C.025</v>
      </c>
      <c r="F628" s="104" t="str">
        <f>Cadastro!$F560</f>
        <v>Av. Damião Botelho x R. Menelau A. Torres (Rodoviária)</v>
      </c>
      <c r="G628" s="104" t="str">
        <f>Cadastro!$G560</f>
        <v>-25.877258</v>
      </c>
      <c r="H628" s="104" t="str">
        <f>Cadastro!$H560</f>
        <v>-48.585117</v>
      </c>
      <c r="I628" s="104" t="str">
        <f>Cadastro!$I560</f>
        <v>siscop</v>
      </c>
      <c r="J628" s="104" t="str">
        <f>Cadastro!$J560</f>
        <v>Siscop1234</v>
      </c>
      <c r="K628" s="104" t="s">
        <v>4536</v>
      </c>
      <c r="L628" s="104" t="s">
        <v>26</v>
      </c>
      <c r="M628" s="104" t="s">
        <v>27</v>
      </c>
      <c r="N628" s="108" t="str">
        <f t="shared" si="1"/>
        <v>GUARATUBA</v>
      </c>
      <c r="O628" s="109" t="str">
        <f>Cadastro!$O560</f>
        <v>https://monitoramento.pm.pr.gov.br/proxy_image_6/Interface/Cameras/GetJPEGStream?Camera=C.025&amp;AuthUser=siscop&amp;AuthPass=Siscop1234&amp;Width=1024&amp;Height=768&amp;Quality=70&amp;FPS=10&amp;ResponseFormat=Text</v>
      </c>
      <c r="P628" s="106">
        <f>Cadastro!$P560</f>
        <v>1</v>
      </c>
    </row>
    <row r="629">
      <c r="A629" s="104" t="str">
        <f>Cadastro!$A561</f>
        <v>GUARATUBA</v>
      </c>
      <c r="B629" s="104" t="str">
        <f>Cadastro!$B561</f>
        <v>GUARATUBA</v>
      </c>
      <c r="C629" s="107" t="str">
        <f>Cadastro!$C561</f>
        <v>https://monitoramento.pm.pr.gov.br/proxy_image_6/</v>
      </c>
      <c r="D629" s="105">
        <f>Cadastro!$D561</f>
        <v>8601</v>
      </c>
      <c r="E629" s="104" t="str">
        <f>Cadastro!$E561</f>
        <v>C.026</v>
      </c>
      <c r="F629" s="104" t="str">
        <f>Cadastro!$F561</f>
        <v>Av. Damião Botelho x R. Menelau A. Torres (Rodoviária)</v>
      </c>
      <c r="G629" s="104" t="str">
        <f>Cadastro!$G561</f>
        <v>-25.877258</v>
      </c>
      <c r="H629" s="104" t="str">
        <f>Cadastro!$H561</f>
        <v>-48.585125</v>
      </c>
      <c r="I629" s="104" t="str">
        <f>Cadastro!$I561</f>
        <v>siscop</v>
      </c>
      <c r="J629" s="104" t="str">
        <f>Cadastro!$J561</f>
        <v>Siscop1234</v>
      </c>
      <c r="K629" s="104" t="s">
        <v>4536</v>
      </c>
      <c r="L629" s="104" t="s">
        <v>26</v>
      </c>
      <c r="M629" s="104" t="s">
        <v>27</v>
      </c>
      <c r="N629" s="108" t="str">
        <f t="shared" si="1"/>
        <v>GUARATUBA</v>
      </c>
      <c r="O629" s="109" t="str">
        <f>Cadastro!$O561</f>
        <v>https://monitoramento.pm.pr.gov.br/proxy_image_6/Interface/Cameras/GetJPEGStream?Camera=C.026&amp;AuthUser=siscop&amp;AuthPass=Siscop1234&amp;Width=1024&amp;Height=768&amp;Quality=70&amp;FPS=10&amp;ResponseFormat=Text</v>
      </c>
      <c r="P629" s="106">
        <f>Cadastro!$P561</f>
        <v>1</v>
      </c>
    </row>
    <row r="630">
      <c r="A630" s="104" t="str">
        <f>Cadastro!$A562</f>
        <v>GUARATUBA</v>
      </c>
      <c r="B630" s="104" t="str">
        <f>Cadastro!$B562</f>
        <v>GUARATUBA</v>
      </c>
      <c r="C630" s="107" t="str">
        <f>Cadastro!$C562</f>
        <v>https://monitoramento.pm.pr.gov.br/proxy_image_6/</v>
      </c>
      <c r="D630" s="105">
        <f>Cadastro!$D562</f>
        <v>8601</v>
      </c>
      <c r="E630" s="104" t="str">
        <f>Cadastro!$E562</f>
        <v>C.027</v>
      </c>
      <c r="F630" s="104" t="str">
        <f>Cadastro!$F562</f>
        <v>SPD - Av. Damião Botelho x Av. Patriarca (Curva do Melodia)</v>
      </c>
      <c r="G630" s="104" t="str">
        <f>Cadastro!$G562</f>
        <v>-25.878042</v>
      </c>
      <c r="H630" s="104" t="str">
        <f>Cadastro!$H562</f>
        <v>-48.592651</v>
      </c>
      <c r="I630" s="104" t="str">
        <f>Cadastro!$I562</f>
        <v>siscop</v>
      </c>
      <c r="J630" s="104" t="str">
        <f>Cadastro!$J562</f>
        <v>Siscop1234</v>
      </c>
      <c r="K630" s="104" t="s">
        <v>4536</v>
      </c>
      <c r="L630" s="104" t="s">
        <v>26</v>
      </c>
      <c r="M630" s="104" t="s">
        <v>27</v>
      </c>
      <c r="N630" s="108" t="str">
        <f t="shared" si="1"/>
        <v>GUARATUBA</v>
      </c>
      <c r="O630" s="109" t="str">
        <f>Cadastro!$O562</f>
        <v>https://monitoramento.pm.pr.gov.br/proxy_image_6/Interface/Cameras/GetJPEGStream?Camera=C.027&amp;AuthUser=siscop&amp;AuthPass=Siscop1234&amp;Width=1024&amp;Height=768&amp;Quality=70&amp;FPS=10&amp;ResponseFormat=Text</v>
      </c>
      <c r="P630" s="106">
        <f>Cadastro!$P562</f>
        <v>1</v>
      </c>
    </row>
    <row r="631">
      <c r="A631" s="104" t="str">
        <f>Cadastro!$A563</f>
        <v>GUARATUBA</v>
      </c>
      <c r="B631" s="104" t="str">
        <f>Cadastro!$B563</f>
        <v>GUARATUBA</v>
      </c>
      <c r="C631" s="107" t="str">
        <f>Cadastro!$C563</f>
        <v>https://monitoramento.pm.pr.gov.br/proxy_image_6/</v>
      </c>
      <c r="D631" s="105">
        <f>Cadastro!$D563</f>
        <v>8601</v>
      </c>
      <c r="E631" s="104" t="str">
        <f>Cadastro!$E563</f>
        <v>C.028</v>
      </c>
      <c r="F631" s="104" t="str">
        <f>Cadastro!$F563</f>
        <v>Av. Damião Botelho x Av. Patriarca (Curva do Melodia)</v>
      </c>
      <c r="G631" s="104" t="str">
        <f>Cadastro!$G563</f>
        <v>-25.878033</v>
      </c>
      <c r="H631" s="104" t="str">
        <f>Cadastro!$H563</f>
        <v>-48.592648</v>
      </c>
      <c r="I631" s="104" t="str">
        <f>Cadastro!$I563</f>
        <v>siscop</v>
      </c>
      <c r="J631" s="104" t="str">
        <f>Cadastro!$J563</f>
        <v>Siscop1234</v>
      </c>
      <c r="K631" s="104" t="s">
        <v>4536</v>
      </c>
      <c r="L631" s="104" t="s">
        <v>26</v>
      </c>
      <c r="M631" s="104" t="s">
        <v>27</v>
      </c>
      <c r="N631" s="108" t="str">
        <f t="shared" si="1"/>
        <v>GUARATUBA</v>
      </c>
      <c r="O631" s="109" t="str">
        <f>Cadastro!$O563</f>
        <v>https://monitoramento.pm.pr.gov.br/proxy_image_6/Interface/Cameras/GetJPEGStream?Camera=C.028&amp;AuthUser=siscop&amp;AuthPass=Siscop1234&amp;Width=1024&amp;Height=768&amp;Quality=70&amp;FPS=10&amp;ResponseFormat=Text</v>
      </c>
      <c r="P631" s="106">
        <f>Cadastro!$P563</f>
        <v>1</v>
      </c>
    </row>
    <row r="632">
      <c r="A632" s="104" t="str">
        <f>Cadastro!$A564</f>
        <v>GUARATUBA</v>
      </c>
      <c r="B632" s="104" t="str">
        <f>Cadastro!$B564</f>
        <v>GUARATUBA</v>
      </c>
      <c r="C632" s="107" t="str">
        <f>Cadastro!$C564</f>
        <v>https://monitoramento.pm.pr.gov.br/proxy_image_6/</v>
      </c>
      <c r="D632" s="105">
        <f>Cadastro!$D564</f>
        <v>8601</v>
      </c>
      <c r="E632" s="104" t="str">
        <f>Cadastro!$E564</f>
        <v>C.029</v>
      </c>
      <c r="F632" s="104" t="str">
        <f>Cadastro!$F564</f>
        <v>Av. Damião Botelho x Av. Patriarca (Curva do Melodia)</v>
      </c>
      <c r="G632" s="104" t="str">
        <f>Cadastro!$G564</f>
        <v>-25.878025</v>
      </c>
      <c r="H632" s="104" t="str">
        <f>Cadastro!$H564</f>
        <v>-48.592648</v>
      </c>
      <c r="I632" s="104" t="str">
        <f>Cadastro!$I564</f>
        <v>siscop</v>
      </c>
      <c r="J632" s="104" t="str">
        <f>Cadastro!$J564</f>
        <v>Siscop1234</v>
      </c>
      <c r="K632" s="104" t="s">
        <v>4536</v>
      </c>
      <c r="L632" s="104" t="s">
        <v>26</v>
      </c>
      <c r="M632" s="104" t="s">
        <v>27</v>
      </c>
      <c r="N632" s="108" t="str">
        <f t="shared" si="1"/>
        <v>GUARATUBA</v>
      </c>
      <c r="O632" s="109" t="str">
        <f>Cadastro!$O564</f>
        <v>https://monitoramento.pm.pr.gov.br/proxy_image_6/Interface/Cameras/GetJPEGStream?Camera=C.029&amp;AuthUser=siscop&amp;AuthPass=Siscop1234&amp;Width=1024&amp;Height=768&amp;Quality=70&amp;FPS=10&amp;ResponseFormat=Text</v>
      </c>
      <c r="P632" s="106">
        <f>Cadastro!$P564</f>
        <v>1</v>
      </c>
    </row>
    <row r="633">
      <c r="A633" s="104" t="str">
        <f>Cadastro!$A565</f>
        <v>GUARATUBA</v>
      </c>
      <c r="B633" s="104" t="str">
        <f>Cadastro!$B565</f>
        <v>GUARATUBA</v>
      </c>
      <c r="C633" s="107" t="str">
        <f>Cadastro!$C565</f>
        <v>https://monitoramento.pm.pr.gov.br/proxy_image_6/</v>
      </c>
      <c r="D633" s="105">
        <f>Cadastro!$D565</f>
        <v>8601</v>
      </c>
      <c r="E633" s="104" t="str">
        <f>Cadastro!$E565</f>
        <v>C.030</v>
      </c>
      <c r="F633" s="104" t="str">
        <f>Cadastro!$F565</f>
        <v>SPD - R. Amaro F. Vieira x Av. Tiradentes (Escola do Mirim)</v>
      </c>
      <c r="G633" s="104" t="str">
        <f>Cadastro!$G565</f>
        <v>-25.879061</v>
      </c>
      <c r="H633" s="104" t="str">
        <f>Cadastro!$H565</f>
        <v>-48.618736</v>
      </c>
      <c r="I633" s="104" t="str">
        <f>Cadastro!$I565</f>
        <v>siscop</v>
      </c>
      <c r="J633" s="104" t="str">
        <f>Cadastro!$J565</f>
        <v>Siscop1234</v>
      </c>
      <c r="K633" s="104" t="s">
        <v>4536</v>
      </c>
      <c r="L633" s="104" t="s">
        <v>26</v>
      </c>
      <c r="M633" s="104" t="s">
        <v>27</v>
      </c>
      <c r="N633" s="108" t="str">
        <f t="shared" si="1"/>
        <v>GUARATUBA</v>
      </c>
      <c r="O633" s="109" t="str">
        <f>Cadastro!$O565</f>
        <v>https://monitoramento.pm.pr.gov.br/proxy_image_6/Interface/Cameras/GetJPEGStream?Camera=C.030&amp;AuthUser=siscop&amp;AuthPass=Siscop1234&amp;Width=1024&amp;Height=768&amp;Quality=70&amp;FPS=10&amp;ResponseFormat=Text</v>
      </c>
      <c r="P633" s="106">
        <f>Cadastro!$P565</f>
        <v>1</v>
      </c>
    </row>
    <row r="634">
      <c r="A634" s="104" t="str">
        <f>Cadastro!$A566</f>
        <v>GUARATUBA</v>
      </c>
      <c r="B634" s="104" t="str">
        <f>Cadastro!$B566</f>
        <v>GUARATUBA</v>
      </c>
      <c r="C634" s="107" t="str">
        <f>Cadastro!$C566</f>
        <v>https://monitoramento.pm.pr.gov.br/proxy_image_6/</v>
      </c>
      <c r="D634" s="105">
        <f>Cadastro!$D566</f>
        <v>8601</v>
      </c>
      <c r="E634" s="104" t="str">
        <f>Cadastro!$E566</f>
        <v>C.031</v>
      </c>
      <c r="F634" s="104" t="str">
        <f>Cadastro!$F566</f>
        <v>SPD - Rotatória Cohapar</v>
      </c>
      <c r="G634" s="104" t="str">
        <f>Cadastro!$G566</f>
        <v>-25.884724</v>
      </c>
      <c r="H634" s="104" t="str">
        <f>Cadastro!$H566</f>
        <v>-48.584816</v>
      </c>
      <c r="I634" s="104" t="str">
        <f>Cadastro!$I566</f>
        <v>siscop</v>
      </c>
      <c r="J634" s="104" t="str">
        <f>Cadastro!$J566</f>
        <v>Siscop1234</v>
      </c>
      <c r="K634" s="104" t="s">
        <v>4536</v>
      </c>
      <c r="L634" s="104" t="s">
        <v>26</v>
      </c>
      <c r="M634" s="104" t="s">
        <v>27</v>
      </c>
      <c r="N634" s="108" t="str">
        <f t="shared" si="1"/>
        <v>GUARATUBA</v>
      </c>
      <c r="O634" s="109" t="str">
        <f>Cadastro!$O566</f>
        <v>https://monitoramento.pm.pr.gov.br/proxy_image_6/Interface/Cameras/GetJPEGStream?Camera=C.031&amp;AuthUser=siscop&amp;AuthPass=Siscop1234&amp;Width=1024&amp;Height=768&amp;Quality=70&amp;FPS=10&amp;ResponseFormat=Text</v>
      </c>
      <c r="P634" s="106">
        <f>Cadastro!$P566</f>
        <v>1</v>
      </c>
    </row>
    <row r="635">
      <c r="A635" s="104" t="str">
        <f>Cadastro!$A567</f>
        <v>GUARATUBA</v>
      </c>
      <c r="B635" s="104" t="str">
        <f>Cadastro!$B567</f>
        <v>GUARATUBA</v>
      </c>
      <c r="C635" s="107" t="str">
        <f>Cadastro!$C567</f>
        <v>https://monitoramento.pm.pr.gov.br/proxy_image_6/</v>
      </c>
      <c r="D635" s="105">
        <f>Cadastro!$D567</f>
        <v>8601</v>
      </c>
      <c r="E635" s="104" t="str">
        <f>Cadastro!$E567</f>
        <v>C.032</v>
      </c>
      <c r="F635" s="104" t="str">
        <f>Cadastro!$F567</f>
        <v>Rotatória Cohapar</v>
      </c>
      <c r="G635" s="104" t="str">
        <f>Cadastro!$G567</f>
        <v>-25.884716</v>
      </c>
      <c r="H635" s="104" t="str">
        <f>Cadastro!$H567</f>
        <v>-48.584827</v>
      </c>
      <c r="I635" s="104" t="str">
        <f>Cadastro!$I567</f>
        <v>siscop</v>
      </c>
      <c r="J635" s="104" t="str">
        <f>Cadastro!$J567</f>
        <v>Siscop1234</v>
      </c>
      <c r="K635" s="104" t="s">
        <v>4536</v>
      </c>
      <c r="L635" s="104" t="s">
        <v>26</v>
      </c>
      <c r="M635" s="104" t="s">
        <v>27</v>
      </c>
      <c r="N635" s="108" t="str">
        <f t="shared" si="1"/>
        <v>GUARATUBA</v>
      </c>
      <c r="O635" s="109" t="str">
        <f>Cadastro!$O567</f>
        <v>https://monitoramento.pm.pr.gov.br/proxy_image_6/Interface/Cameras/GetJPEGStream?Camera=C.032&amp;AuthUser=siscop&amp;AuthPass=Siscop1234&amp;Width=1024&amp;Height=768&amp;Quality=70&amp;FPS=10&amp;ResponseFormat=Text</v>
      </c>
      <c r="P635" s="106">
        <f>Cadastro!$P567</f>
        <v>1</v>
      </c>
    </row>
    <row r="636">
      <c r="A636" s="104" t="str">
        <f>Cadastro!$A568</f>
        <v>GUARATUBA</v>
      </c>
      <c r="B636" s="104" t="str">
        <f>Cadastro!$B568</f>
        <v>GUARATUBA</v>
      </c>
      <c r="C636" s="107" t="str">
        <f>Cadastro!$C568</f>
        <v>https://monitoramento.pm.pr.gov.br/proxy_image_6/</v>
      </c>
      <c r="D636" s="105">
        <f>Cadastro!$D568</f>
        <v>8601</v>
      </c>
      <c r="E636" s="104" t="str">
        <f>Cadastro!$E568</f>
        <v>C.033</v>
      </c>
      <c r="F636" s="104" t="str">
        <f>Cadastro!$F568</f>
        <v>Rotatória Cohapar</v>
      </c>
      <c r="G636" s="104" t="str">
        <f>Cadastro!$G568</f>
        <v>-25.884724</v>
      </c>
      <c r="H636" s="104" t="str">
        <f>Cadastro!$H568</f>
        <v>-48.584824</v>
      </c>
      <c r="I636" s="104" t="str">
        <f>Cadastro!$I568</f>
        <v>siscop</v>
      </c>
      <c r="J636" s="104" t="str">
        <f>Cadastro!$J568</f>
        <v>Siscop1234</v>
      </c>
      <c r="K636" s="104" t="s">
        <v>4536</v>
      </c>
      <c r="L636" s="104" t="s">
        <v>26</v>
      </c>
      <c r="M636" s="104" t="s">
        <v>27</v>
      </c>
      <c r="N636" s="108" t="str">
        <f t="shared" si="1"/>
        <v>GUARATUBA</v>
      </c>
      <c r="O636" s="109" t="str">
        <f>Cadastro!$O568</f>
        <v>https://monitoramento.pm.pr.gov.br/proxy_image_6/Interface/Cameras/GetJPEGStream?Camera=C.033&amp;AuthUser=siscop&amp;AuthPass=Siscop1234&amp;Width=1024&amp;Height=768&amp;Quality=70&amp;FPS=10&amp;ResponseFormat=Text</v>
      </c>
      <c r="P636" s="106">
        <f>Cadastro!$P568</f>
        <v>1</v>
      </c>
    </row>
    <row r="637">
      <c r="A637" s="104" t="str">
        <f>Cadastro!$A569</f>
        <v>GUARATUBA</v>
      </c>
      <c r="B637" s="104" t="str">
        <f>Cadastro!$B569</f>
        <v>GUARATUBA</v>
      </c>
      <c r="C637" s="107" t="str">
        <f>Cadastro!$C569</f>
        <v>https://monitoramento.pm.pr.gov.br/proxy_image_6/</v>
      </c>
      <c r="D637" s="105">
        <f>Cadastro!$D569</f>
        <v>8601</v>
      </c>
      <c r="E637" s="104" t="str">
        <f>Cadastro!$E569</f>
        <v>C.034</v>
      </c>
      <c r="F637" s="104" t="str">
        <f>Cadastro!$F569</f>
        <v>SPD - Av. 29 de Abril x Rua Vieira dos Santos</v>
      </c>
      <c r="G637" s="104" t="str">
        <f>Cadastro!$G569</f>
        <v>-25.874269</v>
      </c>
      <c r="H637" s="104" t="str">
        <f>Cadastro!$H569</f>
        <v>-48.575180</v>
      </c>
      <c r="I637" s="104" t="str">
        <f>Cadastro!$I569</f>
        <v>siscop</v>
      </c>
      <c r="J637" s="104" t="str">
        <f>Cadastro!$J569</f>
        <v>Siscop1234</v>
      </c>
      <c r="K637" s="104" t="s">
        <v>4536</v>
      </c>
      <c r="L637" s="104" t="s">
        <v>26</v>
      </c>
      <c r="M637" s="104" t="s">
        <v>27</v>
      </c>
      <c r="N637" s="108" t="str">
        <f t="shared" si="1"/>
        <v>GUARATUBA</v>
      </c>
      <c r="O637" s="109" t="str">
        <f>Cadastro!$O569</f>
        <v>https://monitoramento.pm.pr.gov.br/proxy_image_6/Interface/Cameras/GetJPEGStream?Camera=C.034&amp;AuthUser=siscop&amp;AuthPass=Siscop1234&amp;Width=1024&amp;Height=768&amp;Quality=70&amp;FPS=10&amp;ResponseFormat=Text</v>
      </c>
      <c r="P637" s="106">
        <f>Cadastro!$P569</f>
        <v>1</v>
      </c>
    </row>
    <row r="638">
      <c r="A638" s="104" t="str">
        <f>Cadastro!$A570</f>
        <v>GUARATUBA</v>
      </c>
      <c r="B638" s="104" t="str">
        <f>Cadastro!$B570</f>
        <v>GUARATUBA</v>
      </c>
      <c r="C638" s="107" t="str">
        <f>Cadastro!$C570</f>
        <v>https://monitoramento.pm.pr.gov.br/proxy_image_6/</v>
      </c>
      <c r="D638" s="105">
        <f>Cadastro!$D570</f>
        <v>8601</v>
      </c>
      <c r="E638" s="104" t="str">
        <f>Cadastro!$E570</f>
        <v>C.035</v>
      </c>
      <c r="F638" s="104" t="str">
        <f>Cadastro!$F570</f>
        <v>Av. 29 de Abril x Rua Vieira dos Santos</v>
      </c>
      <c r="G638" s="104" t="str">
        <f>Cadastro!$G570</f>
        <v>-25.874275</v>
      </c>
      <c r="H638" s="104" t="str">
        <f>Cadastro!$H570</f>
        <v>-48.575180</v>
      </c>
      <c r="I638" s="104" t="str">
        <f>Cadastro!$I570</f>
        <v>siscop</v>
      </c>
      <c r="J638" s="104" t="str">
        <f>Cadastro!$J570</f>
        <v>Siscop1234</v>
      </c>
      <c r="K638" s="104" t="s">
        <v>4536</v>
      </c>
      <c r="L638" s="104" t="s">
        <v>26</v>
      </c>
      <c r="M638" s="104" t="s">
        <v>27</v>
      </c>
      <c r="N638" s="108" t="str">
        <f t="shared" si="1"/>
        <v>GUARATUBA</v>
      </c>
      <c r="O638" s="109" t="str">
        <f>Cadastro!$O570</f>
        <v>https://monitoramento.pm.pr.gov.br/proxy_image_6/Interface/Cameras/GetJPEGStream?Camera=C.035&amp;AuthUser=siscop&amp;AuthPass=Siscop1234&amp;Width=1024&amp;Height=768&amp;Quality=70&amp;FPS=10&amp;ResponseFormat=Text</v>
      </c>
      <c r="P638" s="106">
        <f>Cadastro!$P570</f>
        <v>1</v>
      </c>
    </row>
    <row r="639">
      <c r="A639" s="104" t="str">
        <f>Cadastro!$A571</f>
        <v>GUARATUBA</v>
      </c>
      <c r="B639" s="104" t="str">
        <f>Cadastro!$B571</f>
        <v>GUARATUBA</v>
      </c>
      <c r="C639" s="107" t="str">
        <f>Cadastro!$C571</f>
        <v>https://monitoramento.pm.pr.gov.br/proxy_image_6/</v>
      </c>
      <c r="D639" s="105">
        <f>Cadastro!$D571</f>
        <v>8601</v>
      </c>
      <c r="E639" s="104" t="str">
        <f>Cadastro!$E571</f>
        <v>C.036</v>
      </c>
      <c r="F639" s="104" t="str">
        <f>Cadastro!$F571</f>
        <v>Av. 29 de Abril x Rua Vieira dos Santos</v>
      </c>
      <c r="G639" s="104" t="str">
        <f>Cadastro!$G571</f>
        <v>-25.874256</v>
      </c>
      <c r="H639" s="104" t="str">
        <f>Cadastro!$H571</f>
        <v>-48.575191</v>
      </c>
      <c r="I639" s="104" t="str">
        <f>Cadastro!$I571</f>
        <v>siscop</v>
      </c>
      <c r="J639" s="104" t="str">
        <f>Cadastro!$J571</f>
        <v>Siscop1234</v>
      </c>
      <c r="K639" s="104" t="s">
        <v>4536</v>
      </c>
      <c r="L639" s="104" t="s">
        <v>26</v>
      </c>
      <c r="M639" s="104" t="s">
        <v>27</v>
      </c>
      <c r="N639" s="108" t="str">
        <f t="shared" si="1"/>
        <v>GUARATUBA</v>
      </c>
      <c r="O639" s="109" t="str">
        <f>Cadastro!$O571</f>
        <v>https://monitoramento.pm.pr.gov.br/proxy_image_6/Interface/Cameras/GetJPEGStream?Camera=C.036&amp;AuthUser=siscop&amp;AuthPass=Siscop1234&amp;Width=1024&amp;Height=768&amp;Quality=70&amp;FPS=10&amp;ResponseFormat=Text</v>
      </c>
      <c r="P639" s="106">
        <f>Cadastro!$P571</f>
        <v>1</v>
      </c>
    </row>
    <row r="640">
      <c r="A640" s="104" t="str">
        <f>Cadastro!$A572</f>
        <v>GUARATUBA</v>
      </c>
      <c r="B640" s="104" t="str">
        <f>Cadastro!$B572</f>
        <v>GUARATUBA</v>
      </c>
      <c r="C640" s="107" t="str">
        <f>Cadastro!$C572</f>
        <v>https://monitoramento.pm.pr.gov.br/proxy_image_6/</v>
      </c>
      <c r="D640" s="105">
        <f>Cadastro!$D572</f>
        <v>8601</v>
      </c>
      <c r="E640" s="104" t="str">
        <f>Cadastro!$E572</f>
        <v>C.037</v>
      </c>
      <c r="F640" s="104" t="str">
        <f>Cadastro!$F572</f>
        <v>SPD - Av. 29 de Abril x R. Carlos Cavalcanti</v>
      </c>
      <c r="G640" s="104" t="str">
        <f>Cadastro!$G572</f>
        <v>-25.875837</v>
      </c>
      <c r="H640" s="104" t="str">
        <f>Cadastro!$H572</f>
        <v>-48.573860</v>
      </c>
      <c r="I640" s="104" t="str">
        <f>Cadastro!$I572</f>
        <v>siscop</v>
      </c>
      <c r="J640" s="104" t="str">
        <f>Cadastro!$J572</f>
        <v>Siscop1234</v>
      </c>
      <c r="K640" s="104" t="s">
        <v>4536</v>
      </c>
      <c r="L640" s="104" t="s">
        <v>26</v>
      </c>
      <c r="M640" s="104" t="s">
        <v>27</v>
      </c>
      <c r="N640" s="108" t="str">
        <f t="shared" si="1"/>
        <v>GUARATUBA</v>
      </c>
      <c r="O640" s="109" t="str">
        <f>Cadastro!$O572</f>
        <v>https://monitoramento.pm.pr.gov.br/proxy_image_6/Interface/Cameras/GetJPEGStream?Camera=C.037&amp;AuthUser=siscop&amp;AuthPass=Siscop1234&amp;Width=1024&amp;Height=768&amp;Quality=70&amp;FPS=10&amp;ResponseFormat=Text</v>
      </c>
      <c r="P640" s="106">
        <f>Cadastro!$P572</f>
        <v>1</v>
      </c>
    </row>
    <row r="641">
      <c r="A641" s="104" t="str">
        <f>Cadastro!$A573</f>
        <v>GUARATUBA</v>
      </c>
      <c r="B641" s="104" t="str">
        <f>Cadastro!$B573</f>
        <v>GUARATUBA</v>
      </c>
      <c r="C641" s="107" t="str">
        <f>Cadastro!$C573</f>
        <v>https://monitoramento.pm.pr.gov.br/proxy_image_6/</v>
      </c>
      <c r="D641" s="105">
        <f>Cadastro!$D573</f>
        <v>8601</v>
      </c>
      <c r="E641" s="104" t="str">
        <f>Cadastro!$E573</f>
        <v>C.038</v>
      </c>
      <c r="F641" s="104" t="str">
        <f>Cadastro!$F573</f>
        <v>Av. 29 de Abril x R. Carlos Cavalcanti</v>
      </c>
      <c r="G641" s="104" t="str">
        <f>Cadastro!$G573</f>
        <v>-25.875843</v>
      </c>
      <c r="H641" s="104" t="str">
        <f>Cadastro!$H573</f>
        <v>-48.573849</v>
      </c>
      <c r="I641" s="104" t="str">
        <f>Cadastro!$I573</f>
        <v>siscop</v>
      </c>
      <c r="J641" s="104" t="str">
        <f>Cadastro!$J573</f>
        <v>Siscop1234</v>
      </c>
      <c r="K641" s="104" t="s">
        <v>4536</v>
      </c>
      <c r="L641" s="104" t="s">
        <v>26</v>
      </c>
      <c r="M641" s="104" t="s">
        <v>27</v>
      </c>
      <c r="N641" s="108" t="str">
        <f t="shared" si="1"/>
        <v>GUARATUBA</v>
      </c>
      <c r="O641" s="109" t="str">
        <f>Cadastro!$O573</f>
        <v>https://monitoramento.pm.pr.gov.br/proxy_image_6/Interface/Cameras/GetJPEGStream?Camera=C.038&amp;AuthUser=siscop&amp;AuthPass=Siscop1234&amp;Width=1024&amp;Height=768&amp;Quality=70&amp;FPS=10&amp;ResponseFormat=Text</v>
      </c>
      <c r="P641" s="106">
        <f>Cadastro!$P573</f>
        <v>1</v>
      </c>
    </row>
    <row r="642">
      <c r="A642" s="104" t="str">
        <f>Cadastro!$A574</f>
        <v>GUARATUBA</v>
      </c>
      <c r="B642" s="104" t="str">
        <f>Cadastro!$B574</f>
        <v>GUARATUBA</v>
      </c>
      <c r="C642" s="107" t="str">
        <f>Cadastro!$C574</f>
        <v>https://monitoramento.pm.pr.gov.br/proxy_image_6/</v>
      </c>
      <c r="D642" s="105">
        <f>Cadastro!$D574</f>
        <v>8601</v>
      </c>
      <c r="E642" s="104" t="str">
        <f>Cadastro!$E574</f>
        <v>C.039</v>
      </c>
      <c r="F642" s="104" t="str">
        <f>Cadastro!$F574</f>
        <v>Av. 29 de Abril x R. Carlos Cavalcanti</v>
      </c>
      <c r="G642" s="104" t="str">
        <f>Cadastro!$G574</f>
        <v>-25.875853</v>
      </c>
      <c r="H642" s="104" t="str">
        <f>Cadastro!$H574</f>
        <v>-48.573833</v>
      </c>
      <c r="I642" s="104" t="str">
        <f>Cadastro!$I574</f>
        <v>siscop</v>
      </c>
      <c r="J642" s="104" t="str">
        <f>Cadastro!$J574</f>
        <v>Siscop1234</v>
      </c>
      <c r="K642" s="104" t="s">
        <v>4536</v>
      </c>
      <c r="L642" s="104" t="s">
        <v>26</v>
      </c>
      <c r="M642" s="104" t="s">
        <v>27</v>
      </c>
      <c r="N642" s="108" t="str">
        <f t="shared" si="1"/>
        <v>GUARATUBA</v>
      </c>
      <c r="O642" s="109" t="str">
        <f>Cadastro!$O574</f>
        <v>https://monitoramento.pm.pr.gov.br/proxy_image_6/Interface/Cameras/GetJPEGStream?Camera=C.039&amp;AuthUser=siscop&amp;AuthPass=Siscop1234&amp;Width=1024&amp;Height=768&amp;Quality=70&amp;FPS=10&amp;ResponseFormat=Text</v>
      </c>
      <c r="P642" s="106">
        <f>Cadastro!$P574</f>
        <v>1</v>
      </c>
    </row>
    <row r="643">
      <c r="A643" s="104" t="str">
        <f>Cadastro!$A575</f>
        <v>GUARATUBA</v>
      </c>
      <c r="B643" s="104" t="str">
        <f>Cadastro!$B575</f>
        <v>GUARATUBA</v>
      </c>
      <c r="C643" s="107" t="str">
        <f>Cadastro!$C575</f>
        <v>https://monitoramento.pm.pr.gov.br/proxy_image_6/</v>
      </c>
      <c r="D643" s="105">
        <f>Cadastro!$D575</f>
        <v>8601</v>
      </c>
      <c r="E643" s="104" t="str">
        <f>Cadastro!$E575</f>
        <v>C.040</v>
      </c>
      <c r="F643" s="104" t="str">
        <f>Cadastro!$F575</f>
        <v>Av. 29 de Abril x R. Carlos Cavalcanti</v>
      </c>
      <c r="G643" s="104" t="str">
        <f>Cadastro!$G575</f>
        <v>-25.875839</v>
      </c>
      <c r="H643" s="104" t="str">
        <f>Cadastro!$H575</f>
        <v>-48.573849</v>
      </c>
      <c r="I643" s="104" t="str">
        <f>Cadastro!$I575</f>
        <v>siscop</v>
      </c>
      <c r="J643" s="104" t="str">
        <f>Cadastro!$J575</f>
        <v>Siscop1234</v>
      </c>
      <c r="K643" s="104" t="s">
        <v>4536</v>
      </c>
      <c r="L643" s="104" t="s">
        <v>26</v>
      </c>
      <c r="M643" s="104" t="s">
        <v>27</v>
      </c>
      <c r="N643" s="108" t="str">
        <f t="shared" si="1"/>
        <v>GUARATUBA</v>
      </c>
      <c r="O643" s="109" t="str">
        <f>Cadastro!$O575</f>
        <v>https://monitoramento.pm.pr.gov.br/proxy_image_6/Interface/Cameras/GetJPEGStream?Camera=C.040&amp;AuthUser=siscop&amp;AuthPass=Siscop1234&amp;Width=1024&amp;Height=768&amp;Quality=70&amp;FPS=10&amp;ResponseFormat=Text</v>
      </c>
      <c r="P643" s="106">
        <f>Cadastro!$P575</f>
        <v>1</v>
      </c>
    </row>
    <row r="644">
      <c r="A644" s="104" t="str">
        <f>Cadastro!$A576</f>
        <v>GUARATUBA</v>
      </c>
      <c r="B644" s="104" t="str">
        <f>Cadastro!$B576</f>
        <v>GUARATUBA</v>
      </c>
      <c r="C644" s="107" t="str">
        <f>Cadastro!$C576</f>
        <v>https://monitoramento.pm.pr.gov.br/proxy_image_6/</v>
      </c>
      <c r="D644" s="105">
        <f>Cadastro!$D576</f>
        <v>8601</v>
      </c>
      <c r="E644" s="104" t="str">
        <f>Cadastro!$E576</f>
        <v>C.041</v>
      </c>
      <c r="F644" s="104" t="str">
        <f>Cadastro!$F576</f>
        <v>SPD - Praça Central</v>
      </c>
      <c r="G644" s="104" t="str">
        <f>Cadastro!$G576</f>
        <v>-25.873096</v>
      </c>
      <c r="H644" s="104" t="str">
        <f>Cadastro!$H576</f>
        <v>-48.575878</v>
      </c>
      <c r="I644" s="104" t="str">
        <f>Cadastro!$I576</f>
        <v>siscop</v>
      </c>
      <c r="J644" s="104" t="str">
        <f>Cadastro!$J576</f>
        <v>Siscop1234</v>
      </c>
      <c r="K644" s="104" t="s">
        <v>4536</v>
      </c>
      <c r="L644" s="104" t="s">
        <v>26</v>
      </c>
      <c r="M644" s="104" t="s">
        <v>27</v>
      </c>
      <c r="N644" s="108" t="str">
        <f t="shared" si="1"/>
        <v>GUARATUBA</v>
      </c>
      <c r="O644" s="109" t="str">
        <f>Cadastro!$O576</f>
        <v>https://monitoramento.pm.pr.gov.br/proxy_image_6/Interface/Cameras/GetJPEGStream?Camera=C.041&amp;AuthUser=siscop&amp;AuthPass=Siscop1234&amp;Width=1024&amp;Height=768&amp;Quality=70&amp;FPS=10&amp;ResponseFormat=Text</v>
      </c>
      <c r="P644" s="106">
        <f>Cadastro!$P576</f>
        <v>1</v>
      </c>
    </row>
    <row r="645">
      <c r="A645" s="104" t="str">
        <f>Cadastro!$A577</f>
        <v>GUARATUBA</v>
      </c>
      <c r="B645" s="104" t="str">
        <f>Cadastro!$B577</f>
        <v>GUARATUBA</v>
      </c>
      <c r="C645" s="107" t="str">
        <f>Cadastro!$C577</f>
        <v>https://monitoramento.pm.pr.gov.br/proxy_image_6/</v>
      </c>
      <c r="D645" s="105">
        <f>Cadastro!$D577</f>
        <v>8601</v>
      </c>
      <c r="E645" s="104" t="str">
        <f>Cadastro!$E577</f>
        <v>C.042</v>
      </c>
      <c r="F645" s="104" t="str">
        <f>Cadastro!$F577</f>
        <v>SPD - Av. Atlantica x R. Valdomiro Pedroso (Praça da Bíblia)</v>
      </c>
      <c r="G645" s="104" t="str">
        <f>Cadastro!$G577</f>
        <v>-25.886829</v>
      </c>
      <c r="H645" s="104" t="str">
        <f>Cadastro!$H577</f>
        <v>-48.568180</v>
      </c>
      <c r="I645" s="104" t="str">
        <f>Cadastro!$I577</f>
        <v>siscop</v>
      </c>
      <c r="J645" s="104" t="str">
        <f>Cadastro!$J577</f>
        <v>Siscop1234</v>
      </c>
      <c r="K645" s="104" t="s">
        <v>4536</v>
      </c>
      <c r="L645" s="104" t="s">
        <v>26</v>
      </c>
      <c r="M645" s="104" t="s">
        <v>27</v>
      </c>
      <c r="N645" s="108" t="str">
        <f t="shared" si="1"/>
        <v>GUARATUBA</v>
      </c>
      <c r="O645" s="109" t="str">
        <f>Cadastro!$O577</f>
        <v>https://monitoramento.pm.pr.gov.br/proxy_image_6/Interface/Cameras/GetJPEGStream?Camera=C.042&amp;AuthUser=siscop&amp;AuthPass=Siscop1234&amp;Width=1024&amp;Height=768&amp;Quality=70&amp;FPS=10&amp;ResponseFormat=Text</v>
      </c>
      <c r="P645" s="106">
        <f>Cadastro!$P577</f>
        <v>1</v>
      </c>
    </row>
    <row r="646">
      <c r="A646" s="104" t="str">
        <f>Cadastro!$A578</f>
        <v>GUARATUBA</v>
      </c>
      <c r="B646" s="104" t="str">
        <f>Cadastro!$B578</f>
        <v>GUARATUBA</v>
      </c>
      <c r="C646" s="107" t="str">
        <f>Cadastro!$C578</f>
        <v>https://monitoramento.pm.pr.gov.br/proxy_image_6/</v>
      </c>
      <c r="D646" s="105">
        <f>Cadastro!$D578</f>
        <v>8601</v>
      </c>
      <c r="E646" s="104" t="str">
        <f>Cadastro!$E578</f>
        <v>C.043</v>
      </c>
      <c r="F646" s="104" t="str">
        <f>Cadastro!$F578</f>
        <v>Poste Poliesportivo (Pista Skate)</v>
      </c>
      <c r="G646" s="104" t="str">
        <f>Cadastro!$G578</f>
        <v>-25.880310</v>
      </c>
      <c r="H646" s="104" t="str">
        <f>Cadastro!$H578</f>
        <v>-48.592655</v>
      </c>
      <c r="I646" s="104" t="str">
        <f>Cadastro!$I578</f>
        <v>siscop</v>
      </c>
      <c r="J646" s="104" t="str">
        <f>Cadastro!$J578</f>
        <v>Siscop1234</v>
      </c>
      <c r="K646" s="104" t="s">
        <v>4536</v>
      </c>
      <c r="L646" s="104" t="s">
        <v>26</v>
      </c>
      <c r="M646" s="104" t="s">
        <v>27</v>
      </c>
      <c r="N646" s="108" t="str">
        <f t="shared" si="1"/>
        <v>GUARATUBA</v>
      </c>
      <c r="O646" s="109" t="str">
        <f>Cadastro!$O578</f>
        <v>https://monitoramento.pm.pr.gov.br/proxy_image_6/Interface/Cameras/GetJPEGStream?Camera=C.043&amp;AuthUser=siscop&amp;AuthPass=Siscop1234&amp;Width=1024&amp;Height=768&amp;Quality=70&amp;FPS=10&amp;ResponseFormat=Text</v>
      </c>
      <c r="P646" s="106">
        <f>Cadastro!$P578</f>
        <v>1</v>
      </c>
    </row>
    <row r="647">
      <c r="A647" s="104" t="str">
        <f>Cadastro!$A579</f>
        <v>GUARATUBA</v>
      </c>
      <c r="B647" s="104" t="str">
        <f>Cadastro!$B579</f>
        <v>GUARATUBA</v>
      </c>
      <c r="C647" s="107" t="str">
        <f>Cadastro!$C579</f>
        <v>https://monitoramento.pm.pr.gov.br/proxy_image_6/</v>
      </c>
      <c r="D647" s="105">
        <f>Cadastro!$D579</f>
        <v>8601</v>
      </c>
      <c r="E647" s="104" t="str">
        <f>Cadastro!$E579</f>
        <v>C.044</v>
      </c>
      <c r="F647" s="104" t="str">
        <f>Cadastro!$F579</f>
        <v>SPD - R. José Nicolau Abagge x R. Alexandre Correa (Ginásio José Richa)</v>
      </c>
      <c r="G647" s="104" t="str">
        <f>Cadastro!$G579</f>
        <v>-25.883526</v>
      </c>
      <c r="H647" s="104" t="str">
        <f>Cadastro!$H579</f>
        <v>-48.581696</v>
      </c>
      <c r="I647" s="104" t="str">
        <f>Cadastro!$I579</f>
        <v>siscop</v>
      </c>
      <c r="J647" s="104" t="str">
        <f>Cadastro!$J579</f>
        <v>Siscop1234</v>
      </c>
      <c r="K647" s="104" t="s">
        <v>4536</v>
      </c>
      <c r="L647" s="104" t="s">
        <v>26</v>
      </c>
      <c r="M647" s="104" t="s">
        <v>27</v>
      </c>
      <c r="N647" s="108" t="str">
        <f t="shared" si="1"/>
        <v>GUARATUBA</v>
      </c>
      <c r="O647" s="109" t="str">
        <f>Cadastro!$O579</f>
        <v>https://monitoramento.pm.pr.gov.br/proxy_image_6/Interface/Cameras/GetJPEGStream?Camera=C.044&amp;AuthUser=siscop&amp;AuthPass=Siscop1234&amp;Width=1024&amp;Height=768&amp;Quality=70&amp;FPS=10&amp;ResponseFormat=Text</v>
      </c>
      <c r="P647" s="106">
        <f>Cadastro!$P579</f>
        <v>1</v>
      </c>
    </row>
    <row r="648">
      <c r="A648" s="104" t="str">
        <f>Cadastro!$A580</f>
        <v>GUARATUBA</v>
      </c>
      <c r="B648" s="104" t="str">
        <f>Cadastro!$B580</f>
        <v>GUARATUBA</v>
      </c>
      <c r="C648" s="107" t="str">
        <f>Cadastro!$C580</f>
        <v>https://monitoramento.pm.pr.gov.br/proxy_image_6/</v>
      </c>
      <c r="D648" s="105">
        <f>Cadastro!$D580</f>
        <v>8601</v>
      </c>
      <c r="E648" s="104" t="str">
        <f>Cadastro!$E580</f>
        <v>C.045</v>
      </c>
      <c r="F648" s="104" t="str">
        <f>Cadastro!$F580</f>
        <v>SPD - Av. Ponta Grossa x R. Vieira dos Santos (Vovó Inês)</v>
      </c>
      <c r="G648" s="104" t="str">
        <f>Cadastro!$G580</f>
        <v>-25.875526</v>
      </c>
      <c r="H648" s="104" t="str">
        <f>Cadastro!$H580</f>
        <v>-48.576920</v>
      </c>
      <c r="I648" s="104" t="str">
        <f>Cadastro!$I580</f>
        <v>siscop</v>
      </c>
      <c r="J648" s="104" t="str">
        <f>Cadastro!$J580</f>
        <v>Siscop1234</v>
      </c>
      <c r="K648" s="104" t="s">
        <v>4536</v>
      </c>
      <c r="L648" s="104" t="s">
        <v>26</v>
      </c>
      <c r="M648" s="104" t="s">
        <v>27</v>
      </c>
      <c r="N648" s="108" t="str">
        <f t="shared" si="1"/>
        <v>GUARATUBA</v>
      </c>
      <c r="O648" s="109" t="str">
        <f>Cadastro!$O580</f>
        <v>https://monitoramento.pm.pr.gov.br/proxy_image_6/Interface/Cameras/GetJPEGStream?Camera=C.045&amp;AuthUser=siscop&amp;AuthPass=Siscop1234&amp;Width=1024&amp;Height=768&amp;Quality=70&amp;FPS=10&amp;ResponseFormat=Text</v>
      </c>
      <c r="P648" s="106">
        <f>Cadastro!$P580</f>
        <v>1</v>
      </c>
    </row>
    <row r="649">
      <c r="A649" s="104" t="str">
        <f>Cadastro!$A581</f>
        <v>GUARATUBA</v>
      </c>
      <c r="B649" s="104" t="str">
        <f>Cadastro!$B581</f>
        <v>GUARATUBA</v>
      </c>
      <c r="C649" s="107" t="str">
        <f>Cadastro!$C581</f>
        <v>https://monitoramento.pm.pr.gov.br/proxy_image_6/</v>
      </c>
      <c r="D649" s="105">
        <f>Cadastro!$D581</f>
        <v>8601</v>
      </c>
      <c r="E649" s="104" t="str">
        <f>Cadastro!$E581</f>
        <v>C.046</v>
      </c>
      <c r="F649" s="104" t="str">
        <f>Cadastro!$F581</f>
        <v>Av. Ponta Grossa x R. Vieira dos Santos (Vovó Inês)</v>
      </c>
      <c r="G649" s="104" t="str">
        <f>Cadastro!$G581</f>
        <v>-25.875523</v>
      </c>
      <c r="H649" s="104" t="str">
        <f>Cadastro!$H581</f>
        <v>-48.576923</v>
      </c>
      <c r="I649" s="104" t="str">
        <f>Cadastro!$I581</f>
        <v>siscop</v>
      </c>
      <c r="J649" s="104" t="str">
        <f>Cadastro!$J581</f>
        <v>Siscop1234</v>
      </c>
      <c r="K649" s="104" t="s">
        <v>4536</v>
      </c>
      <c r="L649" s="104" t="s">
        <v>26</v>
      </c>
      <c r="M649" s="104" t="s">
        <v>27</v>
      </c>
      <c r="N649" s="108" t="str">
        <f t="shared" si="1"/>
        <v>GUARATUBA</v>
      </c>
      <c r="O649" s="109" t="str">
        <f>Cadastro!$O581</f>
        <v>https://monitoramento.pm.pr.gov.br/proxy_image_6/Interface/Cameras/GetJPEGStream?Camera=C.046&amp;AuthUser=siscop&amp;AuthPass=Siscop1234&amp;Width=1024&amp;Height=768&amp;Quality=70&amp;FPS=10&amp;ResponseFormat=Text</v>
      </c>
      <c r="P649" s="106">
        <f>Cadastro!$P581</f>
        <v>1</v>
      </c>
    </row>
    <row r="650">
      <c r="A650" s="104" t="str">
        <f>Cadastro!$A582</f>
        <v>GUARATUBA</v>
      </c>
      <c r="B650" s="104" t="str">
        <f>Cadastro!$B582</f>
        <v>GUARATUBA</v>
      </c>
      <c r="C650" s="107" t="str">
        <f>Cadastro!$C582</f>
        <v>https://monitoramento.pm.pr.gov.br/proxy_image_6/</v>
      </c>
      <c r="D650" s="105">
        <f>Cadastro!$D582</f>
        <v>8601</v>
      </c>
      <c r="E650" s="104" t="str">
        <f>Cadastro!$E582</f>
        <v>C.047</v>
      </c>
      <c r="F650" s="104" t="str">
        <f>Cadastro!$F582</f>
        <v>SPD - R. Randolfo Bastos x R. Paulo Saporski Filho (Garagem)</v>
      </c>
      <c r="G650" s="104" t="str">
        <f>Cadastro!$G582</f>
        <v>-25.887079</v>
      </c>
      <c r="H650" s="104" t="str">
        <f>Cadastro!$H582</f>
        <v>-48.589733</v>
      </c>
      <c r="I650" s="104" t="str">
        <f>Cadastro!$I582</f>
        <v>siscop</v>
      </c>
      <c r="J650" s="104" t="str">
        <f>Cadastro!$J582</f>
        <v>Siscop1234</v>
      </c>
      <c r="K650" s="104" t="s">
        <v>4536</v>
      </c>
      <c r="L650" s="104" t="s">
        <v>26</v>
      </c>
      <c r="M650" s="104" t="s">
        <v>27</v>
      </c>
      <c r="N650" s="108" t="str">
        <f t="shared" si="1"/>
        <v>GUARATUBA</v>
      </c>
      <c r="O650" s="109" t="str">
        <f>Cadastro!$O582</f>
        <v>https://monitoramento.pm.pr.gov.br/proxy_image_6/Interface/Cameras/GetJPEGStream?Camera=C.047&amp;AuthUser=siscop&amp;AuthPass=Siscop1234&amp;Width=1024&amp;Height=768&amp;Quality=70&amp;FPS=10&amp;ResponseFormat=Text</v>
      </c>
      <c r="P650" s="106">
        <f>Cadastro!$P582</f>
        <v>1</v>
      </c>
    </row>
    <row r="651">
      <c r="A651" s="104" t="str">
        <f>Cadastro!$A583</f>
        <v>GUARATUBA</v>
      </c>
      <c r="B651" s="104" t="str">
        <f>Cadastro!$B583</f>
        <v>GUARATUBA</v>
      </c>
      <c r="C651" s="107" t="str">
        <f>Cadastro!$C583</f>
        <v>https://monitoramento.pm.pr.gov.br/proxy_image_6/</v>
      </c>
      <c r="D651" s="105">
        <f>Cadastro!$D583</f>
        <v>8601</v>
      </c>
      <c r="E651" s="104" t="str">
        <f>Cadastro!$E583</f>
        <v>C.048</v>
      </c>
      <c r="F651" s="104" t="str">
        <f>Cadastro!$F583</f>
        <v>SPD - Rotatória Av. Paraná</v>
      </c>
      <c r="G651" s="104" t="str">
        <f>Cadastro!$G583</f>
        <v>-25.884420</v>
      </c>
      <c r="H651" s="104" t="str">
        <f>Cadastro!$H583</f>
        <v>-48.576374</v>
      </c>
      <c r="I651" s="104" t="str">
        <f>Cadastro!$I583</f>
        <v>siscop</v>
      </c>
      <c r="J651" s="104" t="str">
        <f>Cadastro!$J583</f>
        <v>Siscop1234</v>
      </c>
      <c r="K651" s="104" t="s">
        <v>4536</v>
      </c>
      <c r="L651" s="104" t="s">
        <v>26</v>
      </c>
      <c r="M651" s="104" t="s">
        <v>27</v>
      </c>
      <c r="N651" s="108" t="str">
        <f t="shared" si="1"/>
        <v>GUARATUBA</v>
      </c>
      <c r="O651" s="109" t="str">
        <f>Cadastro!$O583</f>
        <v>https://monitoramento.pm.pr.gov.br/proxy_image_6/Interface/Cameras/GetJPEGStream?Camera=C.048&amp;AuthUser=siscop&amp;AuthPass=Siscop1234&amp;Width=1024&amp;Height=768&amp;Quality=70&amp;FPS=10&amp;ResponseFormat=Text</v>
      </c>
      <c r="P651" s="106">
        <f>Cadastro!$P583</f>
        <v>1</v>
      </c>
    </row>
    <row r="652">
      <c r="A652" s="104" t="str">
        <f>Cadastro!$A584</f>
        <v>GUARATUBA</v>
      </c>
      <c r="B652" s="104" t="str">
        <f>Cadastro!$B584</f>
        <v>GUARATUBA</v>
      </c>
      <c r="C652" s="107" t="str">
        <f>Cadastro!$C584</f>
        <v>https://monitoramento.pm.pr.gov.br/proxy_image_6/</v>
      </c>
      <c r="D652" s="105">
        <f>Cadastro!$D584</f>
        <v>8601</v>
      </c>
      <c r="E652" s="104" t="str">
        <f>Cadastro!$E584</f>
        <v>C.049</v>
      </c>
      <c r="F652" s="104" t="str">
        <f>Cadastro!$F584</f>
        <v>Rotatória Av. Paraná</v>
      </c>
      <c r="G652" s="104" t="str">
        <f>Cadastro!$G584</f>
        <v>-25.884428</v>
      </c>
      <c r="H652" s="104" t="str">
        <f>Cadastro!$H584</f>
        <v>-48.576378</v>
      </c>
      <c r="I652" s="104" t="str">
        <f>Cadastro!$I584</f>
        <v>siscop</v>
      </c>
      <c r="J652" s="104" t="str">
        <f>Cadastro!$J584</f>
        <v>Siscop1234</v>
      </c>
      <c r="K652" s="104" t="s">
        <v>4536</v>
      </c>
      <c r="L652" s="104" t="s">
        <v>26</v>
      </c>
      <c r="M652" s="104" t="s">
        <v>27</v>
      </c>
      <c r="N652" s="108" t="str">
        <f t="shared" si="1"/>
        <v>GUARATUBA</v>
      </c>
      <c r="O652" s="109" t="str">
        <f>Cadastro!$O584</f>
        <v>https://monitoramento.pm.pr.gov.br/proxy_image_6/Interface/Cameras/GetJPEGStream?Camera=C.049&amp;AuthUser=siscop&amp;AuthPass=Siscop1234&amp;Width=1024&amp;Height=768&amp;Quality=70&amp;FPS=10&amp;ResponseFormat=Text</v>
      </c>
      <c r="P652" s="106">
        <f>Cadastro!$P584</f>
        <v>1</v>
      </c>
    </row>
    <row r="653">
      <c r="A653" s="104" t="str">
        <f>Cadastro!$A585</f>
        <v>GUARATUBA</v>
      </c>
      <c r="B653" s="104" t="str">
        <f>Cadastro!$B585</f>
        <v>GUARATUBA</v>
      </c>
      <c r="C653" s="107" t="str">
        <f>Cadastro!$C585</f>
        <v>https://monitoramento.pm.pr.gov.br/proxy_image_6/</v>
      </c>
      <c r="D653" s="105">
        <f>Cadastro!$D585</f>
        <v>8601</v>
      </c>
      <c r="E653" s="104" t="str">
        <f>Cadastro!$E585</f>
        <v>C.050</v>
      </c>
      <c r="F653" s="104" t="str">
        <f>Cadastro!$F585</f>
        <v>SPD - Escola Heinz Wittitz</v>
      </c>
      <c r="G653" s="104" t="str">
        <f>Cadastro!$G585</f>
        <v>-25.881599</v>
      </c>
      <c r="H653" s="104" t="str">
        <f>Cadastro!$H585</f>
        <v>-48.588455</v>
      </c>
      <c r="I653" s="104" t="str">
        <f>Cadastro!$I585</f>
        <v>siscop</v>
      </c>
      <c r="J653" s="104" t="str">
        <f>Cadastro!$J585</f>
        <v>Siscop1234</v>
      </c>
      <c r="K653" s="104" t="s">
        <v>4536</v>
      </c>
      <c r="L653" s="104" t="s">
        <v>26</v>
      </c>
      <c r="M653" s="104" t="s">
        <v>27</v>
      </c>
      <c r="N653" s="108" t="str">
        <f t="shared" si="1"/>
        <v>GUARATUBA</v>
      </c>
      <c r="O653" s="109" t="str">
        <f>Cadastro!$O585</f>
        <v>https://monitoramento.pm.pr.gov.br/proxy_image_6/Interface/Cameras/GetJPEGStream?Camera=C.050&amp;AuthUser=siscop&amp;AuthPass=Siscop1234&amp;Width=1024&amp;Height=768&amp;Quality=70&amp;FPS=10&amp;ResponseFormat=Text</v>
      </c>
      <c r="P653" s="106">
        <f>Cadastro!$P585</f>
        <v>1</v>
      </c>
    </row>
    <row r="654">
      <c r="A654" s="104" t="str">
        <f>Cadastro!$A586</f>
        <v>GUARATUBA</v>
      </c>
      <c r="B654" s="104" t="str">
        <f>Cadastro!$B586</f>
        <v>GUARATUBA</v>
      </c>
      <c r="C654" s="107" t="str">
        <f>Cadastro!$C586</f>
        <v>https://monitoramento.pm.pr.gov.br/proxy_image_6/</v>
      </c>
      <c r="D654" s="105">
        <f>Cadastro!$D586</f>
        <v>8601</v>
      </c>
      <c r="E654" s="104" t="str">
        <f>Cadastro!$E586</f>
        <v>C.051</v>
      </c>
      <c r="F654" s="104" t="str">
        <f>Cadastro!$F586</f>
        <v>R. Joinville x R. Alm. Tamandaré (Hainz)</v>
      </c>
      <c r="G654" s="104" t="str">
        <f>Cadastro!$G586</f>
        <v>-25.881599</v>
      </c>
      <c r="H654" s="104" t="str">
        <f>Cadastro!$H586</f>
        <v>-48.588459</v>
      </c>
      <c r="I654" s="104" t="str">
        <f>Cadastro!$I586</f>
        <v>siscop</v>
      </c>
      <c r="J654" s="104" t="str">
        <f>Cadastro!$J586</f>
        <v>Siscop1234</v>
      </c>
      <c r="K654" s="104" t="s">
        <v>4536</v>
      </c>
      <c r="L654" s="104" t="s">
        <v>26</v>
      </c>
      <c r="M654" s="104" t="s">
        <v>27</v>
      </c>
      <c r="N654" s="108" t="str">
        <f t="shared" si="1"/>
        <v>GUARATUBA</v>
      </c>
      <c r="O654" s="109" t="str">
        <f>Cadastro!$O586</f>
        <v>https://monitoramento.pm.pr.gov.br/proxy_image_6/Interface/Cameras/GetJPEGStream?Camera=C.051&amp;AuthUser=siscop&amp;AuthPass=Siscop1234&amp;Width=1024&amp;Height=768&amp;Quality=70&amp;FPS=10&amp;ResponseFormat=Text</v>
      </c>
      <c r="P654" s="106">
        <f>Cadastro!$P586</f>
        <v>1</v>
      </c>
    </row>
    <row r="655">
      <c r="A655" s="104" t="str">
        <f>Cadastro!$A587</f>
        <v>GUARATUBA</v>
      </c>
      <c r="B655" s="104" t="str">
        <f>Cadastro!$B587</f>
        <v>GUARATUBA</v>
      </c>
      <c r="C655" s="107" t="str">
        <f>Cadastro!$C587</f>
        <v>https://monitoramento.pm.pr.gov.br/proxy_image_6/</v>
      </c>
      <c r="D655" s="105">
        <f>Cadastro!$D587</f>
        <v>8601</v>
      </c>
      <c r="E655" s="104" t="str">
        <f>Cadastro!$E587</f>
        <v>C.052</v>
      </c>
      <c r="F655" s="104" t="str">
        <f>Cadastro!$F587</f>
        <v>Av. 29 de Abril x Rua Vieira dos Santos</v>
      </c>
      <c r="G655" s="104" t="str">
        <f>Cadastro!$G587</f>
        <v>-25.874268</v>
      </c>
      <c r="H655" s="104" t="str">
        <f>Cadastro!$H587</f>
        <v>-48.575184</v>
      </c>
      <c r="I655" s="104" t="str">
        <f>Cadastro!$I587</f>
        <v>siscop</v>
      </c>
      <c r="J655" s="104" t="str">
        <f>Cadastro!$J587</f>
        <v>Siscop1234</v>
      </c>
      <c r="K655" s="104" t="s">
        <v>4536</v>
      </c>
      <c r="L655" s="104" t="s">
        <v>26</v>
      </c>
      <c r="M655" s="104" t="s">
        <v>27</v>
      </c>
      <c r="N655" s="108" t="str">
        <f t="shared" si="1"/>
        <v>GUARATUBA</v>
      </c>
      <c r="O655" s="109" t="str">
        <f>Cadastro!$O587</f>
        <v>https://monitoramento.pm.pr.gov.br/proxy_image_6/Interface/Cameras/GetJPEGStream?Camera=C.052&amp;AuthUser=siscop&amp;AuthPass=Siscop1234&amp;Width=1024&amp;Height=768&amp;Quality=70&amp;FPS=10&amp;ResponseFormat=Text</v>
      </c>
      <c r="P655" s="106">
        <f>Cadastro!$P587</f>
        <v>1</v>
      </c>
    </row>
    <row r="656">
      <c r="A656" s="104" t="str">
        <f>Cadastro!$A588</f>
        <v>GUARATUBA</v>
      </c>
      <c r="B656" s="104" t="str">
        <f>Cadastro!$B588</f>
        <v>GUARATUBA</v>
      </c>
      <c r="C656" s="107" t="str">
        <f>Cadastro!$C588</f>
        <v>https://monitoramento.pm.pr.gov.br/proxy_image_6/</v>
      </c>
      <c r="D656" s="105">
        <f>Cadastro!$D588</f>
        <v>8601</v>
      </c>
      <c r="E656" s="104" t="str">
        <f>Cadastro!$E588</f>
        <v>C.053</v>
      </c>
      <c r="F656" s="104" t="str">
        <f>Cadastro!$F588</f>
        <v>R. José Nicolau Abage (Praça da Paz)</v>
      </c>
      <c r="G656" s="104" t="str">
        <f>Cadastro!$G588</f>
        <v>-25.883553</v>
      </c>
      <c r="H656" s="104" t="str">
        <f>Cadastro!$H588</f>
        <v>-48.581722</v>
      </c>
      <c r="I656" s="104" t="str">
        <f>Cadastro!$I588</f>
        <v>siscop</v>
      </c>
      <c r="J656" s="104" t="str">
        <f>Cadastro!$J588</f>
        <v>Siscop1234</v>
      </c>
      <c r="K656" s="104" t="s">
        <v>4536</v>
      </c>
      <c r="L656" s="104" t="s">
        <v>26</v>
      </c>
      <c r="M656" s="104" t="s">
        <v>27</v>
      </c>
      <c r="N656" s="108" t="str">
        <f t="shared" si="1"/>
        <v>GUARATUBA</v>
      </c>
      <c r="O656" s="109" t="str">
        <f>Cadastro!$O588</f>
        <v>https://monitoramento.pm.pr.gov.br/proxy_image_6/Interface/Cameras/GetJPEGStream?Camera=C.053&amp;AuthUser=siscop&amp;AuthPass=Siscop1234&amp;Width=1024&amp;Height=768&amp;Quality=70&amp;FPS=10&amp;ResponseFormat=Text</v>
      </c>
      <c r="P656" s="106">
        <f>Cadastro!$P588</f>
        <v>1</v>
      </c>
    </row>
    <row r="657">
      <c r="A657" s="104" t="str">
        <f>Cadastro!$A589</f>
        <v>GUARATUBA</v>
      </c>
      <c r="B657" s="104" t="str">
        <f>Cadastro!$B589</f>
        <v>GUARATUBA</v>
      </c>
      <c r="C657" s="107" t="str">
        <f>Cadastro!$C589</f>
        <v>https://monitoramento.pm.pr.gov.br/proxy_image_6/</v>
      </c>
      <c r="D657" s="105">
        <f>Cadastro!$D589</f>
        <v>8601</v>
      </c>
      <c r="E657" s="104" t="str">
        <f>Cadastro!$E589</f>
        <v>C.054</v>
      </c>
      <c r="F657" s="104" t="str">
        <f>Cadastro!$F589</f>
        <v>Terminal embarque esquerdo</v>
      </c>
      <c r="G657" s="104" t="str">
        <f>Cadastro!$G589</f>
        <v>-25.866325</v>
      </c>
      <c r="H657" s="104" t="str">
        <f>Cadastro!$H589</f>
        <v>-48.571152</v>
      </c>
      <c r="I657" s="104" t="str">
        <f>Cadastro!$I589</f>
        <v>siscop</v>
      </c>
      <c r="J657" s="104" t="str">
        <f>Cadastro!$J589</f>
        <v>Siscop1234</v>
      </c>
      <c r="K657" s="104" t="s">
        <v>4536</v>
      </c>
      <c r="L657" s="104" t="s">
        <v>26</v>
      </c>
      <c r="M657" s="104" t="s">
        <v>27</v>
      </c>
      <c r="N657" s="108" t="str">
        <f t="shared" si="1"/>
        <v>GUARATUBA</v>
      </c>
      <c r="O657" s="109" t="str">
        <f>Cadastro!$O589</f>
        <v>https://monitoramento.pm.pr.gov.br/proxy_image_6/Interface/Cameras/GetJPEGStream?Camera=C.054&amp;AuthUser=siscop&amp;AuthPass=Siscop1234&amp;Width=1024&amp;Height=768&amp;Quality=70&amp;FPS=10&amp;ResponseFormat=Text</v>
      </c>
      <c r="P657" s="106">
        <f>Cadastro!$P589</f>
        <v>1</v>
      </c>
    </row>
    <row r="658">
      <c r="A658" s="104" t="str">
        <f>Cadastro!$A590</f>
        <v>GUARATUBA</v>
      </c>
      <c r="B658" s="104" t="str">
        <f>Cadastro!$B590</f>
        <v>GUARATUBA</v>
      </c>
      <c r="C658" s="107" t="str">
        <f>Cadastro!$C590</f>
        <v>https://monitoramento.pm.pr.gov.br/proxy_image_6/</v>
      </c>
      <c r="D658" s="105">
        <f>Cadastro!$D590</f>
        <v>8601</v>
      </c>
      <c r="E658" s="104" t="str">
        <f>Cadastro!$E590</f>
        <v>C.055</v>
      </c>
      <c r="F658" s="104" t="str">
        <f>Cadastro!$F590</f>
        <v>Terminal embarque direito</v>
      </c>
      <c r="G658" s="104" t="str">
        <f>Cadastro!$G590</f>
        <v>-25.866117</v>
      </c>
      <c r="H658" s="104" t="str">
        <f>Cadastro!$H590</f>
        <v>-48.570217</v>
      </c>
      <c r="I658" s="104" t="str">
        <f>Cadastro!$I590</f>
        <v>siscop</v>
      </c>
      <c r="J658" s="104" t="str">
        <f>Cadastro!$J590</f>
        <v>Siscop1234</v>
      </c>
      <c r="K658" s="104" t="s">
        <v>4536</v>
      </c>
      <c r="L658" s="104" t="s">
        <v>26</v>
      </c>
      <c r="M658" s="104" t="s">
        <v>27</v>
      </c>
      <c r="N658" s="108" t="str">
        <f t="shared" si="1"/>
        <v>GUARATUBA</v>
      </c>
      <c r="O658" s="109" t="str">
        <f>Cadastro!$O590</f>
        <v>https://monitoramento.pm.pr.gov.br/proxy_image_6/Interface/Cameras/GetJPEGStream?Camera=C.055&amp;AuthUser=siscop&amp;AuthPass=Siscop1234&amp;Width=1024&amp;Height=768&amp;Quality=70&amp;FPS=10&amp;ResponseFormat=Text</v>
      </c>
      <c r="P658" s="106">
        <f>Cadastro!$P590</f>
        <v>1</v>
      </c>
    </row>
    <row r="659">
      <c r="A659" s="104" t="str">
        <f>Cadastro!$A591</f>
        <v>GUARATUBA</v>
      </c>
      <c r="B659" s="104" t="str">
        <f>Cadastro!$B591</f>
        <v>GUARATUBA</v>
      </c>
      <c r="C659" s="107" t="str">
        <f>Cadastro!$C591</f>
        <v>https://monitoramento.pm.pr.gov.br/proxy_image_6/</v>
      </c>
      <c r="D659" s="105">
        <f>Cadastro!$D591</f>
        <v>8601</v>
      </c>
      <c r="E659" s="104" t="str">
        <f>Cadastro!$E591</f>
        <v>C.056</v>
      </c>
      <c r="F659" s="104" t="str">
        <f>Cadastro!$F591</f>
        <v>Aeródromo Municipal 01</v>
      </c>
      <c r="G659" s="104" t="str">
        <f>Cadastro!$G591</f>
        <v>-25.875885</v>
      </c>
      <c r="H659" s="104" t="str">
        <f>Cadastro!$H591</f>
        <v>-48.610535</v>
      </c>
      <c r="I659" s="104" t="str">
        <f>Cadastro!$I591</f>
        <v>siscop</v>
      </c>
      <c r="J659" s="104" t="str">
        <f>Cadastro!$J591</f>
        <v>Siscop1234</v>
      </c>
      <c r="K659" s="104" t="s">
        <v>4536</v>
      </c>
      <c r="L659" s="104" t="s">
        <v>26</v>
      </c>
      <c r="M659" s="104" t="s">
        <v>27</v>
      </c>
      <c r="N659" s="108" t="str">
        <f t="shared" si="1"/>
        <v>GUARATUBA</v>
      </c>
      <c r="O659" s="109" t="str">
        <f>Cadastro!$O591</f>
        <v>https://monitoramento.pm.pr.gov.br/proxy_image_6/Interface/Cameras/GetJPEGStream?Camera=C.056&amp;AuthUser=siscop&amp;AuthPass=Siscop1234&amp;Width=1024&amp;Height=768&amp;Quality=70&amp;FPS=10&amp;ResponseFormat=Text</v>
      </c>
      <c r="P659" s="106">
        <f>Cadastro!$P591</f>
        <v>1</v>
      </c>
    </row>
    <row r="660">
      <c r="A660" s="104" t="str">
        <f>Cadastro!$A592</f>
        <v>GUARATUBA</v>
      </c>
      <c r="B660" s="104" t="str">
        <f>Cadastro!$B592</f>
        <v>GUARATUBA</v>
      </c>
      <c r="C660" s="107" t="str">
        <f>Cadastro!$C592</f>
        <v>https://monitoramento.pm.pr.gov.br/proxy_image_6/</v>
      </c>
      <c r="D660" s="105">
        <f>Cadastro!$D592</f>
        <v>8601</v>
      </c>
      <c r="E660" s="104" t="str">
        <f>Cadastro!$E592</f>
        <v>C.057</v>
      </c>
      <c r="F660" s="104" t="str">
        <f>Cadastro!$F592</f>
        <v>Aeródromo Municipal 02</v>
      </c>
      <c r="G660" s="104" t="str">
        <f>Cadastro!$G592</f>
        <v>-25.875902</v>
      </c>
      <c r="H660" s="104" t="str">
        <f>Cadastro!$H592</f>
        <v>-48.610538</v>
      </c>
      <c r="I660" s="104" t="str">
        <f>Cadastro!$I592</f>
        <v>siscop</v>
      </c>
      <c r="J660" s="104" t="str">
        <f>Cadastro!$J592</f>
        <v>Siscop1234</v>
      </c>
      <c r="K660" s="104" t="s">
        <v>4536</v>
      </c>
      <c r="L660" s="104" t="s">
        <v>26</v>
      </c>
      <c r="M660" s="104" t="s">
        <v>27</v>
      </c>
      <c r="N660" s="108" t="str">
        <f t="shared" si="1"/>
        <v>GUARATUBA</v>
      </c>
      <c r="O660" s="109" t="str">
        <f>Cadastro!$O592</f>
        <v>https://monitoramento.pm.pr.gov.br/proxy_image_6/Interface/Cameras/GetJPEGStream?Camera=C.057&amp;AuthUser=siscop&amp;AuthPass=Siscop1234&amp;Width=1024&amp;Height=768&amp;Quality=70&amp;FPS=10&amp;ResponseFormat=Text</v>
      </c>
      <c r="P660" s="106">
        <f>Cadastro!$P592</f>
        <v>1</v>
      </c>
    </row>
    <row r="661">
      <c r="A661" s="104" t="str">
        <f>Cadastro!$A593</f>
        <v>GUARATUBA</v>
      </c>
      <c r="B661" s="104" t="str">
        <f>Cadastro!$B593</f>
        <v>GUARATUBA</v>
      </c>
      <c r="C661" s="107" t="str">
        <f>Cadastro!$C593</f>
        <v>https://monitoramento.pm.pr.gov.br/proxy_image_6/</v>
      </c>
      <c r="D661" s="105">
        <f>Cadastro!$D593</f>
        <v>8601</v>
      </c>
      <c r="E661" s="104" t="str">
        <f>Cadastro!$E593</f>
        <v>C.058</v>
      </c>
      <c r="F661" s="104" t="str">
        <f>Cadastro!$F593</f>
        <v>SPD - Complexo Poliesportivo - Av. Mafra</v>
      </c>
      <c r="G661" s="104" t="str">
        <f>Cadastro!$G593</f>
        <v>-25.881739</v>
      </c>
      <c r="H661" s="104" t="str">
        <f>Cadastro!$H593</f>
        <v>-48.592033</v>
      </c>
      <c r="I661" s="104" t="str">
        <f>Cadastro!$I593</f>
        <v>siscop</v>
      </c>
      <c r="J661" s="104" t="str">
        <f>Cadastro!$J593</f>
        <v>Siscop1234</v>
      </c>
      <c r="K661" s="104" t="s">
        <v>4536</v>
      </c>
      <c r="L661" s="104" t="s">
        <v>26</v>
      </c>
      <c r="M661" s="104" t="s">
        <v>27</v>
      </c>
      <c r="N661" s="108" t="str">
        <f t="shared" si="1"/>
        <v>GUARATUBA</v>
      </c>
      <c r="O661" s="109" t="str">
        <f>Cadastro!$O593</f>
        <v>https://monitoramento.pm.pr.gov.br/proxy_image_6/Interface/Cameras/GetJPEGStream?Camera=C.058&amp;AuthUser=siscop&amp;AuthPass=Siscop1234&amp;Width=1024&amp;Height=768&amp;Quality=70&amp;FPS=10&amp;ResponseFormat=Text</v>
      </c>
      <c r="P661" s="106">
        <f>Cadastro!$P593</f>
        <v>1</v>
      </c>
    </row>
    <row r="662">
      <c r="A662" s="104" t="str">
        <f>Cadastro!$A594</f>
        <v>GUARATUBA</v>
      </c>
      <c r="B662" s="104" t="str">
        <f>Cadastro!$B594</f>
        <v>GUARATUBA</v>
      </c>
      <c r="C662" s="107" t="str">
        <f>Cadastro!$C594</f>
        <v>https://monitoramento.pm.pr.gov.br/proxy_image_6/</v>
      </c>
      <c r="D662" s="105">
        <f>Cadastro!$D594</f>
        <v>8601</v>
      </c>
      <c r="E662" s="104" t="str">
        <f>Cadastro!$E594</f>
        <v>C.059</v>
      </c>
      <c r="F662" s="104" t="str">
        <f>Cadastro!$F594</f>
        <v>SPD - Av. Minas Gerais - Coroados</v>
      </c>
      <c r="G662" s="104" t="str">
        <f>Cadastro!$G594</f>
        <v>-25.962029</v>
      </c>
      <c r="H662" s="104" t="str">
        <f>Cadastro!$H594</f>
        <v>-48.601006</v>
      </c>
      <c r="I662" s="104" t="str">
        <f>Cadastro!$I594</f>
        <v>siscop</v>
      </c>
      <c r="J662" s="104" t="str">
        <f>Cadastro!$J594</f>
        <v>Siscop1234</v>
      </c>
      <c r="K662" s="104" t="s">
        <v>4536</v>
      </c>
      <c r="L662" s="104" t="s">
        <v>26</v>
      </c>
      <c r="M662" s="104" t="s">
        <v>27</v>
      </c>
      <c r="N662" s="108" t="str">
        <f t="shared" si="1"/>
        <v>GUARATUBA</v>
      </c>
      <c r="O662" s="109" t="str">
        <f>Cadastro!$O594</f>
        <v>https://monitoramento.pm.pr.gov.br/proxy_image_6/Interface/Cameras/GetJPEGStream?Camera=C.059&amp;AuthUser=siscop&amp;AuthPass=Siscop1234&amp;Width=1024&amp;Height=768&amp;Quality=70&amp;FPS=10&amp;ResponseFormat=Text</v>
      </c>
      <c r="P662" s="106">
        <f>Cadastro!$P594</f>
        <v>1</v>
      </c>
    </row>
    <row r="663">
      <c r="A663" s="104" t="str">
        <f>Cadastro!$A595</f>
        <v>GUARATUBA</v>
      </c>
      <c r="B663" s="104" t="str">
        <f>Cadastro!$B595</f>
        <v>GUARATUBA</v>
      </c>
      <c r="C663" s="107" t="str">
        <f>Cadastro!$C595</f>
        <v>https://monitoramento.pm.pr.gov.br/proxy_image_6/</v>
      </c>
      <c r="D663" s="105">
        <f>Cadastro!$D595</f>
        <v>8601</v>
      </c>
      <c r="E663" s="104" t="str">
        <f>Cadastro!$E595</f>
        <v>C.060</v>
      </c>
      <c r="F663" s="104" t="str">
        <f>Cadastro!$F595</f>
        <v>Av. Minas Gerais - Coroados</v>
      </c>
      <c r="G663" s="104" t="str">
        <f>Cadastro!$G595</f>
        <v>-25.962019</v>
      </c>
      <c r="H663" s="104" t="str">
        <f>Cadastro!$H595</f>
        <v>-48.600998</v>
      </c>
      <c r="I663" s="104" t="str">
        <f>Cadastro!$I595</f>
        <v>siscop</v>
      </c>
      <c r="J663" s="104" t="str">
        <f>Cadastro!$J595</f>
        <v>Siscop1234</v>
      </c>
      <c r="K663" s="104" t="s">
        <v>4536</v>
      </c>
      <c r="L663" s="104" t="s">
        <v>26</v>
      </c>
      <c r="M663" s="104" t="s">
        <v>27</v>
      </c>
      <c r="N663" s="108" t="str">
        <f t="shared" si="1"/>
        <v>GUARATUBA</v>
      </c>
      <c r="O663" s="109" t="str">
        <f>Cadastro!$O595</f>
        <v>https://monitoramento.pm.pr.gov.br/proxy_image_6/Interface/Cameras/GetJPEGStream?Camera=C.060&amp;AuthUser=siscop&amp;AuthPass=Siscop1234&amp;Width=1024&amp;Height=768&amp;Quality=70&amp;FPS=10&amp;ResponseFormat=Text</v>
      </c>
      <c r="P663" s="106">
        <f>Cadastro!$P595</f>
        <v>1</v>
      </c>
    </row>
    <row r="664">
      <c r="A664" s="104" t="str">
        <f>Cadastro!$A596</f>
        <v>GUARATUBA</v>
      </c>
      <c r="B664" s="104" t="str">
        <f>Cadastro!$B596</f>
        <v>GUARATUBA</v>
      </c>
      <c r="C664" s="107" t="str">
        <f>Cadastro!$C596</f>
        <v>https://monitoramento.pm.pr.gov.br/proxy_image_6/</v>
      </c>
      <c r="D664" s="105">
        <f>Cadastro!$D596</f>
        <v>8601</v>
      </c>
      <c r="E664" s="104" t="str">
        <f>Cadastro!$E596</f>
        <v>C.061</v>
      </c>
      <c r="F664" s="104" t="str">
        <f>Cadastro!$F596</f>
        <v>SPD - Pavilhao Centro de Eventos</v>
      </c>
      <c r="G664" s="104" t="str">
        <f>Cadastro!$G596</f>
        <v>-25.874475</v>
      </c>
      <c r="H664" s="104" t="str">
        <f>Cadastro!$H596</f>
        <v>-48.568718</v>
      </c>
      <c r="I664" s="104" t="str">
        <f>Cadastro!$I596</f>
        <v>siscop</v>
      </c>
      <c r="J664" s="104" t="str">
        <f>Cadastro!$J596</f>
        <v>Siscop1234</v>
      </c>
      <c r="K664" s="104" t="s">
        <v>4536</v>
      </c>
      <c r="L664" s="104" t="s">
        <v>26</v>
      </c>
      <c r="M664" s="104" t="s">
        <v>27</v>
      </c>
      <c r="N664" s="108" t="str">
        <f t="shared" si="1"/>
        <v>GUARATUBA</v>
      </c>
      <c r="O664" s="109" t="str">
        <f>Cadastro!$O596</f>
        <v>https://monitoramento.pm.pr.gov.br/proxy_image_6/Interface/Cameras/GetJPEGStream?Camera=C.061&amp;AuthUser=siscop&amp;AuthPass=Siscop1234&amp;Width=1024&amp;Height=768&amp;Quality=70&amp;FPS=10&amp;ResponseFormat=Text</v>
      </c>
      <c r="P664" s="106">
        <f>Cadastro!$P596</f>
        <v>1</v>
      </c>
    </row>
    <row r="665">
      <c r="A665" s="104" t="str">
        <f>Cadastro!$A597</f>
        <v>GUARATUBA</v>
      </c>
      <c r="B665" s="104" t="str">
        <f>Cadastro!$B597</f>
        <v>GUARATUBA</v>
      </c>
      <c r="C665" s="107" t="str">
        <f>Cadastro!$C597</f>
        <v>https://monitoramento.pm.pr.gov.br/proxy_image_6/</v>
      </c>
      <c r="D665" s="105">
        <f>Cadastro!$D597</f>
        <v>8601</v>
      </c>
      <c r="E665" s="104" t="str">
        <f>Cadastro!$E597</f>
        <v>C.062</v>
      </c>
      <c r="F665" s="104" t="str">
        <f>Cadastro!$F597</f>
        <v>SPD - Claudino x Paraná</v>
      </c>
      <c r="G665" s="104" t="str">
        <f>Cadastro!$G597</f>
        <v>-25.888573</v>
      </c>
      <c r="H665" s="104" t="str">
        <f>Cadastro!$H597</f>
        <v>-48.576897</v>
      </c>
      <c r="I665" s="104" t="str">
        <f>Cadastro!$I597</f>
        <v>siscop</v>
      </c>
      <c r="J665" s="104" t="str">
        <f>Cadastro!$J597</f>
        <v>Siscop1234</v>
      </c>
      <c r="K665" s="104" t="s">
        <v>4536</v>
      </c>
      <c r="L665" s="104" t="s">
        <v>26</v>
      </c>
      <c r="M665" s="104" t="s">
        <v>27</v>
      </c>
      <c r="N665" s="108" t="str">
        <f t="shared" si="1"/>
        <v>GUARATUBA</v>
      </c>
      <c r="O665" s="109" t="str">
        <f>Cadastro!$O597</f>
        <v>https://monitoramento.pm.pr.gov.br/proxy_image_6/Interface/Cameras/GetJPEGStream?Camera=C.062&amp;AuthUser=siscop&amp;AuthPass=Siscop1234&amp;Width=1024&amp;Height=768&amp;Quality=70&amp;FPS=10&amp;ResponseFormat=Text</v>
      </c>
      <c r="P665" s="106">
        <f>Cadastro!$P597</f>
        <v>1</v>
      </c>
    </row>
    <row r="666">
      <c r="A666" s="104" t="str">
        <f>Cadastro!$A598</f>
        <v>GUARATUBA</v>
      </c>
      <c r="B666" s="104" t="str">
        <f>Cadastro!$B598</f>
        <v>GUARATUBA</v>
      </c>
      <c r="C666" s="107" t="str">
        <f>Cadastro!$C598</f>
        <v>https://monitoramento.pm.pr.gov.br/proxy_image_6/</v>
      </c>
      <c r="D666" s="105">
        <f>Cadastro!$D598</f>
        <v>8601</v>
      </c>
      <c r="E666" s="104" t="str">
        <f>Cadastro!$E598</f>
        <v>C.063</v>
      </c>
      <c r="F666" s="104" t="str">
        <f>Cadastro!$F598</f>
        <v>Claudino x Paraná</v>
      </c>
      <c r="G666" s="104" t="str">
        <f>Cadastro!$G598</f>
        <v>-25.888584</v>
      </c>
      <c r="H666" s="104" t="str">
        <f>Cadastro!$H598</f>
        <v>-48.576878</v>
      </c>
      <c r="I666" s="104" t="str">
        <f>Cadastro!$I598</f>
        <v>siscop</v>
      </c>
      <c r="J666" s="104" t="str">
        <f>Cadastro!$J598</f>
        <v>Siscop1234</v>
      </c>
      <c r="K666" s="104" t="s">
        <v>4536</v>
      </c>
      <c r="L666" s="104" t="s">
        <v>26</v>
      </c>
      <c r="M666" s="104" t="s">
        <v>27</v>
      </c>
      <c r="N666" s="108" t="str">
        <f t="shared" si="1"/>
        <v>GUARATUBA</v>
      </c>
      <c r="O666" s="109" t="str">
        <f>Cadastro!$O598</f>
        <v>https://monitoramento.pm.pr.gov.br/proxy_image_6/Interface/Cameras/GetJPEGStream?Camera=C.063&amp;AuthUser=siscop&amp;AuthPass=Siscop1234&amp;Width=1024&amp;Height=768&amp;Quality=70&amp;FPS=10&amp;ResponseFormat=Text</v>
      </c>
      <c r="P666" s="106">
        <f>Cadastro!$P598</f>
        <v>1</v>
      </c>
    </row>
    <row r="667">
      <c r="A667" s="104" t="str">
        <f>Cadastro!$A599</f>
        <v>GUARATUBA</v>
      </c>
      <c r="B667" s="104" t="str">
        <f>Cadastro!$B599</f>
        <v>GUARATUBA</v>
      </c>
      <c r="C667" s="107" t="str">
        <f>Cadastro!$C599</f>
        <v>https://monitoramento.pm.pr.gov.br/proxy_image_6/</v>
      </c>
      <c r="D667" s="105">
        <f>Cadastro!$D599</f>
        <v>8601</v>
      </c>
      <c r="E667" s="104" t="str">
        <f>Cadastro!$E599</f>
        <v>C.064</v>
      </c>
      <c r="F667" s="104" t="str">
        <f>Cadastro!$F599</f>
        <v>Base SAMU - Bombeiros</v>
      </c>
      <c r="G667" s="104" t="str">
        <f>Cadastro!$G599</f>
        <v>-25.873320</v>
      </c>
      <c r="H667" s="104" t="str">
        <f>Cadastro!$H599</f>
        <v>-48.567909</v>
      </c>
      <c r="I667" s="104" t="str">
        <f>Cadastro!$I599</f>
        <v>siscop</v>
      </c>
      <c r="J667" s="104" t="str">
        <f>Cadastro!$J599</f>
        <v>Siscop1234</v>
      </c>
      <c r="K667" s="104" t="s">
        <v>4536</v>
      </c>
      <c r="L667" s="104" t="s">
        <v>26</v>
      </c>
      <c r="M667" s="104" t="s">
        <v>27</v>
      </c>
      <c r="N667" s="108" t="str">
        <f t="shared" si="1"/>
        <v>GUARATUBA</v>
      </c>
      <c r="O667" s="109" t="str">
        <f>Cadastro!$O599</f>
        <v>https://monitoramento.pm.pr.gov.br/proxy_image_6/Interface/Cameras/GetJPEGStream?Camera=C.064&amp;AuthUser=siscop&amp;AuthPass=Siscop1234&amp;Width=1024&amp;Height=768&amp;Quality=70&amp;FPS=10&amp;ResponseFormat=Text</v>
      </c>
      <c r="P667" s="106">
        <f>Cadastro!$P599</f>
        <v>1</v>
      </c>
    </row>
    <row r="668">
      <c r="A668" s="104" t="str">
        <f>Cadastro!$A600</f>
        <v>GUARATUBA</v>
      </c>
      <c r="B668" s="104" t="str">
        <f>Cadastro!$B600</f>
        <v>GUARATUBA</v>
      </c>
      <c r="C668" s="107" t="str">
        <f>Cadastro!$C600</f>
        <v>https://monitoramento.pm.pr.gov.br/proxy_image_6/</v>
      </c>
      <c r="D668" s="105">
        <f>Cadastro!$D600</f>
        <v>8601</v>
      </c>
      <c r="E668" s="104" t="str">
        <f>Cadastro!$E600</f>
        <v>C.065</v>
      </c>
      <c r="F668" s="104" t="str">
        <f>Cadastro!$F600</f>
        <v>Av. 29 de Abril x Xavier da Silva (cruzamento)</v>
      </c>
      <c r="G668" s="104" t="str">
        <f>Cadastro!$G600</f>
        <v>-25.879894</v>
      </c>
      <c r="H668" s="104" t="str">
        <f>Cadastro!$H600</f>
        <v>-48.570259</v>
      </c>
      <c r="I668" s="104" t="str">
        <f>Cadastro!$I600</f>
        <v>siscop</v>
      </c>
      <c r="J668" s="104" t="str">
        <f>Cadastro!$J600</f>
        <v>Siscop1234</v>
      </c>
      <c r="K668" s="104" t="s">
        <v>4536</v>
      </c>
      <c r="L668" s="104" t="s">
        <v>26</v>
      </c>
      <c r="M668" s="104" t="s">
        <v>27</v>
      </c>
      <c r="N668" s="108" t="str">
        <f t="shared" si="1"/>
        <v>GUARATUBA</v>
      </c>
      <c r="O668" s="109" t="str">
        <f>Cadastro!$O600</f>
        <v>https://monitoramento.pm.pr.gov.br/proxy_image_6/Interface/Cameras/GetJPEGStream?Camera=C.065&amp;AuthUser=siscop&amp;AuthPass=Siscop1234&amp;Width=1024&amp;Height=768&amp;Quality=70&amp;FPS=10&amp;ResponseFormat=Text</v>
      </c>
      <c r="P668" s="106">
        <f>Cadastro!$P600</f>
        <v>1</v>
      </c>
    </row>
    <row r="669">
      <c r="A669" s="104" t="str">
        <f>Cadastro!$A601</f>
        <v>GUARATUBA</v>
      </c>
      <c r="B669" s="104" t="str">
        <f>Cadastro!$B601</f>
        <v>GUARATUBA</v>
      </c>
      <c r="C669" s="107" t="str">
        <f>Cadastro!$C601</f>
        <v>https://monitoramento.pm.pr.gov.br/proxy_image_6/</v>
      </c>
      <c r="D669" s="105">
        <f>Cadastro!$D601</f>
        <v>8601</v>
      </c>
      <c r="E669" s="104" t="str">
        <f>Cadastro!$E601</f>
        <v>C.066</v>
      </c>
      <c r="F669" s="104" t="str">
        <f>Cadastro!$F601</f>
        <v>Praia de Caieiras 01</v>
      </c>
      <c r="G669" s="104" t="str">
        <f>Cadastro!$G601</f>
        <v>-25.863518</v>
      </c>
      <c r="H669" s="104" t="str">
        <f>Cadastro!$H601</f>
        <v>-48.566238</v>
      </c>
      <c r="I669" s="104" t="str">
        <f>Cadastro!$I601</f>
        <v>siscop</v>
      </c>
      <c r="J669" s="104" t="str">
        <f>Cadastro!$J601</f>
        <v>Siscop1234</v>
      </c>
      <c r="K669" s="104" t="s">
        <v>4536</v>
      </c>
      <c r="L669" s="104" t="s">
        <v>26</v>
      </c>
      <c r="M669" s="104" t="s">
        <v>27</v>
      </c>
      <c r="N669" s="108" t="str">
        <f t="shared" si="1"/>
        <v>GUARATUBA</v>
      </c>
      <c r="O669" s="109" t="str">
        <f>Cadastro!$O601</f>
        <v>https://monitoramento.pm.pr.gov.br/proxy_image_6/Interface/Cameras/GetJPEGStream?Camera=C.066&amp;AuthUser=siscop&amp;AuthPass=Siscop1234&amp;Width=1024&amp;Height=768&amp;Quality=70&amp;FPS=10&amp;ResponseFormat=Text</v>
      </c>
      <c r="P669" s="106">
        <f>Cadastro!$P601</f>
        <v>1</v>
      </c>
    </row>
    <row r="670">
      <c r="A670" s="104" t="str">
        <f>Cadastro!$A602</f>
        <v>GUARATUBA</v>
      </c>
      <c r="B670" s="104" t="str">
        <f>Cadastro!$B602</f>
        <v>GUARATUBA</v>
      </c>
      <c r="C670" s="107" t="str">
        <f>Cadastro!$C602</f>
        <v>https://monitoramento.pm.pr.gov.br/proxy_image_6/</v>
      </c>
      <c r="D670" s="105">
        <f>Cadastro!$D602</f>
        <v>8601</v>
      </c>
      <c r="E670" s="104" t="str">
        <f>Cadastro!$E602</f>
        <v>C.067</v>
      </c>
      <c r="F670" s="104" t="str">
        <f>Cadastro!$F602</f>
        <v>Praia de Caieiras 02</v>
      </c>
      <c r="G670" s="104" t="str">
        <f>Cadastro!$G602</f>
        <v>-25.863562</v>
      </c>
      <c r="H670" s="104" t="str">
        <f>Cadastro!$H602</f>
        <v>-48.566231</v>
      </c>
      <c r="I670" s="104" t="str">
        <f>Cadastro!$I602</f>
        <v>siscop</v>
      </c>
      <c r="J670" s="104" t="str">
        <f>Cadastro!$J602</f>
        <v>Siscop1234</v>
      </c>
      <c r="K670" s="104" t="s">
        <v>4536</v>
      </c>
      <c r="L670" s="104" t="s">
        <v>26</v>
      </c>
      <c r="M670" s="104" t="s">
        <v>27</v>
      </c>
      <c r="N670" s="108" t="str">
        <f t="shared" si="1"/>
        <v>GUARATUBA</v>
      </c>
      <c r="O670" s="109" t="str">
        <f>Cadastro!$O602</f>
        <v>https://monitoramento.pm.pr.gov.br/proxy_image_6/Interface/Cameras/GetJPEGStream?Camera=C.067&amp;AuthUser=siscop&amp;AuthPass=Siscop1234&amp;Width=1024&amp;Height=768&amp;Quality=70&amp;FPS=10&amp;ResponseFormat=Text</v>
      </c>
      <c r="P670" s="106">
        <f>Cadastro!$P602</f>
        <v>1</v>
      </c>
    </row>
    <row r="671">
      <c r="A671" s="104" t="str">
        <f>Cadastro!$A603</f>
        <v>GUARATUBA</v>
      </c>
      <c r="B671" s="104" t="str">
        <f>Cadastro!$B603</f>
        <v>GUARATUBA</v>
      </c>
      <c r="C671" s="107" t="str">
        <f>Cadastro!$C603</f>
        <v>https://monitoramento.pm.pr.gov.br/proxy_image_6/</v>
      </c>
      <c r="D671" s="105">
        <f>Cadastro!$D603</f>
        <v>8601</v>
      </c>
      <c r="E671" s="104" t="str">
        <f>Cadastro!$E603</f>
        <v>C.068</v>
      </c>
      <c r="F671" s="104" t="str">
        <f>Cadastro!$F603</f>
        <v>Cruzamento - SAMU</v>
      </c>
      <c r="G671" s="104" t="str">
        <f>Cadastro!$G603</f>
        <v>-25.873302</v>
      </c>
      <c r="H671" s="104" t="str">
        <f>Cadastro!$H603</f>
        <v>-48.567913</v>
      </c>
      <c r="I671" s="104" t="str">
        <f>Cadastro!$I603</f>
        <v>siscop</v>
      </c>
      <c r="J671" s="104" t="str">
        <f>Cadastro!$J603</f>
        <v>Siscop1234</v>
      </c>
      <c r="K671" s="104" t="s">
        <v>4536</v>
      </c>
      <c r="L671" s="104" t="s">
        <v>26</v>
      </c>
      <c r="M671" s="104" t="s">
        <v>27</v>
      </c>
      <c r="N671" s="108" t="str">
        <f t="shared" si="1"/>
        <v>GUARATUBA</v>
      </c>
      <c r="O671" s="109" t="str">
        <f>Cadastro!$O603</f>
        <v>https://monitoramento.pm.pr.gov.br/proxy_image_6/Interface/Cameras/GetJPEGStream?Camera=C.068&amp;AuthUser=siscop&amp;AuthPass=Siscop1234&amp;Width=1024&amp;Height=768&amp;Quality=70&amp;FPS=10&amp;ResponseFormat=Text</v>
      </c>
      <c r="P671" s="106">
        <f>Cadastro!$P603</f>
        <v>1</v>
      </c>
    </row>
    <row r="672">
      <c r="A672" s="104" t="str">
        <f>Cadastro!$A604</f>
        <v>GUARATUBA</v>
      </c>
      <c r="B672" s="104" t="str">
        <f>Cadastro!$B604</f>
        <v>GUARATUBA</v>
      </c>
      <c r="C672" s="107" t="str">
        <f>Cadastro!$C604</f>
        <v>https://monitoramento.pm.pr.gov.br/proxy_image_6/</v>
      </c>
      <c r="D672" s="105">
        <f>Cadastro!$D604</f>
        <v>8601</v>
      </c>
      <c r="E672" s="104" t="str">
        <f>Cadastro!$E604</f>
        <v>C.069</v>
      </c>
      <c r="F672" s="104" t="str">
        <f>Cadastro!$F604</f>
        <v>SPD - Praça dos Namorados</v>
      </c>
      <c r="G672" s="104" t="str">
        <f>Cadastro!$G604</f>
        <v>-25.873310</v>
      </c>
      <c r="H672" s="104" t="str">
        <f>Cadastro!$H604</f>
        <v>-48.577427</v>
      </c>
      <c r="I672" s="104" t="str">
        <f>Cadastro!$I604</f>
        <v>siscop</v>
      </c>
      <c r="J672" s="104" t="str">
        <f>Cadastro!$J604</f>
        <v>Siscop1234</v>
      </c>
      <c r="K672" s="104" t="s">
        <v>4536</v>
      </c>
      <c r="L672" s="104" t="s">
        <v>26</v>
      </c>
      <c r="M672" s="104" t="s">
        <v>27</v>
      </c>
      <c r="N672" s="108" t="str">
        <f t="shared" si="1"/>
        <v>GUARATUBA</v>
      </c>
      <c r="O672" s="109" t="str">
        <f>Cadastro!$O604</f>
        <v>https://monitoramento.pm.pr.gov.br/proxy_image_6/Interface/Cameras/GetJPEGStream?Camera=C.069&amp;AuthUser=siscop&amp;AuthPass=Siscop1234&amp;Width=1024&amp;Height=768&amp;Quality=70&amp;FPS=10&amp;ResponseFormat=Text</v>
      </c>
      <c r="P672" s="106">
        <f>Cadastro!$P604</f>
        <v>1</v>
      </c>
    </row>
    <row r="673">
      <c r="A673" s="104" t="str">
        <f>Cadastro!$A605</f>
        <v>GUARATUBA</v>
      </c>
      <c r="B673" s="104" t="str">
        <f>Cadastro!$B605</f>
        <v>GUARATUBA</v>
      </c>
      <c r="C673" s="107" t="str">
        <f>Cadastro!$C605</f>
        <v>https://monitoramento.pm.pr.gov.br/proxy_image_6/</v>
      </c>
      <c r="D673" s="105">
        <f>Cadastro!$D605</f>
        <v>8601</v>
      </c>
      <c r="E673" s="104" t="str">
        <f>Cadastro!$E605</f>
        <v>C.070</v>
      </c>
      <c r="F673" s="104" t="str">
        <f>Cadastro!$F605</f>
        <v>Praça Central 01</v>
      </c>
      <c r="G673" s="104" t="str">
        <f>Cadastro!$G605</f>
        <v>-25.873089</v>
      </c>
      <c r="H673" s="104" t="str">
        <f>Cadastro!$H605</f>
        <v>-48.575871</v>
      </c>
      <c r="I673" s="104" t="str">
        <f>Cadastro!$I605</f>
        <v>siscop</v>
      </c>
      <c r="J673" s="104" t="str">
        <f>Cadastro!$J605</f>
        <v>Siscop1234</v>
      </c>
      <c r="K673" s="104" t="s">
        <v>4536</v>
      </c>
      <c r="L673" s="104" t="s">
        <v>26</v>
      </c>
      <c r="M673" s="104" t="s">
        <v>27</v>
      </c>
      <c r="N673" s="108" t="str">
        <f t="shared" si="1"/>
        <v>GUARATUBA</v>
      </c>
      <c r="O673" s="109" t="str">
        <f>Cadastro!$O605</f>
        <v>https://monitoramento.pm.pr.gov.br/proxy_image_6/Interface/Cameras/GetJPEGStream?Camera=C.070&amp;AuthUser=siscop&amp;AuthPass=Siscop1234&amp;Width=1024&amp;Height=768&amp;Quality=70&amp;FPS=10&amp;ResponseFormat=Text</v>
      </c>
      <c r="P673" s="106">
        <f>Cadastro!$P605</f>
        <v>1</v>
      </c>
    </row>
    <row r="674">
      <c r="A674" s="104" t="str">
        <f>Cadastro!$A606</f>
        <v>GUARATUBA</v>
      </c>
      <c r="B674" s="104" t="str">
        <f>Cadastro!$B606</f>
        <v>GUARATUBA</v>
      </c>
      <c r="C674" s="107" t="str">
        <f>Cadastro!$C606</f>
        <v>https://monitoramento.pm.pr.gov.br/proxy_image_6/</v>
      </c>
      <c r="D674" s="105">
        <f>Cadastro!$D606</f>
        <v>8601</v>
      </c>
      <c r="E674" s="104" t="str">
        <f>Cadastro!$E606</f>
        <v>C.071</v>
      </c>
      <c r="F674" s="104" t="str">
        <f>Cadastro!$F606</f>
        <v>Praça Central 02</v>
      </c>
      <c r="G674" s="104" t="str">
        <f>Cadastro!$G606</f>
        <v>-25.873087</v>
      </c>
      <c r="H674" s="104" t="str">
        <f>Cadastro!$H606</f>
        <v>-48.575874</v>
      </c>
      <c r="I674" s="104" t="str">
        <f>Cadastro!$I606</f>
        <v>siscop</v>
      </c>
      <c r="J674" s="104" t="str">
        <f>Cadastro!$J606</f>
        <v>Siscop1234</v>
      </c>
      <c r="K674" s="104" t="s">
        <v>4536</v>
      </c>
      <c r="L674" s="104" t="s">
        <v>26</v>
      </c>
      <c r="M674" s="104" t="s">
        <v>27</v>
      </c>
      <c r="N674" s="108" t="str">
        <f t="shared" si="1"/>
        <v>GUARATUBA</v>
      </c>
      <c r="O674" s="109" t="str">
        <f>Cadastro!$O606</f>
        <v>https://monitoramento.pm.pr.gov.br/proxy_image_6/Interface/Cameras/GetJPEGStream?Camera=C.071&amp;AuthUser=siscop&amp;AuthPass=Siscop1234&amp;Width=1024&amp;Height=768&amp;Quality=70&amp;FPS=10&amp;ResponseFormat=Text</v>
      </c>
      <c r="P674" s="106">
        <f>Cadastro!$P606</f>
        <v>1</v>
      </c>
    </row>
    <row r="675">
      <c r="A675" s="104" t="str">
        <f>Cadastro!$A607</f>
        <v>GUARATUBA</v>
      </c>
      <c r="B675" s="104" t="str">
        <f>Cadastro!$B607</f>
        <v>GUARATUBA</v>
      </c>
      <c r="C675" s="107" t="str">
        <f>Cadastro!$C607</f>
        <v>https://monitoramento.pm.pr.gov.br/proxy_image_6/</v>
      </c>
      <c r="D675" s="105">
        <f>Cadastro!$D607</f>
        <v>8601</v>
      </c>
      <c r="E675" s="104" t="str">
        <f>Cadastro!$E607</f>
        <v>C.072</v>
      </c>
      <c r="F675" s="104" t="str">
        <f>Cadastro!$F607</f>
        <v>SPD - Antiga cooperativa de pescados - Piçarras</v>
      </c>
      <c r="G675" s="104" t="str">
        <f>Cadastro!$G607</f>
        <v>-25.873957</v>
      </c>
      <c r="H675" s="104" t="str">
        <f>Cadastro!$H607</f>
        <v>-48.604847</v>
      </c>
      <c r="I675" s="104" t="str">
        <f>Cadastro!$I607</f>
        <v>siscop</v>
      </c>
      <c r="J675" s="104" t="str">
        <f>Cadastro!$J607</f>
        <v>Siscop1234</v>
      </c>
      <c r="K675" s="104" t="s">
        <v>4536</v>
      </c>
      <c r="L675" s="104" t="s">
        <v>26</v>
      </c>
      <c r="M675" s="104" t="s">
        <v>27</v>
      </c>
      <c r="N675" s="108" t="str">
        <f t="shared" si="1"/>
        <v>GUARATUBA</v>
      </c>
      <c r="O675" s="109" t="str">
        <f>Cadastro!$O607</f>
        <v>https://monitoramento.pm.pr.gov.br/proxy_image_6/Interface/Cameras/GetJPEGStream?Camera=C.072&amp;AuthUser=siscop&amp;AuthPass=Siscop1234&amp;Width=1024&amp;Height=768&amp;Quality=70&amp;FPS=10&amp;ResponseFormat=Text</v>
      </c>
      <c r="P675" s="106">
        <f>Cadastro!$P607</f>
        <v>1</v>
      </c>
    </row>
    <row r="676">
      <c r="A676" s="104" t="str">
        <f>Cadastro!$A608</f>
        <v>GUARATUBA</v>
      </c>
      <c r="B676" s="104" t="str">
        <f>Cadastro!$B608</f>
        <v>GUARATUBA</v>
      </c>
      <c r="C676" s="107" t="str">
        <f>Cadastro!$C608</f>
        <v>https://monitoramento.pm.pr.gov.br/proxy_image_6/</v>
      </c>
      <c r="D676" s="105">
        <f>Cadastro!$D608</f>
        <v>8601</v>
      </c>
      <c r="E676" s="104" t="str">
        <f>Cadastro!$E608</f>
        <v>C.073</v>
      </c>
      <c r="F676" s="104" t="str">
        <f>Cadastro!$F608</f>
        <v>CAIA - Rua Tocantins</v>
      </c>
      <c r="G676" s="104" t="str">
        <f>Cadastro!$G608</f>
        <v>-25.879765</v>
      </c>
      <c r="H676" s="104" t="str">
        <f>Cadastro!$H608</f>
        <v>-48.591187</v>
      </c>
      <c r="I676" s="104" t="str">
        <f>Cadastro!$I608</f>
        <v>siscop</v>
      </c>
      <c r="J676" s="104" t="str">
        <f>Cadastro!$J608</f>
        <v>Siscop1234</v>
      </c>
      <c r="K676" s="104" t="s">
        <v>4536</v>
      </c>
      <c r="L676" s="104" t="s">
        <v>26</v>
      </c>
      <c r="M676" s="104" t="s">
        <v>27</v>
      </c>
      <c r="N676" s="108" t="str">
        <f t="shared" si="1"/>
        <v>GUARATUBA</v>
      </c>
      <c r="O676" s="109" t="str">
        <f>Cadastro!$O608</f>
        <v>https://monitoramento.pm.pr.gov.br/proxy_image_6/Interface/Cameras/GetJPEGStream?Camera=C.073&amp;AuthUser=siscop&amp;AuthPass=Siscop1234&amp;Width=1024&amp;Height=768&amp;Quality=70&amp;FPS=10&amp;ResponseFormat=Text</v>
      </c>
      <c r="P676" s="106">
        <f>Cadastro!$P608</f>
        <v>1</v>
      </c>
    </row>
    <row r="677">
      <c r="A677" s="104" t="str">
        <f>Cadastro!$A609</f>
        <v>GUARATUBA</v>
      </c>
      <c r="B677" s="104" t="str">
        <f>Cadastro!$B609</f>
        <v>GUARATUBA</v>
      </c>
      <c r="C677" s="107" t="str">
        <f>Cadastro!$C609</f>
        <v>https://monitoramento.pm.pr.gov.br/proxy_image_6/</v>
      </c>
      <c r="D677" s="105">
        <f>Cadastro!$D609</f>
        <v>8601</v>
      </c>
      <c r="E677" s="104" t="str">
        <f>Cadastro!$E609</f>
        <v>C.074</v>
      </c>
      <c r="F677" s="104" t="str">
        <f>Cadastro!$F609</f>
        <v>CAIA - Rua Ilha das Garças</v>
      </c>
      <c r="G677" s="104" t="str">
        <f>Cadastro!$G609</f>
        <v>-25.879765</v>
      </c>
      <c r="H677" s="104" t="str">
        <f>Cadastro!$H609</f>
        <v>-48.591187</v>
      </c>
      <c r="I677" s="104" t="str">
        <f>Cadastro!$I609</f>
        <v>siscop</v>
      </c>
      <c r="J677" s="104" t="str">
        <f>Cadastro!$J609</f>
        <v>Siscop1234</v>
      </c>
      <c r="K677" s="104" t="s">
        <v>4536</v>
      </c>
      <c r="L677" s="104" t="s">
        <v>26</v>
      </c>
      <c r="M677" s="104" t="s">
        <v>27</v>
      </c>
      <c r="N677" s="108" t="str">
        <f t="shared" si="1"/>
        <v>GUARATUBA</v>
      </c>
      <c r="O677" s="109" t="str">
        <f>Cadastro!$O609</f>
        <v>https://monitoramento.pm.pr.gov.br/proxy_image_6/Interface/Cameras/GetJPEGStream?Camera=C.074&amp;AuthUser=siscop&amp;AuthPass=Siscop1234&amp;Width=1024&amp;Height=768&amp;Quality=70&amp;FPS=10&amp;ResponseFormat=Text</v>
      </c>
      <c r="P677" s="106">
        <f>Cadastro!$P609</f>
        <v>1</v>
      </c>
    </row>
    <row r="678">
      <c r="A678" s="104" t="str">
        <f>Cadastro!$A610</f>
        <v>GUARATUBA</v>
      </c>
      <c r="B678" s="104" t="str">
        <f>Cadastro!$B610</f>
        <v>GUARATUBA</v>
      </c>
      <c r="C678" s="107" t="str">
        <f>Cadastro!$C610</f>
        <v>https://monitoramento.pm.pr.gov.br/proxy_image_6/</v>
      </c>
      <c r="D678" s="105">
        <f>Cadastro!$D610</f>
        <v>8601</v>
      </c>
      <c r="E678" s="104" t="str">
        <f>Cadastro!$E610</f>
        <v>C.075</v>
      </c>
      <c r="F678" s="104" t="str">
        <f>Cadastro!$F610</f>
        <v>BES - Av. 29 de Abril - Saguao</v>
      </c>
      <c r="G678" s="104" t="str">
        <f>Cadastro!$G610</f>
        <v>-25.878614</v>
      </c>
      <c r="H678" s="104" t="str">
        <f>Cadastro!$H610</f>
        <v>-48.571743</v>
      </c>
      <c r="I678" s="104" t="str">
        <f>Cadastro!$I610</f>
        <v>siscop</v>
      </c>
      <c r="J678" s="104" t="str">
        <f>Cadastro!$J610</f>
        <v>Siscop1234</v>
      </c>
      <c r="K678" s="104" t="s">
        <v>4536</v>
      </c>
      <c r="L678" s="104" t="s">
        <v>26</v>
      </c>
      <c r="M678" s="104" t="s">
        <v>27</v>
      </c>
      <c r="N678" s="108" t="str">
        <f t="shared" si="1"/>
        <v>GUARATUBA</v>
      </c>
      <c r="O678" s="109" t="str">
        <f>Cadastro!$O610</f>
        <v>https://monitoramento.pm.pr.gov.br/proxy_image_6/Interface/Cameras/GetJPEGStream?Camera=C.075&amp;AuthUser=siscop&amp;AuthPass=Siscop1234&amp;Width=1024&amp;Height=768&amp;Quality=70&amp;FPS=10&amp;ResponseFormat=Text</v>
      </c>
      <c r="P678" s="106">
        <f>Cadastro!$P610</f>
        <v>1</v>
      </c>
    </row>
    <row r="679">
      <c r="A679" s="104" t="str">
        <f>Cadastro!$A611</f>
        <v>GUARATUBA</v>
      </c>
      <c r="B679" s="104" t="str">
        <f>Cadastro!$B611</f>
        <v>GUARATUBA</v>
      </c>
      <c r="C679" s="107" t="str">
        <f>Cadastro!$C611</f>
        <v>https://monitoramento.pm.pr.gov.br/proxy_image_6/</v>
      </c>
      <c r="D679" s="105">
        <f>Cadastro!$D611</f>
        <v>8601</v>
      </c>
      <c r="E679" s="104" t="str">
        <f>Cadastro!$E611</f>
        <v>C.076</v>
      </c>
      <c r="F679" s="104" t="str">
        <f>Cadastro!$F611</f>
        <v>BES - Av. 29 de Abril - Cruzamento</v>
      </c>
      <c r="G679" s="104" t="str">
        <f>Cadastro!$G611</f>
        <v>-25.878614</v>
      </c>
      <c r="H679" s="104" t="str">
        <f>Cadastro!$H611</f>
        <v>-48.571743</v>
      </c>
      <c r="I679" s="104" t="str">
        <f>Cadastro!$I611</f>
        <v>siscop</v>
      </c>
      <c r="J679" s="104" t="str">
        <f>Cadastro!$J611</f>
        <v>Siscop1234</v>
      </c>
      <c r="K679" s="104" t="s">
        <v>4536</v>
      </c>
      <c r="L679" s="104" t="s">
        <v>26</v>
      </c>
      <c r="M679" s="104" t="s">
        <v>27</v>
      </c>
      <c r="N679" s="108" t="str">
        <f t="shared" si="1"/>
        <v>GUARATUBA</v>
      </c>
      <c r="O679" s="109" t="str">
        <f>Cadastro!$O611</f>
        <v>https://monitoramento.pm.pr.gov.br/proxy_image_6/Interface/Cameras/GetJPEGStream?Camera=C.076&amp;AuthUser=siscop&amp;AuthPass=Siscop1234&amp;Width=1024&amp;Height=768&amp;Quality=70&amp;FPS=10&amp;ResponseFormat=Text</v>
      </c>
      <c r="P679" s="106">
        <f>Cadastro!$P611</f>
        <v>1</v>
      </c>
    </row>
    <row r="680">
      <c r="A680" s="104" t="str">
        <f>Cadastro!$A612</f>
        <v>GUARATUBA</v>
      </c>
      <c r="B680" s="104" t="str">
        <f>Cadastro!$B612</f>
        <v>GUARATUBA</v>
      </c>
      <c r="C680" s="107" t="str">
        <f>Cadastro!$C612</f>
        <v>https://monitoramento.pm.pr.gov.br/proxy_image_6/</v>
      </c>
      <c r="D680" s="105">
        <f>Cadastro!$D612</f>
        <v>8601</v>
      </c>
      <c r="E680" s="104" t="str">
        <f>Cadastro!$E612</f>
        <v>C.077</v>
      </c>
      <c r="F680" s="104" t="str">
        <f>Cadastro!$F612</f>
        <v>Cruzamento Rua Gabriel de Lara x Santos Dumont</v>
      </c>
      <c r="G680" s="104" t="str">
        <f>Cadastro!$G612</f>
        <v>-25.887098</v>
      </c>
      <c r="H680" s="104" t="str">
        <f>Cadastro!$H612</f>
        <v>-48.572754</v>
      </c>
      <c r="I680" s="104" t="str">
        <f>Cadastro!$I612</f>
        <v>siscop</v>
      </c>
      <c r="J680" s="104" t="str">
        <f>Cadastro!$J612</f>
        <v>Siscop1234</v>
      </c>
      <c r="K680" s="104" t="s">
        <v>4536</v>
      </c>
      <c r="L680" s="104" t="s">
        <v>26</v>
      </c>
      <c r="M680" s="104" t="s">
        <v>27</v>
      </c>
      <c r="N680" s="108" t="str">
        <f t="shared" si="1"/>
        <v>GUARATUBA</v>
      </c>
      <c r="O680" s="109" t="str">
        <f>Cadastro!$O612</f>
        <v>https://monitoramento.pm.pr.gov.br/proxy_image_6/Interface/Cameras/GetJPEGStream?Camera=C.077&amp;AuthUser=siscop&amp;AuthPass=Siscop1234&amp;Width=1024&amp;Height=768&amp;Quality=70&amp;FPS=10&amp;ResponseFormat=Text</v>
      </c>
      <c r="P680" s="106">
        <f>Cadastro!$P612</f>
        <v>1</v>
      </c>
    </row>
    <row r="681">
      <c r="A681" s="104" t="str">
        <f>Cadastro!$A613</f>
        <v>GUARATUBA</v>
      </c>
      <c r="B681" s="104" t="str">
        <f>Cadastro!$B613</f>
        <v>GUARATUBA</v>
      </c>
      <c r="C681" s="107" t="str">
        <f>Cadastro!$C613</f>
        <v>https://monitoramento.pm.pr.gov.br/proxy_image_6/</v>
      </c>
      <c r="D681" s="105">
        <f>Cadastro!$D613</f>
        <v>8601</v>
      </c>
      <c r="E681" s="104" t="str">
        <f>Cadastro!$E613</f>
        <v>C.078</v>
      </c>
      <c r="F681" s="104" t="str">
        <f>Cadastro!$F613</f>
        <v>CMAE - Rua Carlos Mafra - Cohapar</v>
      </c>
      <c r="G681" s="104" t="str">
        <f>Cadastro!$G613</f>
        <v>-25.882954</v>
      </c>
      <c r="H681" s="104" t="str">
        <f>Cadastro!$H613</f>
        <v>-48.585819</v>
      </c>
      <c r="I681" s="104" t="str">
        <f>Cadastro!$I613</f>
        <v>siscop</v>
      </c>
      <c r="J681" s="104" t="str">
        <f>Cadastro!$J613</f>
        <v>Siscop1234</v>
      </c>
      <c r="K681" s="104" t="s">
        <v>4536</v>
      </c>
      <c r="L681" s="104" t="s">
        <v>26</v>
      </c>
      <c r="M681" s="104" t="s">
        <v>27</v>
      </c>
      <c r="N681" s="108" t="str">
        <f t="shared" si="1"/>
        <v>GUARATUBA</v>
      </c>
      <c r="O681" s="109" t="str">
        <f>Cadastro!$O613</f>
        <v>https://monitoramento.pm.pr.gov.br/proxy_image_6/Interface/Cameras/GetJPEGStream?Camera=C.078&amp;AuthUser=siscop&amp;AuthPass=Siscop1234&amp;Width=1024&amp;Height=768&amp;Quality=70&amp;FPS=10&amp;ResponseFormat=Text</v>
      </c>
      <c r="P681" s="106">
        <f>Cadastro!$P613</f>
        <v>1</v>
      </c>
    </row>
    <row r="682">
      <c r="A682" s="104" t="str">
        <f>Cadastro!$A614</f>
        <v>GUARATUBA</v>
      </c>
      <c r="B682" s="104" t="str">
        <f>Cadastro!$B614</f>
        <v>GUARATUBA</v>
      </c>
      <c r="C682" s="107" t="str">
        <f>Cadastro!$C614</f>
        <v>https://monitoramento.pm.pr.gov.br/proxy_image_6/</v>
      </c>
      <c r="D682" s="105">
        <f>Cadastro!$D614</f>
        <v>8601</v>
      </c>
      <c r="E682" s="104" t="str">
        <f>Cadastro!$E614</f>
        <v>C.079</v>
      </c>
      <c r="F682" s="104" t="str">
        <f>Cadastro!$F614</f>
        <v>CMEI - Saguão - Amor e Carinho - Coroados - Rua dos Navegantes</v>
      </c>
      <c r="G682" s="104" t="str">
        <f>Cadastro!$G614</f>
        <v>-25.947800</v>
      </c>
      <c r="H682" s="104" t="str">
        <f>Cadastro!$H614</f>
        <v>-48.593781</v>
      </c>
      <c r="I682" s="104" t="str">
        <f>Cadastro!$I614</f>
        <v>siscop</v>
      </c>
      <c r="J682" s="104" t="str">
        <f>Cadastro!$J614</f>
        <v>Siscop1234</v>
      </c>
      <c r="K682" s="104" t="s">
        <v>4536</v>
      </c>
      <c r="L682" s="104" t="s">
        <v>26</v>
      </c>
      <c r="M682" s="104" t="s">
        <v>27</v>
      </c>
      <c r="N682" s="108" t="str">
        <f t="shared" si="1"/>
        <v>GUARATUBA</v>
      </c>
      <c r="O682" s="109" t="str">
        <f>Cadastro!$O614</f>
        <v>https://monitoramento.pm.pr.gov.br/proxy_image_6/Interface/Cameras/GetJPEGStream?Camera=C.079&amp;AuthUser=siscop&amp;AuthPass=Siscop1234&amp;Width=1024&amp;Height=768&amp;Quality=70&amp;FPS=10&amp;ResponseFormat=Text</v>
      </c>
      <c r="P682" s="106">
        <f>Cadastro!$P614</f>
        <v>1</v>
      </c>
    </row>
    <row r="683">
      <c r="A683" s="104" t="str">
        <f>Cadastro!$A615</f>
        <v>GUARATUBA</v>
      </c>
      <c r="B683" s="104" t="str">
        <f>Cadastro!$B615</f>
        <v>GUARATUBA</v>
      </c>
      <c r="C683" s="107" t="str">
        <f>Cadastro!$C615</f>
        <v>https://monitoramento.pm.pr.gov.br/proxy_image_6/</v>
      </c>
      <c r="D683" s="105">
        <f>Cadastro!$D615</f>
        <v>8601</v>
      </c>
      <c r="E683" s="104" t="str">
        <f>Cadastro!$E615</f>
        <v>C.080</v>
      </c>
      <c r="F683" s="104" t="str">
        <f>Cadastro!$F615</f>
        <v>Antiga Cooperativa - Av. Damião Botelho - Piçarras</v>
      </c>
      <c r="G683" s="104" t="str">
        <f>Cadastro!$G615</f>
        <v>-25.873924</v>
      </c>
      <c r="H683" s="104" t="str">
        <f>Cadastro!$H615</f>
        <v>-48.604836</v>
      </c>
      <c r="I683" s="104" t="str">
        <f>Cadastro!$I615</f>
        <v>siscop</v>
      </c>
      <c r="J683" s="104" t="str">
        <f>Cadastro!$J615</f>
        <v>Siscop1234</v>
      </c>
      <c r="K683" s="104" t="s">
        <v>4536</v>
      </c>
      <c r="L683" s="104" t="s">
        <v>26</v>
      </c>
      <c r="M683" s="104" t="s">
        <v>27</v>
      </c>
      <c r="N683" s="108" t="str">
        <f t="shared" si="1"/>
        <v>GUARATUBA</v>
      </c>
      <c r="O683" s="109" t="str">
        <f>Cadastro!$O615</f>
        <v>https://monitoramento.pm.pr.gov.br/proxy_image_6/Interface/Cameras/GetJPEGStream?Camera=C.080&amp;AuthUser=siscop&amp;AuthPass=Siscop1234&amp;Width=1024&amp;Height=768&amp;Quality=70&amp;FPS=10&amp;ResponseFormat=Text</v>
      </c>
      <c r="P683" s="106">
        <f>Cadastro!$P615</f>
        <v>1</v>
      </c>
    </row>
    <row r="684">
      <c r="A684" s="104" t="str">
        <f>Cadastro!$A616</f>
        <v>GUARATUBA</v>
      </c>
      <c r="B684" s="104" t="str">
        <f>Cadastro!$B616</f>
        <v>GUARATUBA</v>
      </c>
      <c r="C684" s="107" t="str">
        <f>Cadastro!$C616</f>
        <v>https://monitoramento.pm.pr.gov.br/proxy_image_6/</v>
      </c>
      <c r="D684" s="105">
        <f>Cadastro!$D616</f>
        <v>8601</v>
      </c>
      <c r="E684" s="104" t="str">
        <f>Cadastro!$E616</f>
        <v>C.081</v>
      </c>
      <c r="F684" s="104" t="str">
        <f>Cadastro!$F616</f>
        <v>Saguão CRAS - R. José Nicolau Abagge, 1330 - Cohapar</v>
      </c>
      <c r="G684" s="104" t="str">
        <f>Cadastro!$G616</f>
        <v>-25.884033</v>
      </c>
      <c r="H684" s="104" t="str">
        <f>Cadastro!$H616</f>
        <v>-48.582718</v>
      </c>
      <c r="I684" s="104" t="str">
        <f>Cadastro!$I616</f>
        <v>siscop</v>
      </c>
      <c r="J684" s="104" t="str">
        <f>Cadastro!$J616</f>
        <v>Siscop1234</v>
      </c>
      <c r="K684" s="104" t="s">
        <v>4536</v>
      </c>
      <c r="L684" s="104" t="s">
        <v>26</v>
      </c>
      <c r="M684" s="104" t="s">
        <v>27</v>
      </c>
      <c r="N684" s="108" t="str">
        <f t="shared" si="1"/>
        <v>GUARATUBA</v>
      </c>
      <c r="O684" s="109" t="str">
        <f>Cadastro!$O616</f>
        <v>https://monitoramento.pm.pr.gov.br/proxy_image_6/Interface/Cameras/GetJPEGStream?Camera=C.081&amp;AuthUser=siscop&amp;AuthPass=Siscop1234&amp;Width=1024&amp;Height=768&amp;Quality=70&amp;FPS=10&amp;ResponseFormat=Text</v>
      </c>
      <c r="P684" s="106">
        <f>Cadastro!$P616</f>
        <v>1</v>
      </c>
    </row>
    <row r="685">
      <c r="A685" s="104" t="str">
        <f>Cadastro!$A617</f>
        <v>GUARATUBA</v>
      </c>
      <c r="B685" s="104" t="str">
        <f>Cadastro!$B617</f>
        <v>GUARATUBA</v>
      </c>
      <c r="C685" s="107" t="str">
        <f>Cadastro!$C617</f>
        <v>https://monitoramento.pm.pr.gov.br/proxy_image_6/</v>
      </c>
      <c r="D685" s="105">
        <f>Cadastro!$D617</f>
        <v>8601</v>
      </c>
      <c r="E685" s="104" t="str">
        <f>Cadastro!$E617</f>
        <v>C.082</v>
      </c>
      <c r="F685" s="104" t="str">
        <f>Cadastro!$F617</f>
        <v>Recepção CREAS - R. José Nicolau Abagge, 1330 - Cohapar</v>
      </c>
      <c r="G685" s="104" t="str">
        <f>Cadastro!$G617</f>
        <v>-25.886595</v>
      </c>
      <c r="H685" s="104" t="str">
        <f>Cadastro!$H617</f>
        <v>-48.570126</v>
      </c>
      <c r="I685" s="104" t="str">
        <f>Cadastro!$I617</f>
        <v>siscop</v>
      </c>
      <c r="J685" s="104" t="str">
        <f>Cadastro!$J617</f>
        <v>Siscop1234</v>
      </c>
      <c r="K685" s="104" t="s">
        <v>4536</v>
      </c>
      <c r="L685" s="104" t="s">
        <v>26</v>
      </c>
      <c r="M685" s="104" t="s">
        <v>27</v>
      </c>
      <c r="N685" s="108" t="str">
        <f t="shared" si="1"/>
        <v>GUARATUBA</v>
      </c>
      <c r="O685" s="109" t="str">
        <f>Cadastro!$O617</f>
        <v>https://monitoramento.pm.pr.gov.br/proxy_image_6/Interface/Cameras/GetJPEGStream?Camera=C.082&amp;AuthUser=siscop&amp;AuthPass=Siscop1234&amp;Width=1024&amp;Height=768&amp;Quality=70&amp;FPS=10&amp;ResponseFormat=Text</v>
      </c>
      <c r="P685" s="106">
        <f>Cadastro!$P617</f>
        <v>1</v>
      </c>
    </row>
    <row r="686">
      <c r="A686" s="104" t="str">
        <f>Cadastro!$A618</f>
        <v>GUARATUBA</v>
      </c>
      <c r="B686" s="104" t="str">
        <f>Cadastro!$B618</f>
        <v>GUARATUBA</v>
      </c>
      <c r="C686" s="107" t="str">
        <f>Cadastro!$C618</f>
        <v>https://monitoramento.pm.pr.gov.br/proxy_image_6/</v>
      </c>
      <c r="D686" s="105">
        <f>Cadastro!$D618</f>
        <v>8601</v>
      </c>
      <c r="E686" s="104" t="str">
        <f>Cadastro!$E618</f>
        <v>C.083</v>
      </c>
      <c r="F686" s="104" t="str">
        <f>Cadastro!$F618</f>
        <v>Tv. Dr. Waldomiro Pedroso, 49 - Sentido Praia</v>
      </c>
      <c r="G686" s="104" t="str">
        <f>Cadastro!$G618</f>
        <v>-25.886595</v>
      </c>
      <c r="H686" s="104" t="str">
        <f>Cadastro!$H618</f>
        <v>-48.570126</v>
      </c>
      <c r="I686" s="104" t="str">
        <f>Cadastro!$I618</f>
        <v>siscop</v>
      </c>
      <c r="J686" s="104" t="str">
        <f>Cadastro!$J618</f>
        <v>Siscop1234</v>
      </c>
      <c r="K686" s="104" t="s">
        <v>4536</v>
      </c>
      <c r="L686" s="104" t="s">
        <v>26</v>
      </c>
      <c r="M686" s="104" t="s">
        <v>27</v>
      </c>
      <c r="N686" s="108" t="str">
        <f t="shared" si="1"/>
        <v>GUARATUBA</v>
      </c>
      <c r="O686" s="109" t="str">
        <f>Cadastro!$O618</f>
        <v>https://monitoramento.pm.pr.gov.br/proxy_image_6/Interface/Cameras/GetJPEGStream?Camera=C.083&amp;AuthUser=siscop&amp;AuthPass=Siscop1234&amp;Width=1024&amp;Height=768&amp;Quality=70&amp;FPS=10&amp;ResponseFormat=Text</v>
      </c>
      <c r="P686" s="106">
        <f>Cadastro!$P618</f>
        <v>1</v>
      </c>
    </row>
    <row r="687">
      <c r="A687" s="104" t="str">
        <f>Cadastro!$A619</f>
        <v>GUARATUBA</v>
      </c>
      <c r="B687" s="104" t="str">
        <f>Cadastro!$B619</f>
        <v>GUARATUBA</v>
      </c>
      <c r="C687" s="107" t="str">
        <f>Cadastro!$C619</f>
        <v>https://monitoramento.pm.pr.gov.br/proxy_image_6/</v>
      </c>
      <c r="D687" s="105">
        <f>Cadastro!$D619</f>
        <v>8601</v>
      </c>
      <c r="E687" s="104" t="str">
        <f>Cadastro!$E619</f>
        <v>C.084</v>
      </c>
      <c r="F687" s="104" t="str">
        <f>Cadastro!$F619</f>
        <v>Recepção Epidemiologia</v>
      </c>
      <c r="G687" s="104" t="str">
        <f>Cadastro!$G619</f>
        <v>-25.874218</v>
      </c>
      <c r="H687" s="104" t="str">
        <f>Cadastro!$H619</f>
        <v>-48.567894</v>
      </c>
      <c r="I687" s="104" t="str">
        <f>Cadastro!$I619</f>
        <v>siscop</v>
      </c>
      <c r="J687" s="104" t="str">
        <f>Cadastro!$J619</f>
        <v>Siscop1234</v>
      </c>
      <c r="K687" s="104" t="s">
        <v>4536</v>
      </c>
      <c r="L687" s="104" t="s">
        <v>26</v>
      </c>
      <c r="M687" s="104" t="s">
        <v>27</v>
      </c>
      <c r="N687" s="108" t="str">
        <f t="shared" si="1"/>
        <v>GUARATUBA</v>
      </c>
      <c r="O687" s="109" t="str">
        <f>Cadastro!$O619</f>
        <v>https://monitoramento.pm.pr.gov.br/proxy_image_6/Interface/Cameras/GetJPEGStream?Camera=C.084&amp;AuthUser=siscop&amp;AuthPass=Siscop1234&amp;Width=1024&amp;Height=768&amp;Quality=70&amp;FPS=10&amp;ResponseFormat=Text</v>
      </c>
      <c r="P687" s="106">
        <f>Cadastro!$P619</f>
        <v>1</v>
      </c>
    </row>
    <row r="688">
      <c r="A688" s="104" t="str">
        <f>Cadastro!$A620</f>
        <v>GUARATUBA</v>
      </c>
      <c r="B688" s="104" t="str">
        <f>Cadastro!$B620</f>
        <v>GUARATUBA</v>
      </c>
      <c r="C688" s="107" t="str">
        <f>Cadastro!$C620</f>
        <v>https://monitoramento.pm.pr.gov.br/proxy_image_6/</v>
      </c>
      <c r="D688" s="105">
        <f>Cadastro!$D620</f>
        <v>8601</v>
      </c>
      <c r="E688" s="104" t="str">
        <f>Cadastro!$E620</f>
        <v>C.085</v>
      </c>
      <c r="F688" s="104" t="str">
        <f>Cadastro!$F620</f>
        <v>Cruzamento Rua Antonio Rocha x João Prosdócimo (Centro de Eventos)</v>
      </c>
      <c r="G688" s="104" t="str">
        <f>Cadastro!$G620</f>
        <v>-25.874407</v>
      </c>
      <c r="H688" s="104" t="str">
        <f>Cadastro!$H620</f>
        <v>-48.568089</v>
      </c>
      <c r="I688" s="104" t="str">
        <f>Cadastro!$I620</f>
        <v>siscop</v>
      </c>
      <c r="J688" s="104" t="str">
        <f>Cadastro!$J620</f>
        <v>Siscop1234</v>
      </c>
      <c r="K688" s="104" t="s">
        <v>4536</v>
      </c>
      <c r="L688" s="104" t="s">
        <v>26</v>
      </c>
      <c r="M688" s="104" t="s">
        <v>27</v>
      </c>
      <c r="N688" s="108" t="str">
        <f t="shared" si="1"/>
        <v>GUARATUBA</v>
      </c>
      <c r="O688" s="109" t="str">
        <f>Cadastro!$O620</f>
        <v>https://monitoramento.pm.pr.gov.br/proxy_image_6/Interface/Cameras/GetJPEGStream?Camera=C.085&amp;AuthUser=siscop&amp;AuthPass=Siscop1234&amp;Width=1024&amp;Height=768&amp;Quality=70&amp;FPS=10&amp;ResponseFormat=Text</v>
      </c>
      <c r="P688" s="106">
        <f>Cadastro!$P620</f>
        <v>1</v>
      </c>
    </row>
    <row r="689">
      <c r="A689" s="104" t="str">
        <f>Cadastro!$A621</f>
        <v>GUARATUBA</v>
      </c>
      <c r="B689" s="104" t="str">
        <f>Cadastro!$B621</f>
        <v>GUARATUBA</v>
      </c>
      <c r="C689" s="107" t="str">
        <f>Cadastro!$C621</f>
        <v>https://monitoramento.pm.pr.gov.br/proxy_image_6/</v>
      </c>
      <c r="D689" s="105">
        <f>Cadastro!$D621</f>
        <v>8601</v>
      </c>
      <c r="E689" s="104" t="str">
        <f>Cadastro!$E621</f>
        <v>C.086</v>
      </c>
      <c r="F689" s="104" t="str">
        <f>Cadastro!$F621</f>
        <v>Av. Mafra x Rua Joinville (Cohapar) - Escola Heinz Wittitz</v>
      </c>
      <c r="G689" s="104" t="str">
        <f>Cadastro!$G621</f>
        <v>-25.880850</v>
      </c>
      <c r="H689" s="104" t="str">
        <f>Cadastro!$H621</f>
        <v>-48.588589</v>
      </c>
      <c r="I689" s="104" t="str">
        <f>Cadastro!$I621</f>
        <v>siscop</v>
      </c>
      <c r="J689" s="104" t="str">
        <f>Cadastro!$J621</f>
        <v>Siscop1234</v>
      </c>
      <c r="K689" s="104" t="s">
        <v>4536</v>
      </c>
      <c r="L689" s="104" t="s">
        <v>26</v>
      </c>
      <c r="M689" s="104" t="s">
        <v>27</v>
      </c>
      <c r="N689" s="108" t="str">
        <f t="shared" si="1"/>
        <v>GUARATUBA</v>
      </c>
      <c r="O689" s="109" t="str">
        <f>Cadastro!$O621</f>
        <v>https://monitoramento.pm.pr.gov.br/proxy_image_6/Interface/Cameras/GetJPEGStream?Camera=C.086&amp;AuthUser=siscop&amp;AuthPass=Siscop1234&amp;Width=1024&amp;Height=768&amp;Quality=70&amp;FPS=10&amp;ResponseFormat=Text</v>
      </c>
      <c r="P689" s="106">
        <f>Cadastro!$P621</f>
        <v>1</v>
      </c>
    </row>
    <row r="690">
      <c r="A690" s="104" t="str">
        <f>Cadastro!$A622</f>
        <v>GUARATUBA</v>
      </c>
      <c r="B690" s="104" t="str">
        <f>Cadastro!$B622</f>
        <v>GUARATUBA</v>
      </c>
      <c r="C690" s="107" t="str">
        <f>Cadastro!$C622</f>
        <v>https://monitoramento.pm.pr.gov.br/proxy_image_6/</v>
      </c>
      <c r="D690" s="105">
        <f>Cadastro!$D622</f>
        <v>8601</v>
      </c>
      <c r="E690" s="104" t="str">
        <f>Cadastro!$E622</f>
        <v>C.087</v>
      </c>
      <c r="F690" s="104" t="str">
        <f>Cadastro!$F622</f>
        <v>Secretaria Escola Heinz Wittitz - Bairro Cohapar</v>
      </c>
      <c r="G690" s="104" t="str">
        <f>Cadastro!$G622</f>
        <v>-25.880850</v>
      </c>
      <c r="H690" s="104" t="str">
        <f>Cadastro!$H622</f>
        <v>-48.588589</v>
      </c>
      <c r="I690" s="104" t="str">
        <f>Cadastro!$I622</f>
        <v>siscop</v>
      </c>
      <c r="J690" s="104" t="str">
        <f>Cadastro!$J622</f>
        <v>Siscop1234</v>
      </c>
      <c r="K690" s="104" t="s">
        <v>4536</v>
      </c>
      <c r="L690" s="104" t="s">
        <v>26</v>
      </c>
      <c r="M690" s="104" t="s">
        <v>27</v>
      </c>
      <c r="N690" s="108" t="str">
        <f t="shared" si="1"/>
        <v>GUARATUBA</v>
      </c>
      <c r="O690" s="109" t="str">
        <f>Cadastro!$O622</f>
        <v>https://monitoramento.pm.pr.gov.br/proxy_image_6/Interface/Cameras/GetJPEGStream?Camera=C.087&amp;AuthUser=siscop&amp;AuthPass=Siscop1234&amp;Width=1024&amp;Height=768&amp;Quality=70&amp;FPS=10&amp;ResponseFormat=Text</v>
      </c>
      <c r="P690" s="106">
        <f>Cadastro!$P622</f>
        <v>1</v>
      </c>
    </row>
    <row r="691">
      <c r="A691" s="104" t="str">
        <f>Cadastro!$A623</f>
        <v>GUARATUBA</v>
      </c>
      <c r="B691" s="104" t="str">
        <f>Cadastro!$B623</f>
        <v>GUARATUBA</v>
      </c>
      <c r="C691" s="107" t="str">
        <f>Cadastro!$C623</f>
        <v>https://monitoramento.pm.pr.gov.br/proxy_image_6/</v>
      </c>
      <c r="D691" s="105">
        <f>Cadastro!$D623</f>
        <v>8601</v>
      </c>
      <c r="E691" s="104" t="str">
        <f>Cadastro!$E623</f>
        <v>C.088</v>
      </c>
      <c r="F691" s="104" t="str">
        <f>Cadastro!$F623</f>
        <v>Bomba abastecimento frota Pública - Rua Randolfo Bastos - Cohapar</v>
      </c>
      <c r="G691" s="104" t="str">
        <f>Cadastro!$G623</f>
        <v>-25.886488</v>
      </c>
      <c r="H691" s="104" t="str">
        <f>Cadastro!$H623</f>
        <v>-48.590427</v>
      </c>
      <c r="I691" s="104" t="str">
        <f>Cadastro!$I623</f>
        <v>siscop</v>
      </c>
      <c r="J691" s="104" t="str">
        <f>Cadastro!$J623</f>
        <v>Siscop1234</v>
      </c>
      <c r="K691" s="104" t="s">
        <v>4536</v>
      </c>
      <c r="L691" s="104" t="s">
        <v>26</v>
      </c>
      <c r="M691" s="104" t="s">
        <v>27</v>
      </c>
      <c r="N691" s="108" t="str">
        <f t="shared" si="1"/>
        <v>GUARATUBA</v>
      </c>
      <c r="O691" s="109" t="str">
        <f>Cadastro!$O623</f>
        <v>https://monitoramento.pm.pr.gov.br/proxy_image_6/Interface/Cameras/GetJPEGStream?Camera=C.088&amp;AuthUser=siscop&amp;AuthPass=Siscop1234&amp;Width=1024&amp;Height=768&amp;Quality=70&amp;FPS=10&amp;ResponseFormat=Text</v>
      </c>
      <c r="P691" s="106">
        <f>Cadastro!$P623</f>
        <v>1</v>
      </c>
    </row>
    <row r="692">
      <c r="A692" s="104" t="str">
        <f>Cadastro!$A624</f>
        <v>GUARATUBA</v>
      </c>
      <c r="B692" s="104" t="str">
        <f>Cadastro!$B624</f>
        <v>GUARATUBA</v>
      </c>
      <c r="C692" s="107" t="str">
        <f>Cadastro!$C624</f>
        <v>https://monitoramento.pm.pr.gov.br/proxy_image_6/</v>
      </c>
      <c r="D692" s="105">
        <f>Cadastro!$D624</f>
        <v>8601</v>
      </c>
      <c r="E692" s="104" t="str">
        <f>Cadastro!$E624</f>
        <v>C.089</v>
      </c>
      <c r="F692" s="104" t="str">
        <f>Cadastro!$F624</f>
        <v>Oficina Garagem Educação - Rua Octaviano Henrique Carvalho X Rua Marechal Deodoro</v>
      </c>
      <c r="G692" s="104" t="str">
        <f>Cadastro!$G624</f>
        <v>-25.888838</v>
      </c>
      <c r="H692" s="104" t="str">
        <f>Cadastro!$H624</f>
        <v>-48.591488</v>
      </c>
      <c r="I692" s="104" t="str">
        <f>Cadastro!$I624</f>
        <v>siscop</v>
      </c>
      <c r="J692" s="104" t="str">
        <f>Cadastro!$J624</f>
        <v>Siscop1234</v>
      </c>
      <c r="K692" s="104" t="s">
        <v>4536</v>
      </c>
      <c r="L692" s="104" t="s">
        <v>26</v>
      </c>
      <c r="M692" s="104" t="s">
        <v>27</v>
      </c>
      <c r="N692" s="108" t="str">
        <f t="shared" si="1"/>
        <v>GUARATUBA</v>
      </c>
      <c r="O692" s="109" t="str">
        <f>Cadastro!$O624</f>
        <v>https://monitoramento.pm.pr.gov.br/proxy_image_6/Interface/Cameras/GetJPEGStream?Camera=C.089&amp;AuthUser=siscop&amp;AuthPass=Siscop1234&amp;Width=1024&amp;Height=768&amp;Quality=70&amp;FPS=10&amp;ResponseFormat=Text</v>
      </c>
      <c r="P692" s="106">
        <f>Cadastro!$P624</f>
        <v>1</v>
      </c>
    </row>
    <row r="693">
      <c r="A693" s="104" t="str">
        <f>Cadastro!$A625</f>
        <v>GUARATUBA</v>
      </c>
      <c r="B693" s="104" t="str">
        <f>Cadastro!$B625</f>
        <v>GUARATUBA</v>
      </c>
      <c r="C693" s="107" t="str">
        <f>Cadastro!$C625</f>
        <v>https://monitoramento.pm.pr.gov.br/proxy_image_6/</v>
      </c>
      <c r="D693" s="105">
        <f>Cadastro!$D625</f>
        <v>8601</v>
      </c>
      <c r="E693" s="104" t="str">
        <f>Cadastro!$E625</f>
        <v>C.090</v>
      </c>
      <c r="F693" s="104" t="str">
        <f>Cadastro!$F625</f>
        <v>CMEI Samantha Oliveira - Av. Guaira x Av. Ipiranga</v>
      </c>
      <c r="G693" s="104" t="str">
        <f>Cadastro!$G625</f>
        <v>-25.888691</v>
      </c>
      <c r="H693" s="104" t="str">
        <f>Cadastro!$H625</f>
        <v>-48.591846</v>
      </c>
      <c r="I693" s="104" t="str">
        <f>Cadastro!$I625</f>
        <v>siscop</v>
      </c>
      <c r="J693" s="104" t="str">
        <f>Cadastro!$J625</f>
        <v>Siscop1234</v>
      </c>
      <c r="K693" s="104" t="s">
        <v>4536</v>
      </c>
      <c r="L693" s="104" t="s">
        <v>26</v>
      </c>
      <c r="M693" s="104" t="s">
        <v>27</v>
      </c>
      <c r="N693" s="108" t="str">
        <f t="shared" si="1"/>
        <v>GUARATUBA</v>
      </c>
      <c r="O693" s="109" t="str">
        <f>Cadastro!$O625</f>
        <v>https://monitoramento.pm.pr.gov.br/proxy_image_6/Interface/Cameras/GetJPEGStream?Camera=C.090&amp;AuthUser=siscop&amp;AuthPass=Siscop1234&amp;Width=1024&amp;Height=768&amp;Quality=70&amp;FPS=10&amp;ResponseFormat=Text</v>
      </c>
      <c r="P693" s="106">
        <f>Cadastro!$P625</f>
        <v>1</v>
      </c>
    </row>
    <row r="694">
      <c r="A694" s="104" t="str">
        <f>Cadastro!$A626</f>
        <v>GUARATUBA</v>
      </c>
      <c r="B694" s="104" t="str">
        <f>Cadastro!$B626</f>
        <v>GUARATUBA</v>
      </c>
      <c r="C694" s="107" t="str">
        <f>Cadastro!$C626</f>
        <v>https://monitoramento.pm.pr.gov.br/proxy_image_6/</v>
      </c>
      <c r="D694" s="105">
        <f>Cadastro!$D626</f>
        <v>8601</v>
      </c>
      <c r="E694" s="104" t="str">
        <f>Cadastro!$E626</f>
        <v>C.091</v>
      </c>
      <c r="F694" s="104" t="str">
        <f>Cadastro!$F626</f>
        <v>Cruzamento Av. Guaira x Av. Ipiranga (Carvoeiro)</v>
      </c>
      <c r="G694" s="104" t="str">
        <f>Cadastro!$G626</f>
        <v>-25.888630</v>
      </c>
      <c r="H694" s="104" t="str">
        <f>Cadastro!$H626</f>
        <v>-48.592068</v>
      </c>
      <c r="I694" s="104" t="str">
        <f>Cadastro!$I626</f>
        <v>siscop</v>
      </c>
      <c r="J694" s="104" t="str">
        <f>Cadastro!$J626</f>
        <v>Siscop1234</v>
      </c>
      <c r="K694" s="104" t="s">
        <v>4536</v>
      </c>
      <c r="L694" s="104" t="s">
        <v>26</v>
      </c>
      <c r="M694" s="104" t="s">
        <v>27</v>
      </c>
      <c r="N694" s="108" t="str">
        <f t="shared" si="1"/>
        <v>GUARATUBA</v>
      </c>
      <c r="O694" s="109" t="str">
        <f>Cadastro!$O626</f>
        <v>https://monitoramento.pm.pr.gov.br/proxy_image_6/Interface/Cameras/GetJPEGStream?Camera=C.091&amp;AuthUser=siscop&amp;AuthPass=Siscop1234&amp;Width=1024&amp;Height=768&amp;Quality=70&amp;FPS=10&amp;ResponseFormat=Text</v>
      </c>
      <c r="P694" s="106">
        <f>Cadastro!$P626</f>
        <v>1</v>
      </c>
    </row>
    <row r="695">
      <c r="A695" s="104" t="str">
        <f>Cadastro!$A627</f>
        <v>GUARATUBA</v>
      </c>
      <c r="B695" s="104" t="str">
        <f>Cadastro!$B627</f>
        <v>GUARATUBA</v>
      </c>
      <c r="C695" s="107" t="str">
        <f>Cadastro!$C627</f>
        <v>https://monitoramento.pm.pr.gov.br/proxy_image_6/</v>
      </c>
      <c r="D695" s="105">
        <f>Cadastro!$D627</f>
        <v>8601</v>
      </c>
      <c r="E695" s="104" t="str">
        <f>Cadastro!$E627</f>
        <v>C.092</v>
      </c>
      <c r="F695" s="104" t="str">
        <f>Cadastro!$F627</f>
        <v>Gruta da Santa - Rua Nossa Senhora de Lourdes</v>
      </c>
      <c r="G695" s="104" t="str">
        <f>Cadastro!$G627</f>
        <v>-25.873945</v>
      </c>
      <c r="H695" s="104" t="str">
        <f>Cadastro!$H627</f>
        <v>-48.570946</v>
      </c>
      <c r="I695" s="104" t="str">
        <f>Cadastro!$I627</f>
        <v>siscop</v>
      </c>
      <c r="J695" s="104" t="str">
        <f>Cadastro!$J627</f>
        <v>Siscop1234</v>
      </c>
      <c r="K695" s="104" t="s">
        <v>4536</v>
      </c>
      <c r="L695" s="104" t="s">
        <v>26</v>
      </c>
      <c r="M695" s="104" t="s">
        <v>27</v>
      </c>
      <c r="N695" s="108" t="str">
        <f t="shared" si="1"/>
        <v>GUARATUBA</v>
      </c>
      <c r="O695" s="109" t="str">
        <f>Cadastro!$O627</f>
        <v>https://monitoramento.pm.pr.gov.br/proxy_image_6/Interface/Cameras/GetJPEGStream?Camera=C.092&amp;AuthUser=siscop&amp;AuthPass=Siscop1234&amp;Width=1024&amp;Height=768&amp;Quality=70&amp;FPS=10&amp;ResponseFormat=Text</v>
      </c>
      <c r="P695" s="106">
        <f>Cadastro!$P627</f>
        <v>1</v>
      </c>
    </row>
    <row r="696">
      <c r="A696" s="104" t="str">
        <f>Cadastro!$A628</f>
        <v>GUARATUBA</v>
      </c>
      <c r="B696" s="104" t="str">
        <f>Cadastro!$B628</f>
        <v>GUARATUBA</v>
      </c>
      <c r="C696" s="107" t="str">
        <f>Cadastro!$C628</f>
        <v>https://monitoramento.pm.pr.gov.br/proxy_image_6/</v>
      </c>
      <c r="D696" s="105">
        <f>Cadastro!$D628</f>
        <v>8601</v>
      </c>
      <c r="E696" s="104" t="str">
        <f>Cadastro!$E628</f>
        <v>C.093</v>
      </c>
      <c r="F696" s="104" t="str">
        <f>Cadastro!$F628</f>
        <v>Colégio 29 de Abril Cívico Militar - Rua Nossa Senhora de Lourdes</v>
      </c>
      <c r="G696" s="104" t="str">
        <f>Cadastro!$G628</f>
        <v>-25.874317</v>
      </c>
      <c r="H696" s="104" t="str">
        <f>Cadastro!$H628</f>
        <v>-48.571007</v>
      </c>
      <c r="I696" s="104" t="str">
        <f>Cadastro!$I628</f>
        <v>siscop</v>
      </c>
      <c r="J696" s="104" t="str">
        <f>Cadastro!$J628</f>
        <v>Siscop1234</v>
      </c>
      <c r="K696" s="104" t="s">
        <v>4536</v>
      </c>
      <c r="L696" s="104" t="s">
        <v>26</v>
      </c>
      <c r="M696" s="104" t="s">
        <v>27</v>
      </c>
      <c r="N696" s="108" t="str">
        <f t="shared" si="1"/>
        <v>GUARATUBA</v>
      </c>
      <c r="O696" s="109" t="str">
        <f>Cadastro!$O628</f>
        <v>https://monitoramento.pm.pr.gov.br/proxy_image_6/Interface/Cameras/GetJPEGStream?Camera=C.093&amp;AuthUser=siscop&amp;AuthPass=Siscop1234&amp;Width=1024&amp;Height=768&amp;Quality=70&amp;FPS=10&amp;ResponseFormat=Text</v>
      </c>
      <c r="P696" s="106">
        <f>Cadastro!$P628</f>
        <v>1</v>
      </c>
    </row>
    <row r="697">
      <c r="A697" s="104" t="str">
        <f>Cadastro!$A629</f>
        <v>GUARATUBA</v>
      </c>
      <c r="B697" s="104" t="str">
        <f>Cadastro!$B629</f>
        <v>GUARATUBA</v>
      </c>
      <c r="C697" s="107" t="str">
        <f>Cadastro!$C629</f>
        <v>https://monitoramento.pm.pr.gov.br/proxy_image_6/</v>
      </c>
      <c r="D697" s="105">
        <f>Cadastro!$D629</f>
        <v>8601</v>
      </c>
      <c r="E697" s="104" t="str">
        <f>Cadastro!$E629</f>
        <v>C.094</v>
      </c>
      <c r="F697" s="104" t="str">
        <f>Cadastro!$F629</f>
        <v>Cruzamento Av. Randolfo Bastos x Av. Paranavaí - Piçarras</v>
      </c>
      <c r="G697" s="104" t="str">
        <f>Cadastro!$G629</f>
        <v>-25.880222</v>
      </c>
      <c r="H697" s="104" t="str">
        <f>Cadastro!$H629</f>
        <v>-48.592957</v>
      </c>
      <c r="I697" s="104" t="str">
        <f>Cadastro!$I629</f>
        <v>siscop</v>
      </c>
      <c r="J697" s="104" t="str">
        <f>Cadastro!$J629</f>
        <v>Siscop1234</v>
      </c>
      <c r="K697" s="104" t="s">
        <v>4536</v>
      </c>
      <c r="L697" s="104" t="s">
        <v>26</v>
      </c>
      <c r="M697" s="104" t="s">
        <v>27</v>
      </c>
      <c r="N697" s="108" t="str">
        <f t="shared" si="1"/>
        <v>GUARATUBA</v>
      </c>
      <c r="O697" s="109" t="str">
        <f>Cadastro!$O629</f>
        <v>https://monitoramento.pm.pr.gov.br/proxy_image_6/Interface/Cameras/GetJPEGStream?Camera=C.094&amp;AuthUser=siscop&amp;AuthPass=Siscop1234&amp;Width=1024&amp;Height=768&amp;Quality=70&amp;FPS=10&amp;ResponseFormat=Text</v>
      </c>
      <c r="P697" s="106">
        <f>Cadastro!$P629</f>
        <v>1</v>
      </c>
    </row>
    <row r="698">
      <c r="A698" s="104" t="str">
        <f>Cadastro!$A630</f>
        <v>GUARATUBA</v>
      </c>
      <c r="B698" s="104" t="str">
        <f>Cadastro!$B630</f>
        <v>GUARATUBA</v>
      </c>
      <c r="C698" s="107" t="str">
        <f>Cadastro!$C630</f>
        <v>https://monitoramento.pm.pr.gov.br/proxy_image_6/</v>
      </c>
      <c r="D698" s="105">
        <f>Cadastro!$D630</f>
        <v>8601</v>
      </c>
      <c r="E698" s="104" t="str">
        <f>Cadastro!$E630</f>
        <v>C.095</v>
      </c>
      <c r="F698" s="104" t="str">
        <f>Cadastro!$F630</f>
        <v>UBS Mirim - Saguão - Av. Rocha Pombo, 264 x Av. Guaratuba</v>
      </c>
      <c r="G698" s="104" t="str">
        <f>Cadastro!$G630</f>
        <v>-25.879568</v>
      </c>
      <c r="H698" s="104" t="str">
        <f>Cadastro!$H630</f>
        <v>-48.617569</v>
      </c>
      <c r="I698" s="104" t="str">
        <f>Cadastro!$I630</f>
        <v>siscop</v>
      </c>
      <c r="J698" s="104" t="str">
        <f>Cadastro!$J630</f>
        <v>Siscop1234</v>
      </c>
      <c r="K698" s="104" t="s">
        <v>4536</v>
      </c>
      <c r="L698" s="104" t="s">
        <v>26</v>
      </c>
      <c r="M698" s="104" t="s">
        <v>27</v>
      </c>
      <c r="N698" s="108" t="str">
        <f t="shared" si="1"/>
        <v>GUARATUBA</v>
      </c>
      <c r="O698" s="109" t="str">
        <f>Cadastro!$O630</f>
        <v>https://monitoramento.pm.pr.gov.br/proxy_image_6/Interface/Cameras/GetJPEGStream?Camera=C.095&amp;AuthUser=siscop&amp;AuthPass=Siscop1234&amp;Width=1024&amp;Height=768&amp;Quality=70&amp;FPS=10&amp;ResponseFormat=Text</v>
      </c>
      <c r="P698" s="106">
        <f>Cadastro!$P630</f>
        <v>1</v>
      </c>
    </row>
    <row r="699">
      <c r="A699" s="104" t="str">
        <f>Cadastro!$A631</f>
        <v>GUARATUBA</v>
      </c>
      <c r="B699" s="104" t="str">
        <f>Cadastro!$B631</f>
        <v>GUARATUBA</v>
      </c>
      <c r="C699" s="107" t="str">
        <f>Cadastro!$C631</f>
        <v>https://monitoramento.pm.pr.gov.br/proxy_image_6/</v>
      </c>
      <c r="D699" s="105">
        <f>Cadastro!$D631</f>
        <v>8601</v>
      </c>
      <c r="E699" s="104" t="str">
        <f>Cadastro!$E631</f>
        <v>C.096</v>
      </c>
      <c r="F699" s="104" t="str">
        <f>Cadastro!$F631</f>
        <v>Terminal Rodoviário - Pátio cadeiras</v>
      </c>
      <c r="G699" s="104" t="str">
        <f>Cadastro!$G631</f>
        <v>-25.877375</v>
      </c>
      <c r="H699" s="104" t="str">
        <f>Cadastro!$H631</f>
        <v>-48.584259</v>
      </c>
      <c r="I699" s="104" t="str">
        <f>Cadastro!$I631</f>
        <v>siscop</v>
      </c>
      <c r="J699" s="104" t="str">
        <f>Cadastro!$J631</f>
        <v>Siscop1234</v>
      </c>
      <c r="K699" s="104" t="s">
        <v>4536</v>
      </c>
      <c r="L699" s="104" t="s">
        <v>26</v>
      </c>
      <c r="M699" s="104" t="s">
        <v>27</v>
      </c>
      <c r="N699" s="108" t="str">
        <f t="shared" si="1"/>
        <v>GUARATUBA</v>
      </c>
      <c r="O699" s="109" t="str">
        <f>Cadastro!$O631</f>
        <v>https://monitoramento.pm.pr.gov.br/proxy_image_6/Interface/Cameras/GetJPEGStream?Camera=C.096&amp;AuthUser=siscop&amp;AuthPass=Siscop1234&amp;Width=1024&amp;Height=768&amp;Quality=70&amp;FPS=10&amp;ResponseFormat=Text</v>
      </c>
      <c r="P699" s="106">
        <f>Cadastro!$P631</f>
        <v>1</v>
      </c>
    </row>
    <row r="700">
      <c r="A700" s="104" t="str">
        <f>Cadastro!$A632</f>
        <v>GUARATUBA</v>
      </c>
      <c r="B700" s="104" t="str">
        <f>Cadastro!$B632</f>
        <v>GUARATUBA</v>
      </c>
      <c r="C700" s="107" t="str">
        <f>Cadastro!$C632</f>
        <v>https://monitoramento.pm.pr.gov.br/proxy_image_6/</v>
      </c>
      <c r="D700" s="105">
        <f>Cadastro!$D632</f>
        <v>8601</v>
      </c>
      <c r="E700" s="104" t="str">
        <f>Cadastro!$E632</f>
        <v>C.097</v>
      </c>
      <c r="F700" s="104" t="str">
        <f>Cadastro!$F632</f>
        <v>Terminal Rodoviário - Embarque ônibus</v>
      </c>
      <c r="G700" s="104" t="str">
        <f>Cadastro!$G632</f>
        <v>-25.877375</v>
      </c>
      <c r="H700" s="104" t="str">
        <f>Cadastro!$H632</f>
        <v>-48.584259</v>
      </c>
      <c r="I700" s="104" t="str">
        <f>Cadastro!$I632</f>
        <v>siscop</v>
      </c>
      <c r="J700" s="104" t="str">
        <f>Cadastro!$J632</f>
        <v>Siscop1234</v>
      </c>
      <c r="K700" s="104" t="s">
        <v>4536</v>
      </c>
      <c r="L700" s="104" t="s">
        <v>26</v>
      </c>
      <c r="M700" s="104" t="s">
        <v>27</v>
      </c>
      <c r="N700" s="108" t="str">
        <f t="shared" si="1"/>
        <v>GUARATUBA</v>
      </c>
      <c r="O700" s="109" t="str">
        <f>Cadastro!$O632</f>
        <v>https://monitoramento.pm.pr.gov.br/proxy_image_6/Interface/Cameras/GetJPEGStream?Camera=C.097&amp;AuthUser=siscop&amp;AuthPass=Siscop1234&amp;Width=1024&amp;Height=768&amp;Quality=70&amp;FPS=10&amp;ResponseFormat=Text</v>
      </c>
      <c r="P700" s="106">
        <f>Cadastro!$P632</f>
        <v>1</v>
      </c>
    </row>
    <row r="701">
      <c r="A701" s="104" t="str">
        <f>Cadastro!$A633</f>
        <v>GUARATUBA</v>
      </c>
      <c r="B701" s="104" t="str">
        <f>Cadastro!$B633</f>
        <v>GUARATUBA</v>
      </c>
      <c r="C701" s="107" t="str">
        <f>Cadastro!$C633</f>
        <v>https://monitoramento.pm.pr.gov.br/proxy_image_6/</v>
      </c>
      <c r="D701" s="105">
        <f>Cadastro!$D633</f>
        <v>8601</v>
      </c>
      <c r="E701" s="104" t="str">
        <f>Cadastro!$E633</f>
        <v>C.098</v>
      </c>
      <c r="F701" s="104" t="str">
        <f>Cadastro!$F633</f>
        <v>Terminal Rodoviário - Embarque ônibus sentido estacionamento</v>
      </c>
      <c r="G701" s="104" t="str">
        <f>Cadastro!$G633</f>
        <v>-25.877375</v>
      </c>
      <c r="H701" s="104" t="str">
        <f>Cadastro!$H633</f>
        <v>-48.584259</v>
      </c>
      <c r="I701" s="104" t="str">
        <f>Cadastro!$I633</f>
        <v>siscop</v>
      </c>
      <c r="J701" s="104" t="str">
        <f>Cadastro!$J633</f>
        <v>Siscop1234</v>
      </c>
      <c r="K701" s="104" t="s">
        <v>4536</v>
      </c>
      <c r="L701" s="104" t="s">
        <v>26</v>
      </c>
      <c r="M701" s="104" t="s">
        <v>27</v>
      </c>
      <c r="N701" s="108" t="str">
        <f t="shared" si="1"/>
        <v>GUARATUBA</v>
      </c>
      <c r="O701" s="109" t="str">
        <f>Cadastro!$O633</f>
        <v>https://monitoramento.pm.pr.gov.br/proxy_image_6/Interface/Cameras/GetJPEGStream?Camera=C.098&amp;AuthUser=siscop&amp;AuthPass=Siscop1234&amp;Width=1024&amp;Height=768&amp;Quality=70&amp;FPS=10&amp;ResponseFormat=Text</v>
      </c>
      <c r="P701" s="106">
        <f>Cadastro!$P633</f>
        <v>1</v>
      </c>
    </row>
    <row r="702">
      <c r="A702" s="104" t="str">
        <f>Cadastro!$A634</f>
        <v>GUARATUBA</v>
      </c>
      <c r="B702" s="104" t="str">
        <f>Cadastro!$B634</f>
        <v>GUARATUBA</v>
      </c>
      <c r="C702" s="107" t="str">
        <f>Cadastro!$C634</f>
        <v>https://monitoramento.pm.pr.gov.br/proxy_image_6/</v>
      </c>
      <c r="D702" s="105">
        <f>Cadastro!$D634</f>
        <v>8601</v>
      </c>
      <c r="E702" s="104" t="str">
        <f>Cadastro!$E634</f>
        <v>C.099</v>
      </c>
      <c r="F702" s="104" t="str">
        <f>Cadastro!$F634</f>
        <v>Terminal Rodoviário - Embarque taxis</v>
      </c>
      <c r="G702" s="104" t="str">
        <f>Cadastro!$G634</f>
        <v>-25.877375</v>
      </c>
      <c r="H702" s="104" t="str">
        <f>Cadastro!$H634</f>
        <v>-48.584259</v>
      </c>
      <c r="I702" s="104" t="str">
        <f>Cadastro!$I634</f>
        <v>siscop</v>
      </c>
      <c r="J702" s="104" t="str">
        <f>Cadastro!$J634</f>
        <v>Siscop1234</v>
      </c>
      <c r="K702" s="104" t="s">
        <v>4536</v>
      </c>
      <c r="L702" s="104" t="s">
        <v>26</v>
      </c>
      <c r="M702" s="104" t="s">
        <v>27</v>
      </c>
      <c r="N702" s="108" t="str">
        <f t="shared" si="1"/>
        <v>GUARATUBA</v>
      </c>
      <c r="O702" s="109" t="str">
        <f>Cadastro!$O634</f>
        <v>https://monitoramento.pm.pr.gov.br/proxy_image_6/Interface/Cameras/GetJPEGStream?Camera=C.099&amp;AuthUser=siscop&amp;AuthPass=Siscop1234&amp;Width=1024&amp;Height=768&amp;Quality=70&amp;FPS=10&amp;ResponseFormat=Text</v>
      </c>
      <c r="P702" s="106">
        <f>Cadastro!$P634</f>
        <v>1</v>
      </c>
    </row>
    <row r="703">
      <c r="A703" s="104" t="str">
        <f>Cadastro!$A635</f>
        <v>GUARATUBA</v>
      </c>
      <c r="B703" s="104" t="str">
        <f>Cadastro!$B635</f>
        <v>GUARATUBA</v>
      </c>
      <c r="C703" s="107" t="str">
        <f>Cadastro!$C635</f>
        <v>https://monitoramento.pm.pr.gov.br/proxy_image_6/</v>
      </c>
      <c r="D703" s="105">
        <f>Cadastro!$D635</f>
        <v>8601</v>
      </c>
      <c r="E703" s="104" t="str">
        <f>Cadastro!$E635</f>
        <v>C.100</v>
      </c>
      <c r="F703" s="104" t="str">
        <f>Cadastro!$F635</f>
        <v>Cruzamento Rua Dr. João Cândido x Av. Vieira dos Santos (Banco Itau)</v>
      </c>
      <c r="G703" s="104" t="str">
        <f>Cadastro!$G635</f>
        <v>-25.874987</v>
      </c>
      <c r="H703" s="104" t="str">
        <f>Cadastro!$H635</f>
        <v>-48.576019</v>
      </c>
      <c r="I703" s="104" t="str">
        <f>Cadastro!$I635</f>
        <v>siscop</v>
      </c>
      <c r="J703" s="104" t="str">
        <f>Cadastro!$J635</f>
        <v>Siscop1234</v>
      </c>
      <c r="K703" s="104" t="s">
        <v>4536</v>
      </c>
      <c r="L703" s="104" t="s">
        <v>26</v>
      </c>
      <c r="M703" s="104" t="s">
        <v>27</v>
      </c>
      <c r="N703" s="108" t="str">
        <f t="shared" si="1"/>
        <v>GUARATUBA</v>
      </c>
      <c r="O703" s="109" t="str">
        <f>Cadastro!$O635</f>
        <v>https://monitoramento.pm.pr.gov.br/proxy_image_6/Interface/Cameras/GetJPEGStream?Camera=C.100&amp;AuthUser=siscop&amp;AuthPass=Siscop1234&amp;Width=1024&amp;Height=768&amp;Quality=70&amp;FPS=10&amp;ResponseFormat=Text</v>
      </c>
      <c r="P703" s="106">
        <f>Cadastro!$P635</f>
        <v>1</v>
      </c>
    </row>
    <row r="704">
      <c r="A704" s="104" t="str">
        <f>Cadastro!$A636</f>
        <v>GUARATUBA</v>
      </c>
      <c r="B704" s="104" t="str">
        <f>Cadastro!$B636</f>
        <v>GUARATUBA</v>
      </c>
      <c r="C704" s="107" t="str">
        <f>Cadastro!$C636</f>
        <v>https://monitoramento.pm.pr.gov.br/proxy_image_6/</v>
      </c>
      <c r="D704" s="105">
        <f>Cadastro!$D636</f>
        <v>8601</v>
      </c>
      <c r="E704" s="104" t="str">
        <f>Cadastro!$E636</f>
        <v>C.101</v>
      </c>
      <c r="F704" s="104" t="str">
        <f>Cadastro!$F636</f>
        <v>Saguão Secretaria de Educação</v>
      </c>
      <c r="G704" s="104" t="str">
        <f>Cadastro!$G636</f>
        <v>-25.874737</v>
      </c>
      <c r="H704" s="104" t="str">
        <f>Cadastro!$H636</f>
        <v>-48.576069</v>
      </c>
      <c r="I704" s="104" t="str">
        <f>Cadastro!$I636</f>
        <v>siscop</v>
      </c>
      <c r="J704" s="104" t="str">
        <f>Cadastro!$J636</f>
        <v>Siscop1234</v>
      </c>
      <c r="K704" s="104" t="s">
        <v>4536</v>
      </c>
      <c r="L704" s="104" t="s">
        <v>26</v>
      </c>
      <c r="M704" s="104" t="s">
        <v>27</v>
      </c>
      <c r="N704" s="108" t="str">
        <f t="shared" si="1"/>
        <v>GUARATUBA</v>
      </c>
      <c r="O704" s="109" t="str">
        <f>Cadastro!$O636</f>
        <v>https://monitoramento.pm.pr.gov.br/proxy_image_6/Interface/Cameras/GetJPEGStream?Camera=C.101&amp;AuthUser=siscop&amp;AuthPass=Siscop1234&amp;Width=1024&amp;Height=768&amp;Quality=70&amp;FPS=10&amp;ResponseFormat=Text</v>
      </c>
      <c r="P704" s="106">
        <f>Cadastro!$P636</f>
        <v>1</v>
      </c>
    </row>
    <row r="705">
      <c r="A705" s="104" t="str">
        <f>Cadastro!$A637</f>
        <v>GUARATUBA</v>
      </c>
      <c r="B705" s="104" t="str">
        <f>Cadastro!$B637</f>
        <v>GUARATUBA</v>
      </c>
      <c r="C705" s="107" t="str">
        <f>Cadastro!$C637</f>
        <v>https://monitoramento.pm.pr.gov.br/proxy_image_6/</v>
      </c>
      <c r="D705" s="105">
        <f>Cadastro!$D637</f>
        <v>8601</v>
      </c>
      <c r="E705" s="104" t="str">
        <f>Cadastro!$E637</f>
        <v>C.102</v>
      </c>
      <c r="F705" s="104" t="str">
        <f>Cadastro!$F637</f>
        <v>Saguão Secretaria de Saúde</v>
      </c>
      <c r="G705" s="104" t="str">
        <f>Cadastro!$G637</f>
        <v>-25.876234</v>
      </c>
      <c r="H705" s="104" t="str">
        <f>Cadastro!$H637</f>
        <v>-48.576450</v>
      </c>
      <c r="I705" s="104" t="str">
        <f>Cadastro!$I637</f>
        <v>siscop</v>
      </c>
      <c r="J705" s="104" t="str">
        <f>Cadastro!$J637</f>
        <v>Siscop1234</v>
      </c>
      <c r="K705" s="104" t="s">
        <v>4536</v>
      </c>
      <c r="L705" s="104" t="s">
        <v>26</v>
      </c>
      <c r="M705" s="104" t="s">
        <v>27</v>
      </c>
      <c r="N705" s="108" t="str">
        <f t="shared" si="1"/>
        <v>GUARATUBA</v>
      </c>
      <c r="O705" s="109" t="str">
        <f>Cadastro!$O637</f>
        <v>https://monitoramento.pm.pr.gov.br/proxy_image_6/Interface/Cameras/GetJPEGStream?Camera=C.102&amp;AuthUser=siscop&amp;AuthPass=Siscop1234&amp;Width=1024&amp;Height=768&amp;Quality=70&amp;FPS=10&amp;ResponseFormat=Text</v>
      </c>
      <c r="P705" s="106">
        <f>Cadastro!$P637</f>
        <v>1</v>
      </c>
    </row>
    <row r="706">
      <c r="A706" s="104" t="str">
        <f>Cadastro!$A638</f>
        <v>GUARATUBA</v>
      </c>
      <c r="B706" s="104" t="str">
        <f>Cadastro!$B638</f>
        <v>GUARATUBA</v>
      </c>
      <c r="C706" s="107" t="str">
        <f>Cadastro!$C638</f>
        <v>https://monitoramento.pm.pr.gov.br/proxy_image_6/</v>
      </c>
      <c r="D706" s="105">
        <f>Cadastro!$D638</f>
        <v>8601</v>
      </c>
      <c r="E706" s="104" t="str">
        <f>Cadastro!$E638</f>
        <v>C.103</v>
      </c>
      <c r="F706" s="104" t="str">
        <f>Cadastro!$F638</f>
        <v>Cruzamento Av. Ponta Grossa x Rua Cel Carlos Mafra</v>
      </c>
      <c r="G706" s="104" t="str">
        <f>Cadastro!$G638</f>
        <v>-25.876245</v>
      </c>
      <c r="H706" s="104" t="str">
        <f>Cadastro!$H638</f>
        <v>-48.576172</v>
      </c>
      <c r="I706" s="104" t="str">
        <f>Cadastro!$I638</f>
        <v>siscop</v>
      </c>
      <c r="J706" s="104" t="str">
        <f>Cadastro!$J638</f>
        <v>Siscop1234</v>
      </c>
      <c r="K706" s="104" t="s">
        <v>4536</v>
      </c>
      <c r="L706" s="104" t="s">
        <v>26</v>
      </c>
      <c r="M706" s="104" t="s">
        <v>27</v>
      </c>
      <c r="N706" s="108" t="str">
        <f t="shared" si="1"/>
        <v>GUARATUBA</v>
      </c>
      <c r="O706" s="109" t="str">
        <f>Cadastro!$O638</f>
        <v>https://monitoramento.pm.pr.gov.br/proxy_image_6/Interface/Cameras/GetJPEGStream?Camera=C.103&amp;AuthUser=siscop&amp;AuthPass=Siscop1234&amp;Width=1024&amp;Height=768&amp;Quality=70&amp;FPS=10&amp;ResponseFormat=Text</v>
      </c>
      <c r="P706" s="106">
        <f>Cadastro!$P638</f>
        <v>1</v>
      </c>
    </row>
    <row r="707">
      <c r="A707" s="104" t="str">
        <f>Cadastro!$A639</f>
        <v>GUARATUBA</v>
      </c>
      <c r="B707" s="104" t="str">
        <f>Cadastro!$B639</f>
        <v>GUARATUBA</v>
      </c>
      <c r="C707" s="107" t="str">
        <f>Cadastro!$C639</f>
        <v>https://monitoramento.pm.pr.gov.br/proxy_image_6/</v>
      </c>
      <c r="D707" s="105">
        <f>Cadastro!$D639</f>
        <v>8601</v>
      </c>
      <c r="E707" s="104" t="str">
        <f>Cadastro!$E639</f>
        <v>C.104</v>
      </c>
      <c r="F707" s="104" t="str">
        <f>Cadastro!$F639</f>
        <v>Recepção Secretaria da Pesca</v>
      </c>
      <c r="G707" s="104" t="str">
        <f>Cadastro!$G639</f>
        <v>-25.874832</v>
      </c>
      <c r="H707" s="104" t="str">
        <f>Cadastro!$H639</f>
        <v>-48.568993</v>
      </c>
      <c r="I707" s="104" t="str">
        <f>Cadastro!$I639</f>
        <v>siscop</v>
      </c>
      <c r="J707" s="104" t="str">
        <f>Cadastro!$J639</f>
        <v>Siscop1234</v>
      </c>
      <c r="K707" s="104" t="s">
        <v>4536</v>
      </c>
      <c r="L707" s="104" t="s">
        <v>26</v>
      </c>
      <c r="M707" s="104" t="s">
        <v>27</v>
      </c>
      <c r="N707" s="108" t="str">
        <f t="shared" si="1"/>
        <v>GUARATUBA</v>
      </c>
      <c r="O707" s="109" t="str">
        <f>Cadastro!$O639</f>
        <v>https://monitoramento.pm.pr.gov.br/proxy_image_6/Interface/Cameras/GetJPEGStream?Camera=C.104&amp;AuthUser=siscop&amp;AuthPass=Siscop1234&amp;Width=1024&amp;Height=768&amp;Quality=70&amp;FPS=10&amp;ResponseFormat=Text</v>
      </c>
      <c r="P707" s="106">
        <f>Cadastro!$P639</f>
        <v>1</v>
      </c>
    </row>
    <row r="708">
      <c r="A708" s="104" t="str">
        <f>Cadastro!$A640</f>
        <v>GUARATUBA</v>
      </c>
      <c r="B708" s="104" t="str">
        <f>Cadastro!$B640</f>
        <v>GUARATUBA</v>
      </c>
      <c r="C708" s="107" t="str">
        <f>Cadastro!$C640</f>
        <v>https://monitoramento.pm.pr.gov.br/proxy_image_6/</v>
      </c>
      <c r="D708" s="105">
        <f>Cadastro!$D640</f>
        <v>8601</v>
      </c>
      <c r="E708" s="104" t="str">
        <f>Cadastro!$E640</f>
        <v>C.105</v>
      </c>
      <c r="F708" s="104" t="str">
        <f>Cadastro!$F640</f>
        <v>Centro de Eventos - Pavilhão 01 - Rua Antonio Rocha</v>
      </c>
      <c r="G708" s="104" t="str">
        <f>Cadastro!$G640</f>
        <v>-25.874611</v>
      </c>
      <c r="H708" s="104" t="str">
        <f>Cadastro!$H640</f>
        <v>-48.568630</v>
      </c>
      <c r="I708" s="104" t="str">
        <f>Cadastro!$I640</f>
        <v>siscop</v>
      </c>
      <c r="J708" s="104" t="str">
        <f>Cadastro!$J640</f>
        <v>Siscop1234</v>
      </c>
      <c r="K708" s="104" t="s">
        <v>4536</v>
      </c>
      <c r="L708" s="104" t="s">
        <v>26</v>
      </c>
      <c r="M708" s="104" t="s">
        <v>27</v>
      </c>
      <c r="N708" s="108" t="str">
        <f t="shared" si="1"/>
        <v>GUARATUBA</v>
      </c>
      <c r="O708" s="109" t="str">
        <f>Cadastro!$O640</f>
        <v>https://monitoramento.pm.pr.gov.br/proxy_image_6/Interface/Cameras/GetJPEGStream?Camera=C.105&amp;AuthUser=siscop&amp;AuthPass=Siscop1234&amp;Width=1024&amp;Height=768&amp;Quality=70&amp;FPS=10&amp;ResponseFormat=Text</v>
      </c>
      <c r="P708" s="106">
        <f>Cadastro!$P640</f>
        <v>1</v>
      </c>
    </row>
    <row r="709">
      <c r="A709" s="104" t="str">
        <f>Cadastro!$A641</f>
        <v>GUARATUBA</v>
      </c>
      <c r="B709" s="104" t="str">
        <f>Cadastro!$B641</f>
        <v>GUARATUBA</v>
      </c>
      <c r="C709" s="107" t="str">
        <f>Cadastro!$C641</f>
        <v>https://monitoramento.pm.pr.gov.br/proxy_image_6/</v>
      </c>
      <c r="D709" s="105">
        <f>Cadastro!$D641</f>
        <v>8601</v>
      </c>
      <c r="E709" s="104" t="str">
        <f>Cadastro!$E641</f>
        <v>C.106</v>
      </c>
      <c r="F709" s="104" t="str">
        <f>Cadastro!$F641</f>
        <v>Centro de Eventos - Pavilhão 02 - Rua Antonio Rocha</v>
      </c>
      <c r="G709" s="104" t="str">
        <f>Cadastro!$G641</f>
        <v>-25.874594</v>
      </c>
      <c r="H709" s="104" t="str">
        <f>Cadastro!$H641</f>
        <v>-48.568382</v>
      </c>
      <c r="I709" s="104" t="str">
        <f>Cadastro!$I641</f>
        <v>siscop</v>
      </c>
      <c r="J709" s="104" t="str">
        <f>Cadastro!$J641</f>
        <v>Siscop1234</v>
      </c>
      <c r="K709" s="104" t="s">
        <v>4536</v>
      </c>
      <c r="L709" s="104" t="s">
        <v>26</v>
      </c>
      <c r="M709" s="104" t="s">
        <v>27</v>
      </c>
      <c r="N709" s="108" t="str">
        <f t="shared" si="1"/>
        <v>GUARATUBA</v>
      </c>
      <c r="O709" s="109" t="str">
        <f>Cadastro!$O641</f>
        <v>https://monitoramento.pm.pr.gov.br/proxy_image_6/Interface/Cameras/GetJPEGStream?Camera=C.106&amp;AuthUser=siscop&amp;AuthPass=Siscop1234&amp;Width=1024&amp;Height=768&amp;Quality=70&amp;FPS=10&amp;ResponseFormat=Text</v>
      </c>
      <c r="P709" s="106">
        <f>Cadastro!$P641</f>
        <v>1</v>
      </c>
    </row>
    <row r="710">
      <c r="A710" s="104" t="str">
        <f>Cadastro!$A642</f>
        <v>GUARATUBA</v>
      </c>
      <c r="B710" s="104" t="str">
        <f>Cadastro!$B642</f>
        <v>GUARATUBA</v>
      </c>
      <c r="C710" s="107" t="str">
        <f>Cadastro!$C642</f>
        <v>https://monitoramento.pm.pr.gov.br/proxy_image_6/</v>
      </c>
      <c r="D710" s="105">
        <f>Cadastro!$D642</f>
        <v>8601</v>
      </c>
      <c r="E710" s="104" t="str">
        <f>Cadastro!$E642</f>
        <v>C.107</v>
      </c>
      <c r="F710" s="104" t="str">
        <f>Cadastro!$F642</f>
        <v>Quiosque Por do Sol - Baia de Guaratuba - Praça dos Namorados</v>
      </c>
      <c r="G710" s="104" t="str">
        <f>Cadastro!$G642</f>
        <v>-25.872696</v>
      </c>
      <c r="H710" s="104" t="str">
        <f>Cadastro!$H642</f>
        <v>-48.576397</v>
      </c>
      <c r="I710" s="104" t="str">
        <f>Cadastro!$I642</f>
        <v>siscop</v>
      </c>
      <c r="J710" s="104" t="str">
        <f>Cadastro!$J642</f>
        <v>Siscop1234</v>
      </c>
      <c r="K710" s="104" t="s">
        <v>4536</v>
      </c>
      <c r="L710" s="104" t="s">
        <v>26</v>
      </c>
      <c r="M710" s="104" t="s">
        <v>27</v>
      </c>
      <c r="N710" s="108" t="str">
        <f t="shared" si="1"/>
        <v>GUARATUBA</v>
      </c>
      <c r="O710" s="109" t="str">
        <f>Cadastro!$O642</f>
        <v>https://monitoramento.pm.pr.gov.br/proxy_image_6/Interface/Cameras/GetJPEGStream?Camera=C.107&amp;AuthUser=siscop&amp;AuthPass=Siscop1234&amp;Width=1024&amp;Height=768&amp;Quality=70&amp;FPS=10&amp;ResponseFormat=Text</v>
      </c>
      <c r="P710" s="106">
        <f>Cadastro!$P642</f>
        <v>1</v>
      </c>
    </row>
    <row r="711">
      <c r="A711" s="104" t="str">
        <f>Cadastro!$A643</f>
        <v>GUARATUBA</v>
      </c>
      <c r="B711" s="104" t="str">
        <f>Cadastro!$B643</f>
        <v>GUARATUBA</v>
      </c>
      <c r="C711" s="107" t="str">
        <f>Cadastro!$C643</f>
        <v>https://monitoramento.pm.pr.gov.br/proxy_image_6/</v>
      </c>
      <c r="D711" s="105">
        <f>Cadastro!$D643</f>
        <v>8601</v>
      </c>
      <c r="E711" s="104" t="str">
        <f>Cadastro!$E643</f>
        <v>C.108</v>
      </c>
      <c r="F711" s="104" t="str">
        <f>Cadastro!$F643</f>
        <v>Terminal Pesqueiro - Azzu - Sentido Praça Central</v>
      </c>
      <c r="G711" s="104" t="str">
        <f>Cadastro!$G643</f>
        <v>-25.872679</v>
      </c>
      <c r="H711" s="104" t="str">
        <f>Cadastro!$H643</f>
        <v>-48.576340</v>
      </c>
      <c r="I711" s="104" t="str">
        <f>Cadastro!$I643</f>
        <v>siscop</v>
      </c>
      <c r="J711" s="104" t="str">
        <f>Cadastro!$J643</f>
        <v>Siscop1234</v>
      </c>
      <c r="K711" s="104" t="s">
        <v>4536</v>
      </c>
      <c r="L711" s="104" t="s">
        <v>26</v>
      </c>
      <c r="M711" s="104" t="s">
        <v>27</v>
      </c>
      <c r="N711" s="108" t="str">
        <f t="shared" si="1"/>
        <v>GUARATUBA</v>
      </c>
      <c r="O711" s="109" t="str">
        <f>Cadastro!$O643</f>
        <v>https://monitoramento.pm.pr.gov.br/proxy_image_6/Interface/Cameras/GetJPEGStream?Camera=C.108&amp;AuthUser=siscop&amp;AuthPass=Siscop1234&amp;Width=1024&amp;Height=768&amp;Quality=70&amp;FPS=10&amp;ResponseFormat=Text</v>
      </c>
      <c r="P711" s="106">
        <f>Cadastro!$P643</f>
        <v>1</v>
      </c>
    </row>
    <row r="712">
      <c r="A712" s="104" t="str">
        <f>Cadastro!$A644</f>
        <v>GUARATUBA</v>
      </c>
      <c r="B712" s="104" t="str">
        <f>Cadastro!$B644</f>
        <v>GUARATUBA</v>
      </c>
      <c r="C712" s="107" t="str">
        <f>Cadastro!$C644</f>
        <v>https://monitoramento.pm.pr.gov.br/proxy_image_6/</v>
      </c>
      <c r="D712" s="105">
        <f>Cadastro!$D644</f>
        <v>8601</v>
      </c>
      <c r="E712" s="104" t="str">
        <f>Cadastro!$E644</f>
        <v>C.109</v>
      </c>
      <c r="F712" s="104" t="str">
        <f>Cadastro!$F644</f>
        <v>Terminal Pesqueiro - Embarque / Desembarque Pescarias</v>
      </c>
      <c r="G712" s="104" t="str">
        <f>Cadastro!$G644</f>
        <v>-25.872526</v>
      </c>
      <c r="H712" s="104" t="str">
        <f>Cadastro!$H644</f>
        <v>-48.576370</v>
      </c>
      <c r="I712" s="104" t="str">
        <f>Cadastro!$I644</f>
        <v>siscop</v>
      </c>
      <c r="J712" s="104" t="str">
        <f>Cadastro!$J644</f>
        <v>Siscop1234</v>
      </c>
      <c r="K712" s="104" t="s">
        <v>4536</v>
      </c>
      <c r="L712" s="104" t="s">
        <v>26</v>
      </c>
      <c r="M712" s="104" t="s">
        <v>27</v>
      </c>
      <c r="N712" s="108" t="str">
        <f t="shared" si="1"/>
        <v>GUARATUBA</v>
      </c>
      <c r="O712" s="109" t="str">
        <f>Cadastro!$O644</f>
        <v>https://monitoramento.pm.pr.gov.br/proxy_image_6/Interface/Cameras/GetJPEGStream?Camera=C.109&amp;AuthUser=siscop&amp;AuthPass=Siscop1234&amp;Width=1024&amp;Height=768&amp;Quality=70&amp;FPS=10&amp;ResponseFormat=Text</v>
      </c>
      <c r="P712" s="106">
        <f>Cadastro!$P644</f>
        <v>1</v>
      </c>
    </row>
    <row r="713">
      <c r="A713" s="104" t="str">
        <f>Cadastro!$A645</f>
        <v>GUARATUBA</v>
      </c>
      <c r="B713" s="104" t="str">
        <f>Cadastro!$B645</f>
        <v>GUARATUBA</v>
      </c>
      <c r="C713" s="107" t="str">
        <f>Cadastro!$C645</f>
        <v>https://monitoramento.pm.pr.gov.br/proxy_image_6/</v>
      </c>
      <c r="D713" s="105">
        <f>Cadastro!$D645</f>
        <v>8601</v>
      </c>
      <c r="E713" s="104" t="str">
        <f>Cadastro!$E645</f>
        <v>C.110</v>
      </c>
      <c r="F713" s="104" t="str">
        <f>Cadastro!$F645</f>
        <v>Terminal Pesqueiro - Comércios - Av. 29 de Abril - Praça dos Namorados</v>
      </c>
      <c r="G713" s="104" t="str">
        <f>Cadastro!$G645</f>
        <v>-25.872948</v>
      </c>
      <c r="H713" s="104" t="str">
        <f>Cadastro!$H645</f>
        <v>-48.576458</v>
      </c>
      <c r="I713" s="104" t="str">
        <f>Cadastro!$I645</f>
        <v>siscop</v>
      </c>
      <c r="J713" s="104" t="str">
        <f>Cadastro!$J645</f>
        <v>Siscop1234</v>
      </c>
      <c r="K713" s="104" t="s">
        <v>4536</v>
      </c>
      <c r="L713" s="104" t="s">
        <v>26</v>
      </c>
      <c r="M713" s="104" t="s">
        <v>27</v>
      </c>
      <c r="N713" s="108" t="str">
        <f t="shared" si="1"/>
        <v>GUARATUBA</v>
      </c>
      <c r="O713" s="109" t="str">
        <f>Cadastro!$O645</f>
        <v>https://monitoramento.pm.pr.gov.br/proxy_image_6/Interface/Cameras/GetJPEGStream?Camera=C.110&amp;AuthUser=siscop&amp;AuthPass=Siscop1234&amp;Width=1024&amp;Height=768&amp;Quality=70&amp;FPS=10&amp;ResponseFormat=Text</v>
      </c>
      <c r="P713" s="106">
        <f>Cadastro!$P645</f>
        <v>1</v>
      </c>
    </row>
    <row r="714">
      <c r="A714" s="104" t="str">
        <f>Cadastro!$A646</f>
        <v>GUARATUBA</v>
      </c>
      <c r="B714" s="104" t="str">
        <f>Cadastro!$B646</f>
        <v>GUARATUBA</v>
      </c>
      <c r="C714" s="107" t="str">
        <f>Cadastro!$C646</f>
        <v>https://monitoramento.pm.pr.gov.br/proxy_image_6/</v>
      </c>
      <c r="D714" s="105">
        <f>Cadastro!$D646</f>
        <v>8601</v>
      </c>
      <c r="E714" s="104" t="str">
        <f>Cadastro!$E646</f>
        <v>C.111</v>
      </c>
      <c r="F714" s="104" t="str">
        <f>Cadastro!$F646</f>
        <v>UBS Coroados - Saguão Principal - R. Dos Navegantes, 115 - Balneário Coroados</v>
      </c>
      <c r="G714" s="104" t="str">
        <f>Cadastro!$G646</f>
        <v>-25.947826</v>
      </c>
      <c r="H714" s="104" t="str">
        <f>Cadastro!$H646</f>
        <v>-48.593395</v>
      </c>
      <c r="I714" s="104" t="str">
        <f>Cadastro!$I646</f>
        <v>siscop</v>
      </c>
      <c r="J714" s="104" t="str">
        <f>Cadastro!$J646</f>
        <v>Siscop1234</v>
      </c>
      <c r="K714" s="104" t="s">
        <v>4536</v>
      </c>
      <c r="L714" s="104" t="s">
        <v>26</v>
      </c>
      <c r="M714" s="104" t="s">
        <v>27</v>
      </c>
      <c r="N714" s="108" t="str">
        <f t="shared" si="1"/>
        <v>GUARATUBA</v>
      </c>
      <c r="O714" s="109" t="str">
        <f>Cadastro!$O646</f>
        <v>https://monitoramento.pm.pr.gov.br/proxy_image_6/Interface/Cameras/GetJPEGStream?Camera=C.111&amp;AuthUser=siscop&amp;AuthPass=Siscop1234&amp;Width=1024&amp;Height=768&amp;Quality=70&amp;FPS=10&amp;ResponseFormat=Text</v>
      </c>
      <c r="P714" s="106">
        <f>Cadastro!$P646</f>
        <v>1</v>
      </c>
    </row>
    <row r="715">
      <c r="A715" s="104" t="str">
        <f>Cadastro!$A647</f>
        <v>GUARATUBA</v>
      </c>
      <c r="B715" s="104" t="str">
        <f>Cadastro!$B647</f>
        <v>GUARATUBA</v>
      </c>
      <c r="C715" s="107" t="str">
        <f>Cadastro!$C647</f>
        <v>https://monitoramento.pm.pr.gov.br/proxy_image_6/</v>
      </c>
      <c r="D715" s="105">
        <f>Cadastro!$D647</f>
        <v>8601</v>
      </c>
      <c r="E715" s="104" t="str">
        <f>Cadastro!$E647</f>
        <v>C.112</v>
      </c>
      <c r="F715" s="104" t="str">
        <f>Cadastro!$F647</f>
        <v>CMEI Amor e Carinho - Entrada - R. Dos Navegantes, 105</v>
      </c>
      <c r="G715" s="104" t="str">
        <f>Cadastro!$G647</f>
        <v>-25.947754</v>
      </c>
      <c r="H715" s="104" t="str">
        <f>Cadastro!$H647</f>
        <v>-48.593616</v>
      </c>
      <c r="I715" s="104" t="str">
        <f>Cadastro!$I647</f>
        <v>siscop</v>
      </c>
      <c r="J715" s="104" t="str">
        <f>Cadastro!$J647</f>
        <v>Siscop1234</v>
      </c>
      <c r="K715" s="104" t="s">
        <v>4536</v>
      </c>
      <c r="L715" s="104" t="s">
        <v>26</v>
      </c>
      <c r="M715" s="104" t="s">
        <v>27</v>
      </c>
      <c r="N715" s="108" t="str">
        <f t="shared" si="1"/>
        <v>GUARATUBA</v>
      </c>
      <c r="O715" s="109" t="str">
        <f>Cadastro!$O647</f>
        <v>https://monitoramento.pm.pr.gov.br/proxy_image_6/Interface/Cameras/GetJPEGStream?Camera=C.112&amp;AuthUser=siscop&amp;AuthPass=Siscop1234&amp;Width=1024&amp;Height=768&amp;Quality=70&amp;FPS=10&amp;ResponseFormat=Text</v>
      </c>
      <c r="P715" s="106">
        <f>Cadastro!$P647</f>
        <v>1</v>
      </c>
    </row>
    <row r="716">
      <c r="A716" s="104" t="str">
        <f>Cadastro!$A648</f>
        <v>GUARATUBA</v>
      </c>
      <c r="B716" s="104" t="str">
        <f>Cadastro!$B648</f>
        <v>GUARATUBA</v>
      </c>
      <c r="C716" s="107" t="str">
        <f>Cadastro!$C648</f>
        <v>https://monitoramento.pm.pr.gov.br/proxy_image_6/</v>
      </c>
      <c r="D716" s="105">
        <f>Cadastro!$D648</f>
        <v>8601</v>
      </c>
      <c r="E716" s="104" t="str">
        <f>Cadastro!$E648</f>
        <v>C.113</v>
      </c>
      <c r="F716" s="104" t="str">
        <f>Cadastro!$F648</f>
        <v>UBS Figueira - Saguão Principal - R. João Leopoldo de Santana, 1070 - Brejatuba</v>
      </c>
      <c r="G716" s="104" t="str">
        <f>Cadastro!$G648</f>
        <v>-25.898289</v>
      </c>
      <c r="H716" s="104" t="str">
        <f>Cadastro!$H648</f>
        <v>-48.577354</v>
      </c>
      <c r="I716" s="104" t="str">
        <f>Cadastro!$I648</f>
        <v>siscop</v>
      </c>
      <c r="J716" s="104" t="str">
        <f>Cadastro!$J648</f>
        <v>Siscop1234</v>
      </c>
      <c r="K716" s="104" t="s">
        <v>4536</v>
      </c>
      <c r="L716" s="104" t="s">
        <v>26</v>
      </c>
      <c r="M716" s="104" t="s">
        <v>27</v>
      </c>
      <c r="N716" s="108" t="str">
        <f t="shared" si="1"/>
        <v>GUARATUBA</v>
      </c>
      <c r="O716" s="109" t="str">
        <f>Cadastro!$O648</f>
        <v>https://monitoramento.pm.pr.gov.br/proxy_image_6/Interface/Cameras/GetJPEGStream?Camera=C.113&amp;AuthUser=siscop&amp;AuthPass=Siscop1234&amp;Width=1024&amp;Height=768&amp;Quality=70&amp;FPS=10&amp;ResponseFormat=Text</v>
      </c>
      <c r="P716" s="106">
        <f>Cadastro!$P648</f>
        <v>1</v>
      </c>
    </row>
    <row r="717">
      <c r="A717" s="104" t="str">
        <f>Cadastro!$A649</f>
        <v>GUARATUBA</v>
      </c>
      <c r="B717" s="104" t="str">
        <f>Cadastro!$B649</f>
        <v>GUARATUBA</v>
      </c>
      <c r="C717" s="107" t="str">
        <f>Cadastro!$C649</f>
        <v>https://monitoramento.pm.pr.gov.br/proxy_image_6/</v>
      </c>
      <c r="D717" s="105">
        <f>Cadastro!$D649</f>
        <v>8601</v>
      </c>
      <c r="E717" s="104" t="str">
        <f>Cadastro!$E649</f>
        <v>C.114</v>
      </c>
      <c r="F717" s="104" t="str">
        <f>Cadastro!$F649</f>
        <v>R. João Leopoldo de Santana, 1070 - Brejatuba - Sentido Centro</v>
      </c>
      <c r="G717" s="104" t="str">
        <f>Cadastro!$G649</f>
        <v>-25.898289</v>
      </c>
      <c r="H717" s="104" t="str">
        <f>Cadastro!$H649</f>
        <v>-48.577354</v>
      </c>
      <c r="I717" s="104" t="str">
        <f>Cadastro!$I649</f>
        <v>siscop</v>
      </c>
      <c r="J717" s="104" t="str">
        <f>Cadastro!$J649</f>
        <v>Siscop1234</v>
      </c>
      <c r="K717" s="104" t="s">
        <v>4536</v>
      </c>
      <c r="L717" s="104" t="s">
        <v>26</v>
      </c>
      <c r="M717" s="104" t="s">
        <v>27</v>
      </c>
      <c r="N717" s="108" t="str">
        <f t="shared" si="1"/>
        <v>GUARATUBA</v>
      </c>
      <c r="O717" s="109" t="str">
        <f>Cadastro!$O649</f>
        <v>https://monitoramento.pm.pr.gov.br/proxy_image_6/Interface/Cameras/GetJPEGStream?Camera=C.114&amp;AuthUser=siscop&amp;AuthPass=Siscop1234&amp;Width=1024&amp;Height=768&amp;Quality=70&amp;FPS=10&amp;ResponseFormat=Text</v>
      </c>
      <c r="P717" s="106">
        <f>Cadastro!$P649</f>
        <v>1</v>
      </c>
    </row>
    <row r="718">
      <c r="A718" s="104" t="str">
        <f>Cadastro!$A650</f>
        <v>GUARATUBA</v>
      </c>
      <c r="B718" s="104" t="str">
        <f>Cadastro!$B650</f>
        <v>GUARATUBA</v>
      </c>
      <c r="C718" s="107" t="str">
        <f>Cadastro!$C650</f>
        <v>https://monitoramento.pm.pr.gov.br/proxy_image_6/</v>
      </c>
      <c r="D718" s="105">
        <f>Cadastro!$D650</f>
        <v>8601</v>
      </c>
      <c r="E718" s="104" t="str">
        <f>Cadastro!$E650</f>
        <v>C.115</v>
      </c>
      <c r="F718" s="104" t="str">
        <f>Cadastro!$F650</f>
        <v>R. João Leopoldo de Santana, 1070 - Brejatuba - Sentido Coroados</v>
      </c>
      <c r="G718" s="104" t="str">
        <f>Cadastro!$G650</f>
        <v>-25.898289</v>
      </c>
      <c r="H718" s="104" t="str">
        <f>Cadastro!$H650</f>
        <v>-48.577354</v>
      </c>
      <c r="I718" s="104" t="str">
        <f>Cadastro!$I650</f>
        <v>siscop</v>
      </c>
      <c r="J718" s="104" t="str">
        <f>Cadastro!$J650</f>
        <v>Siscop1234</v>
      </c>
      <c r="K718" s="104" t="s">
        <v>4536</v>
      </c>
      <c r="L718" s="104" t="s">
        <v>26</v>
      </c>
      <c r="M718" s="104" t="s">
        <v>27</v>
      </c>
      <c r="N718" s="108" t="str">
        <f t="shared" si="1"/>
        <v>GUARATUBA</v>
      </c>
      <c r="O718" s="109" t="str">
        <f>Cadastro!$O650</f>
        <v>https://monitoramento.pm.pr.gov.br/proxy_image_6/Interface/Cameras/GetJPEGStream?Camera=C.115&amp;AuthUser=siscop&amp;AuthPass=Siscop1234&amp;Width=1024&amp;Height=768&amp;Quality=70&amp;FPS=10&amp;ResponseFormat=Text</v>
      </c>
      <c r="P718" s="106">
        <f>Cadastro!$P650</f>
        <v>1</v>
      </c>
    </row>
    <row r="719">
      <c r="A719" s="104" t="str">
        <f>Cadastro!$A651</f>
        <v>GUARATUBA</v>
      </c>
      <c r="B719" s="104" t="str">
        <f>Cadastro!$B651</f>
        <v>GUARATUBA</v>
      </c>
      <c r="C719" s="107" t="str">
        <f>Cadastro!$C651</f>
        <v>https://monitoramento.pm.pr.gov.br/proxy_image_6/</v>
      </c>
      <c r="D719" s="105">
        <f>Cadastro!$D651</f>
        <v>8601</v>
      </c>
      <c r="E719" s="104" t="str">
        <f>Cadastro!$E651</f>
        <v>C.116</v>
      </c>
      <c r="F719" s="104" t="str">
        <f>Cadastro!$F651</f>
        <v>UBS Piçarras - Saguão de atendimento - Av. Água Verde, 722 - Picarras</v>
      </c>
      <c r="G719" s="104" t="str">
        <f>Cadastro!$G651</f>
        <v>-25.878077</v>
      </c>
      <c r="H719" s="104" t="str">
        <f>Cadastro!$H651</f>
        <v>-48.600681</v>
      </c>
      <c r="I719" s="104" t="str">
        <f>Cadastro!$I651</f>
        <v>siscop</v>
      </c>
      <c r="J719" s="104" t="str">
        <f>Cadastro!$J651</f>
        <v>Siscop1234</v>
      </c>
      <c r="K719" s="104" t="s">
        <v>4536</v>
      </c>
      <c r="L719" s="104" t="s">
        <v>26</v>
      </c>
      <c r="M719" s="104" t="s">
        <v>27</v>
      </c>
      <c r="N719" s="108" t="str">
        <f t="shared" si="1"/>
        <v>GUARATUBA</v>
      </c>
      <c r="O719" s="109" t="str">
        <f>Cadastro!$O651</f>
        <v>https://monitoramento.pm.pr.gov.br/proxy_image_6/Interface/Cameras/GetJPEGStream?Camera=C.116&amp;AuthUser=siscop&amp;AuthPass=Siscop1234&amp;Width=1024&amp;Height=768&amp;Quality=70&amp;FPS=10&amp;ResponseFormat=Text</v>
      </c>
      <c r="P719" s="106">
        <f>Cadastro!$P651</f>
        <v>1</v>
      </c>
    </row>
    <row r="720">
      <c r="A720" s="104" t="str">
        <f>Cadastro!$A652</f>
        <v>GUARATUBA</v>
      </c>
      <c r="B720" s="104" t="str">
        <f>Cadastro!$B652</f>
        <v>GUARATUBA</v>
      </c>
      <c r="C720" s="107" t="str">
        <f>Cadastro!$C652</f>
        <v>https://monitoramento.pm.pr.gov.br/proxy_image_6/</v>
      </c>
      <c r="D720" s="105">
        <f>Cadastro!$D652</f>
        <v>8601</v>
      </c>
      <c r="E720" s="104" t="str">
        <f>Cadastro!$E652</f>
        <v>C.117</v>
      </c>
      <c r="F720" s="104" t="str">
        <f>Cadastro!$F652</f>
        <v>Av. Água Verde, 722 - Picarras - Sentido Centro</v>
      </c>
      <c r="G720" s="104" t="str">
        <f>Cadastro!$G652</f>
        <v>-25.877909</v>
      </c>
      <c r="H720" s="104" t="str">
        <f>Cadastro!$H652</f>
        <v>-48.600704</v>
      </c>
      <c r="I720" s="104" t="str">
        <f>Cadastro!$I652</f>
        <v>siscop</v>
      </c>
      <c r="J720" s="104" t="str">
        <f>Cadastro!$J652</f>
        <v>Siscop1234</v>
      </c>
      <c r="K720" s="104" t="s">
        <v>4536</v>
      </c>
      <c r="L720" s="104" t="s">
        <v>26</v>
      </c>
      <c r="M720" s="104" t="s">
        <v>27</v>
      </c>
      <c r="N720" s="108" t="str">
        <f t="shared" si="1"/>
        <v>GUARATUBA</v>
      </c>
      <c r="O720" s="109" t="str">
        <f>Cadastro!$O652</f>
        <v>https://monitoramento.pm.pr.gov.br/proxy_image_6/Interface/Cameras/GetJPEGStream?Camera=C.117&amp;AuthUser=siscop&amp;AuthPass=Siscop1234&amp;Width=1024&amp;Height=768&amp;Quality=70&amp;FPS=10&amp;ResponseFormat=Text</v>
      </c>
      <c r="P720" s="106">
        <f>Cadastro!$P652</f>
        <v>1</v>
      </c>
    </row>
    <row r="721">
      <c r="A721" s="104" t="str">
        <f>Cadastro!$A653</f>
        <v>GUARATUBA</v>
      </c>
      <c r="B721" s="104" t="str">
        <f>Cadastro!$B653</f>
        <v>GUARATUBA</v>
      </c>
      <c r="C721" s="107" t="str">
        <f>Cadastro!$C653</f>
        <v>https://monitoramento.pm.pr.gov.br/proxy_image_6/</v>
      </c>
      <c r="D721" s="105">
        <f>Cadastro!$D653</f>
        <v>8601</v>
      </c>
      <c r="E721" s="104" t="str">
        <f>Cadastro!$E653</f>
        <v>C.118</v>
      </c>
      <c r="F721" s="104" t="str">
        <f>Cadastro!$F653</f>
        <v>Av. Água Verde, 722 - Picarras - Sentido Mirim</v>
      </c>
      <c r="G721" s="104" t="str">
        <f>Cadastro!$G653</f>
        <v>-25.877949</v>
      </c>
      <c r="H721" s="104" t="str">
        <f>Cadastro!$H653</f>
        <v>-48.600803</v>
      </c>
      <c r="I721" s="104" t="str">
        <f>Cadastro!$I653</f>
        <v>siscop</v>
      </c>
      <c r="J721" s="104" t="str">
        <f>Cadastro!$J653</f>
        <v>Siscop1234</v>
      </c>
      <c r="K721" s="104" t="s">
        <v>4536</v>
      </c>
      <c r="L721" s="104" t="s">
        <v>26</v>
      </c>
      <c r="M721" s="104" t="s">
        <v>27</v>
      </c>
      <c r="N721" s="108" t="str">
        <f t="shared" si="1"/>
        <v>GUARATUBA</v>
      </c>
      <c r="O721" s="109" t="str">
        <f>Cadastro!$O653</f>
        <v>https://monitoramento.pm.pr.gov.br/proxy_image_6/Interface/Cameras/GetJPEGStream?Camera=C.118&amp;AuthUser=siscop&amp;AuthPass=Siscop1234&amp;Width=1024&amp;Height=768&amp;Quality=70&amp;FPS=10&amp;ResponseFormat=Text</v>
      </c>
      <c r="P721" s="106">
        <f>Cadastro!$P653</f>
        <v>1</v>
      </c>
    </row>
    <row r="722">
      <c r="A722" s="104" t="str">
        <f>Cadastro!$A654</f>
        <v>GUARATUBA</v>
      </c>
      <c r="B722" s="104" t="str">
        <f>Cadastro!$B654</f>
        <v>GUARATUBA</v>
      </c>
      <c r="C722" s="107" t="str">
        <f>Cadastro!$C654</f>
        <v>https://monitoramento.pm.pr.gov.br/proxy_image_6/</v>
      </c>
      <c r="D722" s="105">
        <f>Cadastro!$D654</f>
        <v>8601</v>
      </c>
      <c r="E722" s="104" t="str">
        <f>Cadastro!$E654</f>
        <v>C.119</v>
      </c>
      <c r="F722" s="104" t="str">
        <f>Cadastro!$F654</f>
        <v>UBS Vila Capricho - Saguão - Av. Mal. Deodoro, 347</v>
      </c>
      <c r="G722" s="104" t="str">
        <f>Cadastro!$G654</f>
        <v>-25.886972</v>
      </c>
      <c r="H722" s="104" t="str">
        <f>Cadastro!$H654</f>
        <v>-48.591286</v>
      </c>
      <c r="I722" s="104" t="str">
        <f>Cadastro!$I654</f>
        <v>siscop</v>
      </c>
      <c r="J722" s="104" t="str">
        <f>Cadastro!$J654</f>
        <v>Siscop1234</v>
      </c>
      <c r="K722" s="104" t="s">
        <v>4536</v>
      </c>
      <c r="L722" s="104" t="s">
        <v>26</v>
      </c>
      <c r="M722" s="104" t="s">
        <v>27</v>
      </c>
      <c r="N722" s="108" t="str">
        <f t="shared" si="1"/>
        <v>GUARATUBA</v>
      </c>
      <c r="O722" s="109" t="str">
        <f>Cadastro!$O654</f>
        <v>https://monitoramento.pm.pr.gov.br/proxy_image_6/Interface/Cameras/GetJPEGStream?Camera=C.119&amp;AuthUser=siscop&amp;AuthPass=Siscop1234&amp;Width=1024&amp;Height=768&amp;Quality=70&amp;FPS=10&amp;ResponseFormat=Text</v>
      </c>
      <c r="P722" s="106">
        <f>Cadastro!$P654</f>
        <v>1</v>
      </c>
    </row>
    <row r="723">
      <c r="A723" s="104" t="str">
        <f>Cadastro!$A655</f>
        <v>GUARATUBA</v>
      </c>
      <c r="B723" s="104" t="str">
        <f>Cadastro!$B655</f>
        <v>GUARATUBA</v>
      </c>
      <c r="C723" s="107" t="str">
        <f>Cadastro!$C655</f>
        <v>https://monitoramento.pm.pr.gov.br/proxy_image_6/</v>
      </c>
      <c r="D723" s="105">
        <f>Cadastro!$D655</f>
        <v>8601</v>
      </c>
      <c r="E723" s="104" t="str">
        <f>Cadastro!$E655</f>
        <v>C.120</v>
      </c>
      <c r="F723" s="104" t="str">
        <f>Cadastro!$F655</f>
        <v>Av. Mal. Deodoro x Carlos Mafra - Cohapar II - UBS Vila Capricho</v>
      </c>
      <c r="G723" s="104" t="str">
        <f>Cadastro!$G655</f>
        <v>-25.886990</v>
      </c>
      <c r="H723" s="104" t="str">
        <f>Cadastro!$H655</f>
        <v>-48.591438</v>
      </c>
      <c r="I723" s="104" t="str">
        <f>Cadastro!$I655</f>
        <v>siscop</v>
      </c>
      <c r="J723" s="104" t="str">
        <f>Cadastro!$J655</f>
        <v>Siscop1234</v>
      </c>
      <c r="K723" s="104" t="s">
        <v>4536</v>
      </c>
      <c r="L723" s="104" t="s">
        <v>26</v>
      </c>
      <c r="M723" s="104" t="s">
        <v>27</v>
      </c>
      <c r="N723" s="108" t="str">
        <f t="shared" si="1"/>
        <v>GUARATUBA</v>
      </c>
      <c r="O723" s="109" t="str">
        <f>Cadastro!$O655</f>
        <v>https://monitoramento.pm.pr.gov.br/proxy_image_6/Interface/Cameras/GetJPEGStream?Camera=C.120&amp;AuthUser=siscop&amp;AuthPass=Siscop1234&amp;Width=1024&amp;Height=768&amp;Quality=70&amp;FPS=10&amp;ResponseFormat=Text</v>
      </c>
      <c r="P723" s="106">
        <f>Cadastro!$P655</f>
        <v>1</v>
      </c>
    </row>
    <row r="724">
      <c r="A724" s="104" t="str">
        <f>Cadastro!$A656</f>
        <v>GUARATUBA</v>
      </c>
      <c r="B724" s="104" t="str">
        <f>Cadastro!$B656</f>
        <v>GUARATUBA</v>
      </c>
      <c r="C724" s="107" t="str">
        <f>Cadastro!$C656</f>
        <v>https://monitoramento.pm.pr.gov.br/proxy_image_6/</v>
      </c>
      <c r="D724" s="105">
        <f>Cadastro!$D656</f>
        <v>8601</v>
      </c>
      <c r="E724" s="104" t="str">
        <f>Cadastro!$E656</f>
        <v>C.121</v>
      </c>
      <c r="F724" s="104" t="str">
        <f>Cadastro!$F656</f>
        <v>Av. Mal. Deodoro x Paulo Saporski - Cohapar II - UBS Vila Capricho</v>
      </c>
      <c r="G724" s="104" t="str">
        <f>Cadastro!$G656</f>
        <v>-25.886990</v>
      </c>
      <c r="H724" s="104" t="str">
        <f>Cadastro!$H656</f>
        <v>-48.591438</v>
      </c>
      <c r="I724" s="104" t="str">
        <f>Cadastro!$I656</f>
        <v>siscop</v>
      </c>
      <c r="J724" s="104" t="str">
        <f>Cadastro!$J656</f>
        <v>Siscop1234</v>
      </c>
      <c r="K724" s="104" t="s">
        <v>4536</v>
      </c>
      <c r="L724" s="104" t="s">
        <v>26</v>
      </c>
      <c r="M724" s="104" t="s">
        <v>27</v>
      </c>
      <c r="N724" s="108" t="str">
        <f t="shared" si="1"/>
        <v>GUARATUBA</v>
      </c>
      <c r="O724" s="109" t="str">
        <f>Cadastro!$O656</f>
        <v>https://monitoramento.pm.pr.gov.br/proxy_image_6/Interface/Cameras/GetJPEGStream?Camera=C.121&amp;AuthUser=siscop&amp;AuthPass=Siscop1234&amp;Width=1024&amp;Height=768&amp;Quality=70&amp;FPS=10&amp;ResponseFormat=Text</v>
      </c>
      <c r="P724" s="106">
        <f>Cadastro!$P656</f>
        <v>1</v>
      </c>
    </row>
    <row r="725">
      <c r="A725" s="104" t="str">
        <f>Cadastro!$A657</f>
        <v>GUARATUBA</v>
      </c>
      <c r="B725" s="104" t="str">
        <f>Cadastro!$B657</f>
        <v>GUARATUBA</v>
      </c>
      <c r="C725" s="107" t="str">
        <f>Cadastro!$C657</f>
        <v>https://monitoramento.pm.pr.gov.br/proxy_image_6/</v>
      </c>
      <c r="D725" s="105">
        <f>Cadastro!$D657</f>
        <v>8601</v>
      </c>
      <c r="E725" s="104" t="str">
        <f>Cadastro!$E657</f>
        <v>C.122</v>
      </c>
      <c r="F725" s="104" t="str">
        <f>Cadastro!$F657</f>
        <v>Procuradoria Fiscal - Arrecadação - Atendimento - R. José Nicolau Abagge, 1111</v>
      </c>
      <c r="G725" s="104" t="str">
        <f>Cadastro!$G657</f>
        <v>-25.884354</v>
      </c>
      <c r="H725" s="104" t="str">
        <f>Cadastro!$H657</f>
        <v>-48.582737</v>
      </c>
      <c r="I725" s="104" t="str">
        <f>Cadastro!$I657</f>
        <v>siscop</v>
      </c>
      <c r="J725" s="104" t="str">
        <f>Cadastro!$J657</f>
        <v>Siscop1234</v>
      </c>
      <c r="K725" s="104" t="s">
        <v>4536</v>
      </c>
      <c r="L725" s="104" t="s">
        <v>26</v>
      </c>
      <c r="M725" s="104" t="s">
        <v>27</v>
      </c>
      <c r="N725" s="108" t="str">
        <f t="shared" si="1"/>
        <v>GUARATUBA</v>
      </c>
      <c r="O725" s="109" t="str">
        <f>Cadastro!$O657</f>
        <v>https://monitoramento.pm.pr.gov.br/proxy_image_6/Interface/Cameras/GetJPEGStream?Camera=C.122&amp;AuthUser=siscop&amp;AuthPass=Siscop1234&amp;Width=1024&amp;Height=768&amp;Quality=70&amp;FPS=10&amp;ResponseFormat=Text</v>
      </c>
      <c r="P725" s="106">
        <f>Cadastro!$P657</f>
        <v>1</v>
      </c>
    </row>
    <row r="726">
      <c r="A726" s="104" t="str">
        <f>Cadastro!$A658</f>
        <v>GUARATUBA</v>
      </c>
      <c r="B726" s="104" t="str">
        <f>Cadastro!$B658</f>
        <v>GUARATUBA</v>
      </c>
      <c r="C726" s="107" t="str">
        <f>Cadastro!$C658</f>
        <v>https://monitoramento.pm.pr.gov.br/proxy_image_6/</v>
      </c>
      <c r="D726" s="105">
        <f>Cadastro!$D658</f>
        <v>8601</v>
      </c>
      <c r="E726" s="104" t="str">
        <f>Cadastro!$E658</f>
        <v>C.123</v>
      </c>
      <c r="F726" s="104" t="str">
        <f>Cadastro!$F658</f>
        <v>Procuradoria Fiscal - Arrecadação - Escadaria</v>
      </c>
      <c r="G726" s="104" t="str">
        <f>Cadastro!$G658</f>
        <v>-25.884443</v>
      </c>
      <c r="H726" s="104" t="str">
        <f>Cadastro!$H658</f>
        <v>-48.582550</v>
      </c>
      <c r="I726" s="104" t="str">
        <f>Cadastro!$I658</f>
        <v>siscop</v>
      </c>
      <c r="J726" s="104" t="str">
        <f>Cadastro!$J658</f>
        <v>Siscop1234</v>
      </c>
      <c r="K726" s="104" t="s">
        <v>4536</v>
      </c>
      <c r="L726" s="104" t="s">
        <v>26</v>
      </c>
      <c r="M726" s="104" t="s">
        <v>27</v>
      </c>
      <c r="N726" s="108" t="str">
        <f t="shared" si="1"/>
        <v>GUARATUBA</v>
      </c>
      <c r="O726" s="109" t="str">
        <f>Cadastro!$O658</f>
        <v>https://monitoramento.pm.pr.gov.br/proxy_image_6/Interface/Cameras/GetJPEGStream?Camera=C.123&amp;AuthUser=siscop&amp;AuthPass=Siscop1234&amp;Width=1024&amp;Height=768&amp;Quality=70&amp;FPS=10&amp;ResponseFormat=Text</v>
      </c>
      <c r="P726" s="106">
        <f>Cadastro!$P658</f>
        <v>1</v>
      </c>
    </row>
    <row r="727">
      <c r="A727" s="104" t="str">
        <f>Cadastro!$A659</f>
        <v>GUARATUBA</v>
      </c>
      <c r="B727" s="104" t="str">
        <f>Cadastro!$B659</f>
        <v>GUARATUBA</v>
      </c>
      <c r="C727" s="107" t="str">
        <f>Cadastro!$C659</f>
        <v>https://monitoramento.pm.pr.gov.br/proxy_image_6/</v>
      </c>
      <c r="D727" s="105">
        <f>Cadastro!$D659</f>
        <v>8601</v>
      </c>
      <c r="E727" s="104" t="str">
        <f>Cadastro!$E659</f>
        <v>C.124</v>
      </c>
      <c r="F727" s="104" t="str">
        <f>Cadastro!$F659</f>
        <v>R. José Nicolau Abagge - Procuradoria Fiscal - Sentido Carvoeiro</v>
      </c>
      <c r="G727" s="104" t="str">
        <f>Cadastro!$G659</f>
        <v>-25.884415</v>
      </c>
      <c r="H727" s="104" t="str">
        <f>Cadastro!$H659</f>
        <v>-48.582752</v>
      </c>
      <c r="I727" s="104" t="str">
        <f>Cadastro!$I659</f>
        <v>siscop</v>
      </c>
      <c r="J727" s="104" t="str">
        <f>Cadastro!$J659</f>
        <v>Siscop1234</v>
      </c>
      <c r="K727" s="104" t="s">
        <v>4536</v>
      </c>
      <c r="L727" s="104" t="s">
        <v>26</v>
      </c>
      <c r="M727" s="104" t="s">
        <v>27</v>
      </c>
      <c r="N727" s="108" t="str">
        <f t="shared" si="1"/>
        <v>GUARATUBA</v>
      </c>
      <c r="O727" s="109" t="str">
        <f>Cadastro!$O659</f>
        <v>https://monitoramento.pm.pr.gov.br/proxy_image_6/Interface/Cameras/GetJPEGStream?Camera=C.124&amp;AuthUser=siscop&amp;AuthPass=Siscop1234&amp;Width=1024&amp;Height=768&amp;Quality=70&amp;FPS=10&amp;ResponseFormat=Text</v>
      </c>
      <c r="P727" s="106">
        <f>Cadastro!$P659</f>
        <v>1</v>
      </c>
    </row>
    <row r="728">
      <c r="A728" s="104" t="str">
        <f>Cadastro!$A660</f>
        <v>GUARATUBA</v>
      </c>
      <c r="B728" s="104" t="str">
        <f>Cadastro!$B660</f>
        <v>GUARATUBA</v>
      </c>
      <c r="C728" s="107" t="str">
        <f>Cadastro!$C660</f>
        <v>https://monitoramento.pm.pr.gov.br/proxy_image_6/</v>
      </c>
      <c r="D728" s="105">
        <f>Cadastro!$D660</f>
        <v>8601</v>
      </c>
      <c r="E728" s="104" t="str">
        <f>Cadastro!$E660</f>
        <v>C.125</v>
      </c>
      <c r="F728" s="104" t="str">
        <f>Cadastro!$F660</f>
        <v>R. José Nicolau Abagge - Procuradoria Fiscal - Sentido Centro</v>
      </c>
      <c r="G728" s="104" t="str">
        <f>Cadastro!$G660</f>
        <v>-25.884415</v>
      </c>
      <c r="H728" s="104" t="str">
        <f>Cadastro!$H660</f>
        <v>-48.582752</v>
      </c>
      <c r="I728" s="104" t="str">
        <f>Cadastro!$I660</f>
        <v>siscop</v>
      </c>
      <c r="J728" s="104" t="str">
        <f>Cadastro!$J660</f>
        <v>Siscop1234</v>
      </c>
      <c r="K728" s="104" t="s">
        <v>4536</v>
      </c>
      <c r="L728" s="104" t="s">
        <v>26</v>
      </c>
      <c r="M728" s="104" t="s">
        <v>27</v>
      </c>
      <c r="N728" s="108" t="str">
        <f t="shared" si="1"/>
        <v>GUARATUBA</v>
      </c>
      <c r="O728" s="109" t="str">
        <f>Cadastro!$O660</f>
        <v>https://monitoramento.pm.pr.gov.br/proxy_image_6/Interface/Cameras/GetJPEGStream?Camera=C.125&amp;AuthUser=siscop&amp;AuthPass=Siscop1234&amp;Width=1024&amp;Height=768&amp;Quality=70&amp;FPS=10&amp;ResponseFormat=Text</v>
      </c>
      <c r="P728" s="106">
        <f>Cadastro!$P660</f>
        <v>1</v>
      </c>
    </row>
    <row r="729">
      <c r="A729" s="104" t="str">
        <f>Cadastro!$A661</f>
        <v>GUARATUBA</v>
      </c>
      <c r="B729" s="104" t="str">
        <f>Cadastro!$B661</f>
        <v>GUARATUBA</v>
      </c>
      <c r="C729" s="107" t="str">
        <f>Cadastro!$C661</f>
        <v>https://monitoramento.pm.pr.gov.br/proxy_image_6/</v>
      </c>
      <c r="D729" s="105">
        <f>Cadastro!$D661</f>
        <v>8601</v>
      </c>
      <c r="E729" s="104" t="str">
        <f>Cadastro!$E661</f>
        <v>C.126</v>
      </c>
      <c r="F729" s="104" t="str">
        <f>Cadastro!$F661</f>
        <v>Vestiário Poliesportivo - Av. Mafra, 321 - Picarras - Sentido Centro.</v>
      </c>
      <c r="G729" s="104" t="str">
        <f>Cadastro!$G661</f>
        <v>-25.881435</v>
      </c>
      <c r="H729" s="104" t="str">
        <f>Cadastro!$H661</f>
        <v>-48.590927</v>
      </c>
      <c r="I729" s="104" t="str">
        <f>Cadastro!$I661</f>
        <v>siscop</v>
      </c>
      <c r="J729" s="104" t="str">
        <f>Cadastro!$J661</f>
        <v>Siscop1234</v>
      </c>
      <c r="K729" s="104" t="s">
        <v>4536</v>
      </c>
      <c r="L729" s="104" t="s">
        <v>26</v>
      </c>
      <c r="M729" s="104" t="s">
        <v>27</v>
      </c>
      <c r="N729" s="108" t="str">
        <f t="shared" si="1"/>
        <v>GUARATUBA</v>
      </c>
      <c r="O729" s="109" t="str">
        <f>Cadastro!$O661</f>
        <v>https://monitoramento.pm.pr.gov.br/proxy_image_6/Interface/Cameras/GetJPEGStream?Camera=C.126&amp;AuthUser=siscop&amp;AuthPass=Siscop1234&amp;Width=1024&amp;Height=768&amp;Quality=70&amp;FPS=10&amp;ResponseFormat=Text</v>
      </c>
      <c r="P729" s="106">
        <f>Cadastro!$P661</f>
        <v>1</v>
      </c>
    </row>
    <row r="730">
      <c r="A730" s="104" t="str">
        <f>Cadastro!$A662</f>
        <v>GUARATUBA</v>
      </c>
      <c r="B730" s="104" t="str">
        <f>Cadastro!$B662</f>
        <v>GUARATUBA</v>
      </c>
      <c r="C730" s="107" t="str">
        <f>Cadastro!$C662</f>
        <v>https://monitoramento.pm.pr.gov.br/proxy_image_6/</v>
      </c>
      <c r="D730" s="105">
        <f>Cadastro!$D662</f>
        <v>8601</v>
      </c>
      <c r="E730" s="104" t="str">
        <f>Cadastro!$E662</f>
        <v>C.127</v>
      </c>
      <c r="F730" s="104" t="str">
        <f>Cadastro!$F662</f>
        <v>Quadra Sintético Poliesportivo - Av. Mafra, 321 - Picarras - Sentido Piçarras</v>
      </c>
      <c r="G730" s="104" t="str">
        <f>Cadastro!$G662</f>
        <v>-25.881361</v>
      </c>
      <c r="H730" s="104" t="str">
        <f>Cadastro!$H662</f>
        <v>-48.591221</v>
      </c>
      <c r="I730" s="104" t="str">
        <f>Cadastro!$I662</f>
        <v>siscop</v>
      </c>
      <c r="J730" s="104" t="str">
        <f>Cadastro!$J662</f>
        <v>Siscop1234</v>
      </c>
      <c r="K730" s="104" t="s">
        <v>4536</v>
      </c>
      <c r="L730" s="104" t="s">
        <v>26</v>
      </c>
      <c r="M730" s="104" t="s">
        <v>27</v>
      </c>
      <c r="N730" s="108" t="str">
        <f t="shared" si="1"/>
        <v>GUARATUBA</v>
      </c>
      <c r="O730" s="109" t="str">
        <f>Cadastro!$O662</f>
        <v>https://monitoramento.pm.pr.gov.br/proxy_image_6/Interface/Cameras/GetJPEGStream?Camera=C.127&amp;AuthUser=siscop&amp;AuthPass=Siscop1234&amp;Width=1024&amp;Height=768&amp;Quality=70&amp;FPS=10&amp;ResponseFormat=Text</v>
      </c>
      <c r="P730" s="106">
        <f>Cadastro!$P662</f>
        <v>1</v>
      </c>
    </row>
    <row r="731">
      <c r="A731" s="104" t="str">
        <f>Cadastro!$A663</f>
        <v>GUARATUBA</v>
      </c>
      <c r="B731" s="104" t="str">
        <f>Cadastro!$B663</f>
        <v>GUARATUBA</v>
      </c>
      <c r="C731" s="107" t="str">
        <f>Cadastro!$C663</f>
        <v>https://monitoramento.pm.pr.gov.br/proxy_image_6/</v>
      </c>
      <c r="D731" s="105">
        <f>Cadastro!$D663</f>
        <v>8601</v>
      </c>
      <c r="E731" s="104" t="str">
        <f>Cadastro!$E663</f>
        <v>C.128</v>
      </c>
      <c r="F731" s="104" t="str">
        <f>Cadastro!$F663</f>
        <v>Quadra Sintético Poliesportivo - Av. Mafra x Ilha das Garças - Piçarras</v>
      </c>
      <c r="G731" s="104" t="str">
        <f>Cadastro!$G663</f>
        <v>-25.881536</v>
      </c>
      <c r="H731" s="104" t="str">
        <f>Cadastro!$H663</f>
        <v>-48.591156</v>
      </c>
      <c r="I731" s="104" t="str">
        <f>Cadastro!$I663</f>
        <v>siscop</v>
      </c>
      <c r="J731" s="104" t="str">
        <f>Cadastro!$J663</f>
        <v>Siscop1234</v>
      </c>
      <c r="K731" s="104" t="s">
        <v>4536</v>
      </c>
      <c r="L731" s="104" t="s">
        <v>26</v>
      </c>
      <c r="M731" s="104" t="s">
        <v>27</v>
      </c>
      <c r="N731" s="108" t="str">
        <f t="shared" si="1"/>
        <v>GUARATUBA</v>
      </c>
      <c r="O731" s="109" t="str">
        <f>Cadastro!$O663</f>
        <v>https://monitoramento.pm.pr.gov.br/proxy_image_6/Interface/Cameras/GetJPEGStream?Camera=C.128&amp;AuthUser=siscop&amp;AuthPass=Siscop1234&amp;Width=1024&amp;Height=768&amp;Quality=70&amp;FPS=10&amp;ResponseFormat=Text</v>
      </c>
      <c r="P731" s="106">
        <f>Cadastro!$P663</f>
        <v>1</v>
      </c>
    </row>
    <row r="732">
      <c r="A732" s="104" t="str">
        <f>Cadastro!$A664</f>
        <v>GUARATUBA</v>
      </c>
      <c r="B732" s="104" t="str">
        <f>Cadastro!$B664</f>
        <v>GUARATUBA</v>
      </c>
      <c r="C732" s="107" t="str">
        <f>Cadastro!$C664</f>
        <v>https://monitoramento.pm.pr.gov.br/proxy_image_6/</v>
      </c>
      <c r="D732" s="105">
        <f>Cadastro!$D664</f>
        <v>8601</v>
      </c>
      <c r="E732" s="104" t="str">
        <f>Cadastro!$E664</f>
        <v>C.129</v>
      </c>
      <c r="F732" s="104" t="str">
        <f>Cadastro!$F664</f>
        <v>Quadra futebol de areia Poliesportivo - Av. Mafra</v>
      </c>
      <c r="G732" s="104" t="str">
        <f>Cadastro!$G664</f>
        <v>-25.880888</v>
      </c>
      <c r="H732" s="104" t="str">
        <f>Cadastro!$H664</f>
        <v>-48.590698</v>
      </c>
      <c r="I732" s="104" t="str">
        <f>Cadastro!$I664</f>
        <v>siscop</v>
      </c>
      <c r="J732" s="104" t="str">
        <f>Cadastro!$J664</f>
        <v>Siscop1234</v>
      </c>
      <c r="K732" s="104" t="s">
        <v>4536</v>
      </c>
      <c r="L732" s="104" t="s">
        <v>26</v>
      </c>
      <c r="M732" s="104" t="s">
        <v>27</v>
      </c>
      <c r="N732" s="108" t="str">
        <f t="shared" si="1"/>
        <v>GUARATUBA</v>
      </c>
      <c r="O732" s="109" t="str">
        <f>Cadastro!$O664</f>
        <v>https://monitoramento.pm.pr.gov.br/proxy_image_6/Interface/Cameras/GetJPEGStream?Camera=C.129&amp;AuthUser=siscop&amp;AuthPass=Siscop1234&amp;Width=1024&amp;Height=768&amp;Quality=70&amp;FPS=10&amp;ResponseFormat=Text</v>
      </c>
      <c r="P732" s="106">
        <f>Cadastro!$P664</f>
        <v>1</v>
      </c>
    </row>
    <row r="733">
      <c r="A733" s="104" t="str">
        <f>Cadastro!$A665</f>
        <v>GUARATUBA</v>
      </c>
      <c r="B733" s="104" t="str">
        <f>Cadastro!$B665</f>
        <v>GUARATUBA</v>
      </c>
      <c r="C733" s="107" t="str">
        <f>Cadastro!$C665</f>
        <v>https://monitoramento.pm.pr.gov.br/proxy_image_6/</v>
      </c>
      <c r="D733" s="105">
        <f>Cadastro!$D665</f>
        <v>8601</v>
      </c>
      <c r="E733" s="104" t="str">
        <f>Cadastro!$E665</f>
        <v>C.130</v>
      </c>
      <c r="F733" s="104" t="str">
        <f>Cadastro!$F665</f>
        <v>Vestiários Poliesportivo - Av. Mafra</v>
      </c>
      <c r="G733" s="104" t="str">
        <f>Cadastro!$G665</f>
        <v>-25.881268</v>
      </c>
      <c r="H733" s="104" t="str">
        <f>Cadastro!$H665</f>
        <v>-48.591000</v>
      </c>
      <c r="I733" s="104" t="str">
        <f>Cadastro!$I665</f>
        <v>siscop</v>
      </c>
      <c r="J733" s="104" t="str">
        <f>Cadastro!$J665</f>
        <v>Siscop1234</v>
      </c>
      <c r="K733" s="104" t="s">
        <v>4536</v>
      </c>
      <c r="L733" s="104" t="s">
        <v>26</v>
      </c>
      <c r="M733" s="104" t="s">
        <v>27</v>
      </c>
      <c r="N733" s="108" t="str">
        <f t="shared" si="1"/>
        <v>GUARATUBA</v>
      </c>
      <c r="O733" s="109" t="str">
        <f>Cadastro!$O665</f>
        <v>https://monitoramento.pm.pr.gov.br/proxy_image_6/Interface/Cameras/GetJPEGStream?Camera=C.130&amp;AuthUser=siscop&amp;AuthPass=Siscop1234&amp;Width=1024&amp;Height=768&amp;Quality=70&amp;FPS=10&amp;ResponseFormat=Text</v>
      </c>
      <c r="P733" s="106">
        <f>Cadastro!$P665</f>
        <v>1</v>
      </c>
    </row>
    <row r="734">
      <c r="A734" s="104" t="str">
        <f>Cadastro!$A666</f>
        <v>GUARATUBA</v>
      </c>
      <c r="B734" s="104" t="str">
        <f>Cadastro!$B666</f>
        <v>GUARATUBA</v>
      </c>
      <c r="C734" s="107" t="str">
        <f>Cadastro!$C666</f>
        <v>https://monitoramento.pm.pr.gov.br/proxy_image_6/</v>
      </c>
      <c r="D734" s="105">
        <f>Cadastro!$D666</f>
        <v>8601</v>
      </c>
      <c r="E734" s="104" t="str">
        <f>Cadastro!$E666</f>
        <v>C.131</v>
      </c>
      <c r="F734" s="104" t="str">
        <f>Cadastro!$F666</f>
        <v>Escola Olga Silveira - R. Otaviano Henrique de Carvalho, 2043 -Cohapar</v>
      </c>
      <c r="G734" s="104" t="str">
        <f>Cadastro!$G666</f>
        <v>-25.884449</v>
      </c>
      <c r="H734" s="104" t="str">
        <f>Cadastro!$H666</f>
        <v>-48.584133</v>
      </c>
      <c r="I734" s="104" t="str">
        <f>Cadastro!$I666</f>
        <v>siscop</v>
      </c>
      <c r="J734" s="104" t="str">
        <f>Cadastro!$J666</f>
        <v>Siscop1234</v>
      </c>
      <c r="K734" s="104" t="s">
        <v>4536</v>
      </c>
      <c r="L734" s="104" t="s">
        <v>26</v>
      </c>
      <c r="M734" s="104" t="s">
        <v>27</v>
      </c>
      <c r="N734" s="108" t="str">
        <f t="shared" si="1"/>
        <v>GUARATUBA</v>
      </c>
      <c r="O734" s="109" t="str">
        <f>Cadastro!$O666</f>
        <v>https://monitoramento.pm.pr.gov.br/proxy_image_6/Interface/Cameras/GetJPEGStream?Camera=C.131&amp;AuthUser=siscop&amp;AuthPass=Siscop1234&amp;Width=1024&amp;Height=768&amp;Quality=70&amp;FPS=10&amp;ResponseFormat=Text</v>
      </c>
      <c r="P734" s="106">
        <f>Cadastro!$P666</f>
        <v>1</v>
      </c>
    </row>
    <row r="735">
      <c r="A735" s="104" t="str">
        <f>Cadastro!$A667</f>
        <v>GUARATUBA</v>
      </c>
      <c r="B735" s="104" t="str">
        <f>Cadastro!$B667</f>
        <v>GUARATUBA</v>
      </c>
      <c r="C735" s="107" t="str">
        <f>Cadastro!$C667</f>
        <v>https://monitoramento.pm.pr.gov.br/proxy_image_6/</v>
      </c>
      <c r="D735" s="105">
        <f>Cadastro!$D667</f>
        <v>8601</v>
      </c>
      <c r="E735" s="104" t="str">
        <f>Cadastro!$E667</f>
        <v>C.132</v>
      </c>
      <c r="F735" s="104" t="str">
        <f>Cadastro!$F667</f>
        <v>Escola Olga Silveira - Salas - R. Otaviano Henrique de Carvalho, 2043 -Cohapar</v>
      </c>
      <c r="G735" s="104" t="str">
        <f>Cadastro!$G667</f>
        <v>-25.884449</v>
      </c>
      <c r="H735" s="104" t="str">
        <f>Cadastro!$H667</f>
        <v>-48.584133</v>
      </c>
      <c r="I735" s="104" t="str">
        <f>Cadastro!$I667</f>
        <v>siscop</v>
      </c>
      <c r="J735" s="104" t="str">
        <f>Cadastro!$J667</f>
        <v>Siscop1234</v>
      </c>
      <c r="K735" s="104" t="s">
        <v>4536</v>
      </c>
      <c r="L735" s="104" t="s">
        <v>26</v>
      </c>
      <c r="M735" s="104" t="s">
        <v>27</v>
      </c>
      <c r="N735" s="108" t="str">
        <f t="shared" si="1"/>
        <v>GUARATUBA</v>
      </c>
      <c r="O735" s="109" t="str">
        <f>Cadastro!$O667</f>
        <v>https://monitoramento.pm.pr.gov.br/proxy_image_6/Interface/Cameras/GetJPEGStream?Camera=C.132&amp;AuthUser=siscop&amp;AuthPass=Siscop1234&amp;Width=1024&amp;Height=768&amp;Quality=70&amp;FPS=10&amp;ResponseFormat=Text</v>
      </c>
      <c r="P735" s="106">
        <f>Cadastro!$P667</f>
        <v>1</v>
      </c>
    </row>
    <row r="736">
      <c r="A736" s="104" t="str">
        <f>Cadastro!$A668</f>
        <v>GUARATUBA</v>
      </c>
      <c r="B736" s="104" t="str">
        <f>Cadastro!$B668</f>
        <v>GUARATUBA</v>
      </c>
      <c r="C736" s="107" t="str">
        <f>Cadastro!$C668</f>
        <v>https://monitoramento.pm.pr.gov.br/proxy_image_6/</v>
      </c>
      <c r="D736" s="105">
        <f>Cadastro!$D668</f>
        <v>8601</v>
      </c>
      <c r="E736" s="104" t="str">
        <f>Cadastro!$E668</f>
        <v>C.133</v>
      </c>
      <c r="F736" s="104" t="str">
        <f>Cadastro!$F668</f>
        <v>Sec. Obras - Patio Garagem Municipal - R. Cel. Carlos Mafra, 1989</v>
      </c>
      <c r="G736" s="104" t="str">
        <f>Cadastro!$G668</f>
        <v>-25.886789</v>
      </c>
      <c r="H736" s="104" t="str">
        <f>Cadastro!$H668</f>
        <v>-48.590672</v>
      </c>
      <c r="I736" s="104" t="str">
        <f>Cadastro!$I668</f>
        <v>siscop</v>
      </c>
      <c r="J736" s="104" t="str">
        <f>Cadastro!$J668</f>
        <v>Siscop1234</v>
      </c>
      <c r="K736" s="104" t="s">
        <v>4536</v>
      </c>
      <c r="L736" s="104" t="s">
        <v>26</v>
      </c>
      <c r="M736" s="104" t="s">
        <v>27</v>
      </c>
      <c r="N736" s="108" t="str">
        <f t="shared" si="1"/>
        <v>GUARATUBA</v>
      </c>
      <c r="O736" s="109" t="str">
        <f>Cadastro!$O668</f>
        <v>https://monitoramento.pm.pr.gov.br/proxy_image_6/Interface/Cameras/GetJPEGStream?Camera=C.133&amp;AuthUser=siscop&amp;AuthPass=Siscop1234&amp;Width=1024&amp;Height=768&amp;Quality=70&amp;FPS=10&amp;ResponseFormat=Text</v>
      </c>
      <c r="P736" s="106">
        <f>Cadastro!$P668</f>
        <v>1</v>
      </c>
    </row>
    <row r="737">
      <c r="A737" s="104" t="str">
        <f>Cadastro!$A669</f>
        <v>GUARATUBA</v>
      </c>
      <c r="B737" s="104" t="str">
        <f>Cadastro!$B669</f>
        <v>GUARATUBA</v>
      </c>
      <c r="C737" s="107" t="str">
        <f>Cadastro!$C669</f>
        <v>https://monitoramento.pm.pr.gov.br/proxy_image_6/</v>
      </c>
      <c r="D737" s="105">
        <f>Cadastro!$D669</f>
        <v>8601</v>
      </c>
      <c r="E737" s="104" t="str">
        <f>Cadastro!$E669</f>
        <v>C.134</v>
      </c>
      <c r="F737" s="104" t="str">
        <f>Cadastro!$F669</f>
        <v>Rua Octaviano Henrique de Carvalho sentido Centro - Escola Olga Silveira</v>
      </c>
      <c r="G737" s="104" t="str">
        <f>Cadastro!$G669</f>
        <v>-25.884380</v>
      </c>
      <c r="H737" s="104" t="str">
        <f>Cadastro!$H669</f>
        <v>-48.584324</v>
      </c>
      <c r="I737" s="104" t="str">
        <f>Cadastro!$I669</f>
        <v>siscop</v>
      </c>
      <c r="J737" s="104" t="str">
        <f>Cadastro!$J669</f>
        <v>Siscop1234</v>
      </c>
      <c r="K737" s="104" t="s">
        <v>4536</v>
      </c>
      <c r="L737" s="104" t="s">
        <v>26</v>
      </c>
      <c r="M737" s="104" t="s">
        <v>27</v>
      </c>
      <c r="N737" s="108" t="str">
        <f t="shared" si="1"/>
        <v>GUARATUBA</v>
      </c>
      <c r="O737" s="109" t="str">
        <f>Cadastro!$O669</f>
        <v>https://monitoramento.pm.pr.gov.br/proxy_image_6/Interface/Cameras/GetJPEGStream?Camera=C.134&amp;AuthUser=siscop&amp;AuthPass=Siscop1234&amp;Width=1024&amp;Height=768&amp;Quality=70&amp;FPS=10&amp;ResponseFormat=Text</v>
      </c>
      <c r="P737" s="106">
        <f>Cadastro!$P669</f>
        <v>1</v>
      </c>
    </row>
    <row r="738">
      <c r="A738" s="104" t="str">
        <f>Cadastro!$A670</f>
        <v>GUARATUBA</v>
      </c>
      <c r="B738" s="104" t="str">
        <f>Cadastro!$B670</f>
        <v>GUARATUBA</v>
      </c>
      <c r="C738" s="107" t="str">
        <f>Cadastro!$C670</f>
        <v>https://monitoramento.pm.pr.gov.br/proxy_image_6/</v>
      </c>
      <c r="D738" s="105">
        <f>Cadastro!$D670</f>
        <v>8601</v>
      </c>
      <c r="E738" s="104" t="str">
        <f>Cadastro!$E670</f>
        <v>C.135</v>
      </c>
      <c r="F738" s="104" t="str">
        <f>Cadastro!$F670</f>
        <v>Rua Octaviano Henrique de Carvalho sentido Carvoeiro - Escola Olga Silveira</v>
      </c>
      <c r="G738" s="104" t="str">
        <f>Cadastro!$G670</f>
        <v>-25.884380</v>
      </c>
      <c r="H738" s="104" t="str">
        <f>Cadastro!$H670</f>
        <v>-48.584324</v>
      </c>
      <c r="I738" s="104" t="str">
        <f>Cadastro!$I670</f>
        <v>siscop</v>
      </c>
      <c r="J738" s="104" t="str">
        <f>Cadastro!$J670</f>
        <v>Siscop1234</v>
      </c>
      <c r="K738" s="104" t="s">
        <v>4536</v>
      </c>
      <c r="L738" s="104" t="s">
        <v>26</v>
      </c>
      <c r="M738" s="104" t="s">
        <v>27</v>
      </c>
      <c r="N738" s="108" t="str">
        <f t="shared" si="1"/>
        <v>GUARATUBA</v>
      </c>
      <c r="O738" s="109" t="str">
        <f>Cadastro!$O670</f>
        <v>https://monitoramento.pm.pr.gov.br/proxy_image_6/Interface/Cameras/GetJPEGStream?Camera=C.135&amp;AuthUser=siscop&amp;AuthPass=Siscop1234&amp;Width=1024&amp;Height=768&amp;Quality=70&amp;FPS=10&amp;ResponseFormat=Text</v>
      </c>
      <c r="P738" s="106">
        <f>Cadastro!$P670</f>
        <v>1</v>
      </c>
    </row>
    <row r="739">
      <c r="A739" s="104" t="str">
        <f>Cadastro!$A671</f>
        <v>GUARATUBA</v>
      </c>
      <c r="B739" s="104" t="str">
        <f>Cadastro!$B671</f>
        <v>GUARATUBA</v>
      </c>
      <c r="C739" s="107" t="str">
        <f>Cadastro!$C671</f>
        <v>https://monitoramento.pm.pr.gov.br/proxy_image_6/</v>
      </c>
      <c r="D739" s="105">
        <f>Cadastro!$D671</f>
        <v>8601</v>
      </c>
      <c r="E739" s="104" t="str">
        <f>Cadastro!$E671</f>
        <v>C.136</v>
      </c>
      <c r="F739" s="104" t="str">
        <f>Cadastro!$F671</f>
        <v>Mercado Municipal - Saguão Central - R. Newton de Souza</v>
      </c>
      <c r="G739" s="104" t="str">
        <f>Cadastro!$G671</f>
        <v>-25.875832</v>
      </c>
      <c r="H739" s="104" t="str">
        <f>Cadastro!$H671</f>
        <v>-48.584553</v>
      </c>
      <c r="I739" s="104" t="str">
        <f>Cadastro!$I671</f>
        <v>siscop</v>
      </c>
      <c r="J739" s="104" t="str">
        <f>Cadastro!$J671</f>
        <v>Siscop1234</v>
      </c>
      <c r="K739" s="104" t="s">
        <v>4536</v>
      </c>
      <c r="L739" s="104" t="s">
        <v>26</v>
      </c>
      <c r="M739" s="104" t="s">
        <v>27</v>
      </c>
      <c r="N739" s="108" t="str">
        <f t="shared" si="1"/>
        <v>GUARATUBA</v>
      </c>
      <c r="O739" s="109" t="str">
        <f>Cadastro!$O671</f>
        <v>https://monitoramento.pm.pr.gov.br/proxy_image_6/Interface/Cameras/GetJPEGStream?Camera=C.136&amp;AuthUser=siscop&amp;AuthPass=Siscop1234&amp;Width=1024&amp;Height=768&amp;Quality=70&amp;FPS=10&amp;ResponseFormat=Text</v>
      </c>
      <c r="P739" s="106">
        <f>Cadastro!$P671</f>
        <v>1</v>
      </c>
    </row>
    <row r="740">
      <c r="A740" s="104" t="str">
        <f>Cadastro!$A672</f>
        <v>GUARATUBA</v>
      </c>
      <c r="B740" s="104" t="str">
        <f>Cadastro!$B672</f>
        <v>GUARATUBA</v>
      </c>
      <c r="C740" s="107" t="str">
        <f>Cadastro!$C672</f>
        <v>https://monitoramento.pm.pr.gov.br/proxy_image_6/</v>
      </c>
      <c r="D740" s="105">
        <f>Cadastro!$D672</f>
        <v>8601</v>
      </c>
      <c r="E740" s="104" t="str">
        <f>Cadastro!$E672</f>
        <v>C.137</v>
      </c>
      <c r="F740" s="104" t="str">
        <f>Cadastro!$F672</f>
        <v>Mercado Municipal - Depósito de Pescados 01 - R. Newton de Souza</v>
      </c>
      <c r="G740" s="104" t="str">
        <f>Cadastro!$G672</f>
        <v>-25.875832</v>
      </c>
      <c r="H740" s="104" t="str">
        <f>Cadastro!$H672</f>
        <v>-48.584553</v>
      </c>
      <c r="I740" s="104" t="str">
        <f>Cadastro!$I672</f>
        <v>siscop</v>
      </c>
      <c r="J740" s="104" t="str">
        <f>Cadastro!$J672</f>
        <v>Siscop1234</v>
      </c>
      <c r="K740" s="104" t="s">
        <v>4536</v>
      </c>
      <c r="L740" s="104" t="s">
        <v>26</v>
      </c>
      <c r="M740" s="104" t="s">
        <v>27</v>
      </c>
      <c r="N740" s="108" t="str">
        <f t="shared" si="1"/>
        <v>GUARATUBA</v>
      </c>
      <c r="O740" s="109" t="str">
        <f>Cadastro!$O672</f>
        <v>https://monitoramento.pm.pr.gov.br/proxy_image_6/Interface/Cameras/GetJPEGStream?Camera=C.137&amp;AuthUser=siscop&amp;AuthPass=Siscop1234&amp;Width=1024&amp;Height=768&amp;Quality=70&amp;FPS=10&amp;ResponseFormat=Text</v>
      </c>
      <c r="P740" s="106">
        <f>Cadastro!$P672</f>
        <v>1</v>
      </c>
    </row>
    <row r="741">
      <c r="A741" s="104" t="str">
        <f>Cadastro!$A673</f>
        <v>GUARATUBA</v>
      </c>
      <c r="B741" s="104" t="str">
        <f>Cadastro!$B673</f>
        <v>GUARATUBA</v>
      </c>
      <c r="C741" s="107" t="str">
        <f>Cadastro!$C673</f>
        <v>https://monitoramento.pm.pr.gov.br/proxy_image_6/</v>
      </c>
      <c r="D741" s="105">
        <f>Cadastro!$D673</f>
        <v>8601</v>
      </c>
      <c r="E741" s="104" t="str">
        <f>Cadastro!$E673</f>
        <v>C.138</v>
      </c>
      <c r="F741" s="104" t="str">
        <f>Cadastro!$F673</f>
        <v>Mercado Municipal - Depósito de Pescados 02 - R. Newton de Souza</v>
      </c>
      <c r="G741" s="104" t="str">
        <f>Cadastro!$G673</f>
        <v>-25.875832</v>
      </c>
      <c r="H741" s="104" t="str">
        <f>Cadastro!$H673</f>
        <v>-48.584553</v>
      </c>
      <c r="I741" s="104" t="str">
        <f>Cadastro!$I673</f>
        <v>siscop</v>
      </c>
      <c r="J741" s="104" t="str">
        <f>Cadastro!$J673</f>
        <v>Siscop1234</v>
      </c>
      <c r="K741" s="104" t="s">
        <v>4536</v>
      </c>
      <c r="L741" s="104" t="s">
        <v>26</v>
      </c>
      <c r="M741" s="104" t="s">
        <v>27</v>
      </c>
      <c r="N741" s="108" t="str">
        <f t="shared" si="1"/>
        <v>GUARATUBA</v>
      </c>
      <c r="O741" s="109" t="str">
        <f>Cadastro!$O673</f>
        <v>https://monitoramento.pm.pr.gov.br/proxy_image_6/Interface/Cameras/GetJPEGStream?Camera=C.138&amp;AuthUser=siscop&amp;AuthPass=Siscop1234&amp;Width=1024&amp;Height=768&amp;Quality=70&amp;FPS=10&amp;ResponseFormat=Text</v>
      </c>
      <c r="P741" s="106">
        <f>Cadastro!$P673</f>
        <v>1</v>
      </c>
    </row>
    <row r="742">
      <c r="A742" s="104" t="str">
        <f>Cadastro!$A674</f>
        <v>GUARATUBA</v>
      </c>
      <c r="B742" s="104" t="str">
        <f>Cadastro!$B674</f>
        <v>GUARATUBA</v>
      </c>
      <c r="C742" s="107" t="str">
        <f>Cadastro!$C674</f>
        <v>https://monitoramento.pm.pr.gov.br/proxy_image_6/</v>
      </c>
      <c r="D742" s="105">
        <f>Cadastro!$D674</f>
        <v>8601</v>
      </c>
      <c r="E742" s="104" t="str">
        <f>Cadastro!$E674</f>
        <v>C.139</v>
      </c>
      <c r="F742" s="104" t="str">
        <f>Cadastro!$F674</f>
        <v>Mercado Municipal - Depósito de Pescados 03 - R. Newton de Souza</v>
      </c>
      <c r="G742" s="104" t="str">
        <f>Cadastro!$G674</f>
        <v>-25.875832</v>
      </c>
      <c r="H742" s="104" t="str">
        <f>Cadastro!$H674</f>
        <v>-48.584553</v>
      </c>
      <c r="I742" s="104" t="str">
        <f>Cadastro!$I674</f>
        <v>siscop</v>
      </c>
      <c r="J742" s="104" t="str">
        <f>Cadastro!$J674</f>
        <v>Siscop1234</v>
      </c>
      <c r="K742" s="104" t="s">
        <v>4536</v>
      </c>
      <c r="L742" s="104" t="s">
        <v>26</v>
      </c>
      <c r="M742" s="104" t="s">
        <v>27</v>
      </c>
      <c r="N742" s="108" t="str">
        <f t="shared" si="1"/>
        <v>GUARATUBA</v>
      </c>
      <c r="O742" s="109" t="str">
        <f>Cadastro!$O674</f>
        <v>https://monitoramento.pm.pr.gov.br/proxy_image_6/Interface/Cameras/GetJPEGStream?Camera=C.139&amp;AuthUser=siscop&amp;AuthPass=Siscop1234&amp;Width=1024&amp;Height=768&amp;Quality=70&amp;FPS=10&amp;ResponseFormat=Text</v>
      </c>
      <c r="P742" s="106">
        <f>Cadastro!$P674</f>
        <v>1</v>
      </c>
    </row>
    <row r="743">
      <c r="A743" s="104" t="str">
        <f>Cadastro!$A675</f>
        <v>GUARATUBA</v>
      </c>
      <c r="B743" s="104" t="str">
        <f>Cadastro!$B675</f>
        <v>GUARATUBA</v>
      </c>
      <c r="C743" s="107" t="str">
        <f>Cadastro!$C675</f>
        <v>https://monitoramento.pm.pr.gov.br/proxy_image_6/</v>
      </c>
      <c r="D743" s="105">
        <f>Cadastro!$D675</f>
        <v>8601</v>
      </c>
      <c r="E743" s="104" t="str">
        <f>Cadastro!$E675</f>
        <v>C.140</v>
      </c>
      <c r="F743" s="104" t="str">
        <f>Cadastro!$F675</f>
        <v>Mercado Municipal - Estacionamento - Sentido PMPR - R. Newton de Souza</v>
      </c>
      <c r="G743" s="104" t="str">
        <f>Cadastro!$G675</f>
        <v>-25.875832</v>
      </c>
      <c r="H743" s="104" t="str">
        <f>Cadastro!$H675</f>
        <v>-48.584553</v>
      </c>
      <c r="I743" s="104" t="str">
        <f>Cadastro!$I675</f>
        <v>siscop</v>
      </c>
      <c r="J743" s="104" t="str">
        <f>Cadastro!$J675</f>
        <v>Siscop1234</v>
      </c>
      <c r="K743" s="104" t="s">
        <v>4536</v>
      </c>
      <c r="L743" s="104" t="s">
        <v>26</v>
      </c>
      <c r="M743" s="104" t="s">
        <v>27</v>
      </c>
      <c r="N743" s="108" t="str">
        <f t="shared" si="1"/>
        <v>GUARATUBA</v>
      </c>
      <c r="O743" s="109" t="str">
        <f>Cadastro!$O675</f>
        <v>https://monitoramento.pm.pr.gov.br/proxy_image_6/Interface/Cameras/GetJPEGStream?Camera=C.140&amp;AuthUser=siscop&amp;AuthPass=Siscop1234&amp;Width=1024&amp;Height=768&amp;Quality=70&amp;FPS=10&amp;ResponseFormat=Text</v>
      </c>
      <c r="P743" s="106">
        <f>Cadastro!$P675</f>
        <v>1</v>
      </c>
    </row>
    <row r="744">
      <c r="A744" s="104" t="str">
        <f>Cadastro!$A676</f>
        <v>GUARATUBA</v>
      </c>
      <c r="B744" s="104" t="str">
        <f>Cadastro!$B676</f>
        <v>GUARATUBA</v>
      </c>
      <c r="C744" s="107" t="str">
        <f>Cadastro!$C676</f>
        <v>https://monitoramento.pm.pr.gov.br/proxy_image_6/</v>
      </c>
      <c r="D744" s="105">
        <f>Cadastro!$D676</f>
        <v>8601</v>
      </c>
      <c r="E744" s="104" t="str">
        <f>Cadastro!$E676</f>
        <v>C.141</v>
      </c>
      <c r="F744" s="104" t="str">
        <f>Cadastro!$F676</f>
        <v>Escola Máximo Jamur - Caieiras - Corredores Salas</v>
      </c>
      <c r="G744" s="104" t="str">
        <f>Cadastro!$G676</f>
        <v>-25.866005</v>
      </c>
      <c r="H744" s="104" t="str">
        <f>Cadastro!$H676</f>
        <v>-48.565044</v>
      </c>
      <c r="I744" s="104" t="str">
        <f>Cadastro!$I676</f>
        <v>siscop</v>
      </c>
      <c r="J744" s="104" t="str">
        <f>Cadastro!$J676</f>
        <v>Siscop1234</v>
      </c>
      <c r="K744" s="104" t="s">
        <v>4536</v>
      </c>
      <c r="L744" s="104" t="s">
        <v>26</v>
      </c>
      <c r="M744" s="104" t="s">
        <v>27</v>
      </c>
      <c r="N744" s="108" t="str">
        <f t="shared" si="1"/>
        <v>GUARATUBA</v>
      </c>
      <c r="O744" s="109" t="str">
        <f>Cadastro!$O676</f>
        <v>https://monitoramento.pm.pr.gov.br/proxy_image_6/Interface/Cameras/GetJPEGStream?Camera=C.141&amp;AuthUser=siscop&amp;AuthPass=Siscop1234&amp;Width=1024&amp;Height=768&amp;Quality=70&amp;FPS=10&amp;ResponseFormat=Text</v>
      </c>
      <c r="P744" s="106">
        <f>Cadastro!$P676</f>
        <v>1</v>
      </c>
    </row>
    <row r="745">
      <c r="A745" s="104" t="str">
        <f>Cadastro!$A677</f>
        <v>GUARATUBA</v>
      </c>
      <c r="B745" s="104" t="str">
        <f>Cadastro!$B677</f>
        <v>GUARATUBA</v>
      </c>
      <c r="C745" s="107" t="str">
        <f>Cadastro!$C677</f>
        <v>https://monitoramento.pm.pr.gov.br/proxy_image_6/</v>
      </c>
      <c r="D745" s="105">
        <f>Cadastro!$D677</f>
        <v>8601</v>
      </c>
      <c r="E745" s="104" t="str">
        <f>Cadastro!$E677</f>
        <v>C.142</v>
      </c>
      <c r="F745" s="104" t="str">
        <f>Cadastro!$F677</f>
        <v>Escola Máximo Jamur - Caieiras - Rua da Igreja Sentido Praia</v>
      </c>
      <c r="G745" s="104" t="str">
        <f>Cadastro!$G677</f>
        <v>-25.866005</v>
      </c>
      <c r="H745" s="104" t="str">
        <f>Cadastro!$H677</f>
        <v>-48.565044</v>
      </c>
      <c r="I745" s="104" t="str">
        <f>Cadastro!$I677</f>
        <v>siscop</v>
      </c>
      <c r="J745" s="104" t="str">
        <f>Cadastro!$J677</f>
        <v>Siscop1234</v>
      </c>
      <c r="K745" s="104" t="s">
        <v>4536</v>
      </c>
      <c r="L745" s="104" t="s">
        <v>26</v>
      </c>
      <c r="M745" s="104" t="s">
        <v>27</v>
      </c>
      <c r="N745" s="108" t="str">
        <f t="shared" si="1"/>
        <v>GUARATUBA</v>
      </c>
      <c r="O745" s="109" t="str">
        <f>Cadastro!$O677</f>
        <v>https://monitoramento.pm.pr.gov.br/proxy_image_6/Interface/Cameras/GetJPEGStream?Camera=C.142&amp;AuthUser=siscop&amp;AuthPass=Siscop1234&amp;Width=1024&amp;Height=768&amp;Quality=70&amp;FPS=10&amp;ResponseFormat=Text</v>
      </c>
      <c r="P745" s="106">
        <f>Cadastro!$P677</f>
        <v>1</v>
      </c>
    </row>
    <row r="746">
      <c r="A746" s="104" t="str">
        <f>Cadastro!$A678</f>
        <v>GUARATUBA</v>
      </c>
      <c r="B746" s="104" t="str">
        <f>Cadastro!$B678</f>
        <v>GUARATUBA</v>
      </c>
      <c r="C746" s="107" t="str">
        <f>Cadastro!$C678</f>
        <v>https://monitoramento.pm.pr.gov.br/proxy_image_6/</v>
      </c>
      <c r="D746" s="105">
        <f>Cadastro!$D678</f>
        <v>8601</v>
      </c>
      <c r="E746" s="104" t="str">
        <f>Cadastro!$E678</f>
        <v>C.143</v>
      </c>
      <c r="F746" s="104" t="str">
        <f>Cadastro!$F678</f>
        <v>Escola Máximo Jamur - Caieiras - Rua da Igreja Sentido Morro</v>
      </c>
      <c r="G746" s="104" t="str">
        <f>Cadastro!$G678</f>
        <v>-25.866005</v>
      </c>
      <c r="H746" s="104" t="str">
        <f>Cadastro!$H678</f>
        <v>-48.565044</v>
      </c>
      <c r="I746" s="104" t="str">
        <f>Cadastro!$I678</f>
        <v>siscop</v>
      </c>
      <c r="J746" s="104" t="str">
        <f>Cadastro!$J678</f>
        <v>Siscop1234</v>
      </c>
      <c r="K746" s="104" t="s">
        <v>4536</v>
      </c>
      <c r="L746" s="104" t="s">
        <v>26</v>
      </c>
      <c r="M746" s="104" t="s">
        <v>27</v>
      </c>
      <c r="N746" s="108" t="str">
        <f t="shared" si="1"/>
        <v>GUARATUBA</v>
      </c>
      <c r="O746" s="109" t="str">
        <f>Cadastro!$O678</f>
        <v>https://monitoramento.pm.pr.gov.br/proxy_image_6/Interface/Cameras/GetJPEGStream?Camera=C.143&amp;AuthUser=siscop&amp;AuthPass=Siscop1234&amp;Width=1024&amp;Height=768&amp;Quality=70&amp;FPS=10&amp;ResponseFormat=Text</v>
      </c>
      <c r="P746" s="106">
        <f>Cadastro!$P678</f>
        <v>1</v>
      </c>
    </row>
    <row r="747">
      <c r="A747" s="104" t="str">
        <f>Cadastro!$A679</f>
        <v>GUARATUBA</v>
      </c>
      <c r="B747" s="104" t="str">
        <f>Cadastro!$B679</f>
        <v>GUARATUBA</v>
      </c>
      <c r="C747" s="107" t="str">
        <f>Cadastro!$C679</f>
        <v>https://monitoramento.pm.pr.gov.br/proxy_image_6/</v>
      </c>
      <c r="D747" s="105">
        <f>Cadastro!$D679</f>
        <v>8601</v>
      </c>
      <c r="E747" s="104" t="str">
        <f>Cadastro!$E679</f>
        <v>C.144</v>
      </c>
      <c r="F747" s="104" t="str">
        <f>Cadastro!$F679</f>
        <v>Pronto Socorro Municipal - Saguão de atendimento - R. Guilherme Pequeno, 1179 - Cohapar</v>
      </c>
      <c r="G747" s="104" t="str">
        <f>Cadastro!$G679</f>
        <v>-25.884386</v>
      </c>
      <c r="H747" s="104" t="str">
        <f>Cadastro!$H679</f>
        <v>-48.579090</v>
      </c>
      <c r="I747" s="104" t="str">
        <f>Cadastro!$I679</f>
        <v>siscop</v>
      </c>
      <c r="J747" s="104" t="str">
        <f>Cadastro!$J679</f>
        <v>Siscop1234</v>
      </c>
      <c r="K747" s="104" t="s">
        <v>4536</v>
      </c>
      <c r="L747" s="104" t="s">
        <v>26</v>
      </c>
      <c r="M747" s="104" t="s">
        <v>27</v>
      </c>
      <c r="N747" s="108" t="str">
        <f t="shared" si="1"/>
        <v>GUARATUBA</v>
      </c>
      <c r="O747" s="109" t="str">
        <f>Cadastro!$O679</f>
        <v>https://monitoramento.pm.pr.gov.br/proxy_image_6/Interface/Cameras/GetJPEGStream?Camera=C.144&amp;AuthUser=siscop&amp;AuthPass=Siscop1234&amp;Width=1024&amp;Height=768&amp;Quality=70&amp;FPS=10&amp;ResponseFormat=Text</v>
      </c>
      <c r="P747" s="106">
        <f>Cadastro!$P679</f>
        <v>1</v>
      </c>
    </row>
    <row r="748">
      <c r="A748" s="104" t="str">
        <f>Cadastro!$A680</f>
        <v>GUARATUBA</v>
      </c>
      <c r="B748" s="104" t="str">
        <f>Cadastro!$B680</f>
        <v>GUARATUBA</v>
      </c>
      <c r="C748" s="107" t="str">
        <f>Cadastro!$C680</f>
        <v>https://monitoramento.pm.pr.gov.br/proxy_image_6/</v>
      </c>
      <c r="D748" s="105">
        <f>Cadastro!$D680</f>
        <v>8601</v>
      </c>
      <c r="E748" s="104" t="str">
        <f>Cadastro!$E680</f>
        <v>C.145</v>
      </c>
      <c r="F748" s="104" t="str">
        <f>Cadastro!$F680</f>
        <v>Pronto Socorro Municipal - Porta de entrada - R. Guilherme Pequeno, 1179 - Cohapar</v>
      </c>
      <c r="G748" s="104" t="str">
        <f>Cadastro!$G680</f>
        <v>-25.884386</v>
      </c>
      <c r="H748" s="104" t="str">
        <f>Cadastro!$H680</f>
        <v>-48.579090</v>
      </c>
      <c r="I748" s="104" t="str">
        <f>Cadastro!$I680</f>
        <v>siscop</v>
      </c>
      <c r="J748" s="104" t="str">
        <f>Cadastro!$J680</f>
        <v>Siscop1234</v>
      </c>
      <c r="K748" s="104" t="s">
        <v>4536</v>
      </c>
      <c r="L748" s="104" t="s">
        <v>26</v>
      </c>
      <c r="M748" s="104" t="s">
        <v>27</v>
      </c>
      <c r="N748" s="108" t="str">
        <f t="shared" si="1"/>
        <v>GUARATUBA</v>
      </c>
      <c r="O748" s="109" t="str">
        <f>Cadastro!$O680</f>
        <v>https://monitoramento.pm.pr.gov.br/proxy_image_6/Interface/Cameras/GetJPEGStream?Camera=C.145&amp;AuthUser=siscop&amp;AuthPass=Siscop1234&amp;Width=1024&amp;Height=768&amp;Quality=70&amp;FPS=10&amp;ResponseFormat=Text</v>
      </c>
      <c r="P748" s="106">
        <f>Cadastro!$P680</f>
        <v>1</v>
      </c>
    </row>
    <row r="749">
      <c r="A749" s="104" t="str">
        <f>Cadastro!$A681</f>
        <v>GUARATUBA</v>
      </c>
      <c r="B749" s="104" t="str">
        <f>Cadastro!$B681</f>
        <v>GUARATUBA</v>
      </c>
      <c r="C749" s="107" t="str">
        <f>Cadastro!$C681</f>
        <v>https://monitoramento.pm.pr.gov.br/proxy_image_6/</v>
      </c>
      <c r="D749" s="105">
        <f>Cadastro!$D681</f>
        <v>8601</v>
      </c>
      <c r="E749" s="104" t="str">
        <f>Cadastro!$E681</f>
        <v>C.146</v>
      </c>
      <c r="F749" s="104" t="str">
        <f>Cadastro!$F681</f>
        <v>Terminal Rodoviário - Sala de espera para embarque</v>
      </c>
      <c r="G749" s="104" t="str">
        <f>Cadastro!$G681</f>
        <v>-25.877375</v>
      </c>
      <c r="H749" s="104" t="str">
        <f>Cadastro!$H681</f>
        <v>-48.584259</v>
      </c>
      <c r="I749" s="104" t="str">
        <f>Cadastro!$I681</f>
        <v>siscop</v>
      </c>
      <c r="J749" s="104" t="str">
        <f>Cadastro!$J681</f>
        <v>Siscop1234</v>
      </c>
      <c r="K749" s="104" t="s">
        <v>4536</v>
      </c>
      <c r="L749" s="104" t="s">
        <v>26</v>
      </c>
      <c r="M749" s="104" t="s">
        <v>27</v>
      </c>
      <c r="N749" s="108" t="str">
        <f t="shared" si="1"/>
        <v>GUARATUBA</v>
      </c>
      <c r="O749" s="109" t="str">
        <f>Cadastro!$O681</f>
        <v>https://monitoramento.pm.pr.gov.br/proxy_image_6/Interface/Cameras/GetJPEGStream?Camera=C.146&amp;AuthUser=siscop&amp;AuthPass=Siscop1234&amp;Width=1024&amp;Height=768&amp;Quality=70&amp;FPS=10&amp;ResponseFormat=Text</v>
      </c>
      <c r="P749" s="106">
        <f>Cadastro!$P681</f>
        <v>1</v>
      </c>
    </row>
    <row r="750">
      <c r="A750" s="104" t="str">
        <f>Cadastro!$A682</f>
        <v>GUARATUBA</v>
      </c>
      <c r="B750" s="104" t="str">
        <f>Cadastro!$B682</f>
        <v>GUARATUBA</v>
      </c>
      <c r="C750" s="107" t="str">
        <f>Cadastro!$C682</f>
        <v>https://monitoramento.pm.pr.gov.br/proxy_image_6/</v>
      </c>
      <c r="D750" s="105">
        <f>Cadastro!$D682</f>
        <v>8601</v>
      </c>
      <c r="E750" s="104" t="str">
        <f>Cadastro!$E682</f>
        <v>C.147</v>
      </c>
      <c r="F750" s="104" t="str">
        <f>Cadastro!$F682</f>
        <v>Cruzamento Av. Guaratuba x Rocha Pombo - Bairro Mirim</v>
      </c>
      <c r="G750" s="104" t="str">
        <f>Cadastro!$G682</f>
        <v>-25.879656</v>
      </c>
      <c r="H750" s="104" t="str">
        <f>Cadastro!$H682</f>
        <v>-48.617287</v>
      </c>
      <c r="I750" s="104" t="str">
        <f>Cadastro!$I682</f>
        <v>siscop</v>
      </c>
      <c r="J750" s="104" t="str">
        <f>Cadastro!$J682</f>
        <v>Siscop1234</v>
      </c>
      <c r="K750" s="104" t="s">
        <v>4536</v>
      </c>
      <c r="L750" s="104" t="s">
        <v>26</v>
      </c>
      <c r="M750" s="104" t="s">
        <v>27</v>
      </c>
      <c r="N750" s="108" t="str">
        <f t="shared" si="1"/>
        <v>GUARATUBA</v>
      </c>
      <c r="O750" s="109" t="str">
        <f>Cadastro!$O682</f>
        <v>https://monitoramento.pm.pr.gov.br/proxy_image_6/Interface/Cameras/GetJPEGStream?Camera=C.147&amp;AuthUser=siscop&amp;AuthPass=Siscop1234&amp;Width=1024&amp;Height=768&amp;Quality=70&amp;FPS=10&amp;ResponseFormat=Text</v>
      </c>
      <c r="P750" s="106">
        <f>Cadastro!$P682</f>
        <v>1</v>
      </c>
    </row>
    <row r="751">
      <c r="A751" s="104" t="str">
        <f>Cadastro!$A683</f>
        <v>GUARATUBA</v>
      </c>
      <c r="B751" s="104" t="str">
        <f>Cadastro!$B683</f>
        <v>GUARATUBA</v>
      </c>
      <c r="C751" s="107" t="str">
        <f>Cadastro!$C683</f>
        <v>https://monitoramento.pm.pr.gov.br/proxy_image_6/</v>
      </c>
      <c r="D751" s="105">
        <f>Cadastro!$D683</f>
        <v>8601</v>
      </c>
      <c r="E751" s="104" t="str">
        <f>Cadastro!$E683</f>
        <v>C.148</v>
      </c>
      <c r="F751" s="104" t="str">
        <f>Cadastro!$F683</f>
        <v>Av. Guaratuba x Rocha Pombo - Bairro Mirim</v>
      </c>
      <c r="G751" s="104" t="str">
        <f>Cadastro!$G683</f>
        <v>-25.879694</v>
      </c>
      <c r="H751" s="104" t="str">
        <f>Cadastro!$H683</f>
        <v>-48.617401</v>
      </c>
      <c r="I751" s="104" t="str">
        <f>Cadastro!$I683</f>
        <v>siscop</v>
      </c>
      <c r="J751" s="104" t="str">
        <f>Cadastro!$J683</f>
        <v>Siscop1234</v>
      </c>
      <c r="K751" s="104" t="s">
        <v>4536</v>
      </c>
      <c r="L751" s="104" t="s">
        <v>26</v>
      </c>
      <c r="M751" s="104" t="s">
        <v>27</v>
      </c>
      <c r="N751" s="108" t="str">
        <f t="shared" si="1"/>
        <v>GUARATUBA</v>
      </c>
      <c r="O751" s="109" t="str">
        <f>Cadastro!$O683</f>
        <v>https://monitoramento.pm.pr.gov.br/proxy_image_6/Interface/Cameras/GetJPEGStream?Camera=C.148&amp;AuthUser=siscop&amp;AuthPass=Siscop1234&amp;Width=1024&amp;Height=768&amp;Quality=70&amp;FPS=10&amp;ResponseFormat=Text</v>
      </c>
      <c r="P751" s="106">
        <f>Cadastro!$P683</f>
        <v>1</v>
      </c>
    </row>
    <row r="752">
      <c r="A752" s="104" t="str">
        <f>Cadastro!$A684</f>
        <v>GUARATUBA</v>
      </c>
      <c r="B752" s="104" t="str">
        <f>Cadastro!$B684</f>
        <v>GUARATUBA</v>
      </c>
      <c r="C752" s="107" t="str">
        <f>Cadastro!$C684</f>
        <v>https://monitoramento.pm.pr.gov.br/proxy_image_6/</v>
      </c>
      <c r="D752" s="105">
        <f>Cadastro!$D684</f>
        <v>8601</v>
      </c>
      <c r="E752" s="104" t="str">
        <f>Cadastro!$E684</f>
        <v>C.149</v>
      </c>
      <c r="F752" s="104" t="str">
        <f>Cadastro!$F684</f>
        <v>R. Tocantins, 20 - Picarras- Centro, Acesso a Baia</v>
      </c>
      <c r="G752" s="104" t="str">
        <f>Cadastro!$G684</f>
        <v>-25.875448</v>
      </c>
      <c r="H752" s="104" t="str">
        <f>Cadastro!$H684</f>
        <v>-48.592426</v>
      </c>
      <c r="I752" s="104" t="str">
        <f>Cadastro!$I684</f>
        <v>siscop</v>
      </c>
      <c r="J752" s="104" t="str">
        <f>Cadastro!$J684</f>
        <v>Siscop1234</v>
      </c>
      <c r="K752" s="104" t="s">
        <v>4536</v>
      </c>
      <c r="L752" s="104" t="s">
        <v>26</v>
      </c>
      <c r="M752" s="104" t="s">
        <v>27</v>
      </c>
      <c r="N752" s="108" t="str">
        <f t="shared" si="1"/>
        <v>GUARATUBA</v>
      </c>
      <c r="O752" s="109" t="str">
        <f>Cadastro!$O684</f>
        <v>https://monitoramento.pm.pr.gov.br/proxy_image_6/Interface/Cameras/GetJPEGStream?Camera=C.149&amp;AuthUser=siscop&amp;AuthPass=Siscop1234&amp;Width=1024&amp;Height=768&amp;Quality=70&amp;FPS=10&amp;ResponseFormat=Text</v>
      </c>
      <c r="P752" s="106">
        <f>Cadastro!$P684</f>
        <v>1</v>
      </c>
    </row>
    <row r="753">
      <c r="A753" s="104" t="str">
        <f>Cadastro!$A685</f>
        <v>GUARATUBA</v>
      </c>
      <c r="B753" s="104" t="str">
        <f>Cadastro!$B685</f>
        <v>GUARATUBA</v>
      </c>
      <c r="C753" s="107" t="str">
        <f>Cadastro!$C685</f>
        <v>https://monitoramento.pm.pr.gov.br/proxy_image_6/</v>
      </c>
      <c r="D753" s="105">
        <f>Cadastro!$D685</f>
        <v>8601</v>
      </c>
      <c r="E753" s="104" t="str">
        <f>Cadastro!$E685</f>
        <v>C.150</v>
      </c>
      <c r="F753" s="104" t="str">
        <f>Cadastro!$F685</f>
        <v>R. Tocantins, 20 - Picarras - Centro, Acesso a Baia</v>
      </c>
      <c r="G753" s="104" t="str">
        <f>Cadastro!$G685</f>
        <v>-25.875448</v>
      </c>
      <c r="H753" s="104" t="str">
        <f>Cadastro!$H685</f>
        <v>-48.592426</v>
      </c>
      <c r="I753" s="104" t="str">
        <f>Cadastro!$I685</f>
        <v>siscop</v>
      </c>
      <c r="J753" s="104" t="str">
        <f>Cadastro!$J685</f>
        <v>Siscop1234</v>
      </c>
      <c r="K753" s="104" t="s">
        <v>4536</v>
      </c>
      <c r="L753" s="104" t="s">
        <v>26</v>
      </c>
      <c r="M753" s="104" t="s">
        <v>27</v>
      </c>
      <c r="N753" s="108" t="str">
        <f t="shared" si="1"/>
        <v>GUARATUBA</v>
      </c>
      <c r="O753" s="109" t="str">
        <f>Cadastro!$O685</f>
        <v>https://monitoramento.pm.pr.gov.br/proxy_image_6/Interface/Cameras/GetJPEGStream?Camera=C.150&amp;AuthUser=siscop&amp;AuthPass=Siscop1234&amp;Width=1024&amp;Height=768&amp;Quality=70&amp;FPS=10&amp;ResponseFormat=Text</v>
      </c>
      <c r="P753" s="106">
        <f>Cadastro!$P685</f>
        <v>1</v>
      </c>
    </row>
    <row r="754">
      <c r="A754" s="104" t="str">
        <f>Cadastro!$A686</f>
        <v>GUARATUBA</v>
      </c>
      <c r="B754" s="104" t="str">
        <f>Cadastro!$B686</f>
        <v>GUARATUBA</v>
      </c>
      <c r="C754" s="107" t="str">
        <f>Cadastro!$C686</f>
        <v>https://monitoramento.pm.pr.gov.br/proxy_image_6/</v>
      </c>
      <c r="D754" s="105">
        <f>Cadastro!$D686</f>
        <v>8601</v>
      </c>
      <c r="E754" s="104" t="str">
        <f>Cadastro!$E686</f>
        <v>C.151</v>
      </c>
      <c r="F754" s="104" t="str">
        <f>Cadastro!$F686</f>
        <v>R. Octaviano Henrique x Trav. Guaraci - Praça Carvoeiro</v>
      </c>
      <c r="G754" s="104" t="str">
        <f>Cadastro!$G686</f>
        <v>-25.894321</v>
      </c>
      <c r="H754" s="104" t="str">
        <f>Cadastro!$H686</f>
        <v>-48.597683</v>
      </c>
      <c r="I754" s="104" t="str">
        <f>Cadastro!$I686</f>
        <v>siscop</v>
      </c>
      <c r="J754" s="104" t="str">
        <f>Cadastro!$J686</f>
        <v>Siscop1234</v>
      </c>
      <c r="K754" s="104" t="s">
        <v>4536</v>
      </c>
      <c r="L754" s="104" t="s">
        <v>26</v>
      </c>
      <c r="M754" s="104" t="s">
        <v>27</v>
      </c>
      <c r="N754" s="108" t="str">
        <f t="shared" si="1"/>
        <v>GUARATUBA</v>
      </c>
      <c r="O754" s="109" t="str">
        <f>Cadastro!$O686</f>
        <v>https://monitoramento.pm.pr.gov.br/proxy_image_6/Interface/Cameras/GetJPEGStream?Camera=C.151&amp;AuthUser=siscop&amp;AuthPass=Siscop1234&amp;Width=1024&amp;Height=768&amp;Quality=70&amp;FPS=10&amp;ResponseFormat=Text</v>
      </c>
      <c r="P754" s="106">
        <f>Cadastro!$P686</f>
        <v>1</v>
      </c>
    </row>
    <row r="755">
      <c r="A755" s="104" t="str">
        <f>Cadastro!$A687</f>
        <v>GUARATUBA</v>
      </c>
      <c r="B755" s="104" t="str">
        <f>Cadastro!$B687</f>
        <v>GUARATUBA</v>
      </c>
      <c r="C755" s="107" t="str">
        <f>Cadastro!$C687</f>
        <v>https://monitoramento.pm.pr.gov.br/proxy_image_6/</v>
      </c>
      <c r="D755" s="105">
        <f>Cadastro!$D687</f>
        <v>8601</v>
      </c>
      <c r="E755" s="104" t="str">
        <f>Cadastro!$E687</f>
        <v>C.152</v>
      </c>
      <c r="F755" s="104" t="str">
        <f>Cadastro!$F687</f>
        <v>SPD - R. Octaviano Henrique x Trav. Guaraci - Praça Carvoeiro</v>
      </c>
      <c r="G755" s="104" t="str">
        <f>Cadastro!$G687</f>
        <v>-25.894321</v>
      </c>
      <c r="H755" s="104" t="str">
        <f>Cadastro!$H687</f>
        <v>-48.597683</v>
      </c>
      <c r="I755" s="104" t="str">
        <f>Cadastro!$I687</f>
        <v>siscop</v>
      </c>
      <c r="J755" s="104" t="str">
        <f>Cadastro!$J687</f>
        <v>Siscop1234</v>
      </c>
      <c r="K755" s="104" t="s">
        <v>4536</v>
      </c>
      <c r="L755" s="104" t="s">
        <v>26</v>
      </c>
      <c r="M755" s="104" t="s">
        <v>27</v>
      </c>
      <c r="N755" s="108" t="str">
        <f t="shared" si="1"/>
        <v>GUARATUBA</v>
      </c>
      <c r="O755" s="109" t="str">
        <f>Cadastro!$O687</f>
        <v>https://monitoramento.pm.pr.gov.br/proxy_image_6/Interface/Cameras/GetJPEGStream?Camera=C.152&amp;AuthUser=siscop&amp;AuthPass=Siscop1234&amp;Width=1024&amp;Height=768&amp;Quality=70&amp;FPS=10&amp;ResponseFormat=Text</v>
      </c>
      <c r="P755" s="106">
        <f>Cadastro!$P687</f>
        <v>1</v>
      </c>
    </row>
    <row r="756">
      <c r="A756" s="104" t="str">
        <f>Cadastro!$A688</f>
        <v>GUARATUBA</v>
      </c>
      <c r="B756" s="104" t="str">
        <f>Cadastro!$B688</f>
        <v>GUARATUBA</v>
      </c>
      <c r="C756" s="107" t="str">
        <f>Cadastro!$C688</f>
        <v>https://monitoramento.pm.pr.gov.br/proxy_image_6/</v>
      </c>
      <c r="D756" s="105">
        <f>Cadastro!$D688</f>
        <v>8601</v>
      </c>
      <c r="E756" s="104" t="str">
        <f>Cadastro!$E688</f>
        <v>C.153</v>
      </c>
      <c r="F756" s="104" t="str">
        <f>Cadastro!$F688</f>
        <v>Av. Octaviano Henrique de Carvalho x Sentido Centro</v>
      </c>
      <c r="G756" s="104" t="str">
        <f>Cadastro!$G688</f>
        <v>-25.888887</v>
      </c>
      <c r="H756" s="104" t="str">
        <f>Cadastro!$H688</f>
        <v>-48.590755</v>
      </c>
      <c r="I756" s="104" t="str">
        <f>Cadastro!$I688</f>
        <v>siscop</v>
      </c>
      <c r="J756" s="104" t="str">
        <f>Cadastro!$J688</f>
        <v>Siscop1234</v>
      </c>
      <c r="K756" s="104" t="s">
        <v>4536</v>
      </c>
      <c r="L756" s="104" t="s">
        <v>26</v>
      </c>
      <c r="M756" s="104" t="s">
        <v>27</v>
      </c>
      <c r="N756" s="108" t="str">
        <f t="shared" si="1"/>
        <v>GUARATUBA</v>
      </c>
      <c r="O756" s="109" t="str">
        <f>Cadastro!$O688</f>
        <v>https://monitoramento.pm.pr.gov.br/proxy_image_6/Interface/Cameras/GetJPEGStream?Camera=C.153&amp;AuthUser=siscop&amp;AuthPass=Siscop1234&amp;Width=1024&amp;Height=768&amp;Quality=70&amp;FPS=10&amp;ResponseFormat=Text</v>
      </c>
      <c r="P756" s="106">
        <f>Cadastro!$P688</f>
        <v>1</v>
      </c>
    </row>
    <row r="757">
      <c r="A757" s="104" t="str">
        <f>Cadastro!$A689</f>
        <v>GUARATUBA</v>
      </c>
      <c r="B757" s="104" t="str">
        <f>Cadastro!$B689</f>
        <v>GUARATUBA</v>
      </c>
      <c r="C757" s="107" t="str">
        <f>Cadastro!$C689</f>
        <v>https://monitoramento.pm.pr.gov.br/proxy_image_6/</v>
      </c>
      <c r="D757" s="105">
        <f>Cadastro!$D689</f>
        <v>8601</v>
      </c>
      <c r="E757" s="104" t="str">
        <f>Cadastro!$E689</f>
        <v>C.154</v>
      </c>
      <c r="F757" s="104" t="str">
        <f>Cadastro!$F689</f>
        <v>Av. Octaviano Henrique de Carvalho x Sentido Carvoeiro</v>
      </c>
      <c r="G757" s="104" t="str">
        <f>Cadastro!$G689</f>
        <v>-25.888887</v>
      </c>
      <c r="H757" s="104" t="str">
        <f>Cadastro!$H689</f>
        <v>-48.590755</v>
      </c>
      <c r="I757" s="104" t="str">
        <f>Cadastro!$I689</f>
        <v>siscop</v>
      </c>
      <c r="J757" s="104" t="str">
        <f>Cadastro!$J689</f>
        <v>Siscop1234</v>
      </c>
      <c r="K757" s="104" t="s">
        <v>4536</v>
      </c>
      <c r="L757" s="104" t="s">
        <v>26</v>
      </c>
      <c r="M757" s="104" t="s">
        <v>27</v>
      </c>
      <c r="N757" s="108" t="str">
        <f t="shared" si="1"/>
        <v>GUARATUBA</v>
      </c>
      <c r="O757" s="109" t="str">
        <f>Cadastro!$O689</f>
        <v>https://monitoramento.pm.pr.gov.br/proxy_image_6/Interface/Cameras/GetJPEGStream?Camera=C.154&amp;AuthUser=siscop&amp;AuthPass=Siscop1234&amp;Width=1024&amp;Height=768&amp;Quality=70&amp;FPS=10&amp;ResponseFormat=Text</v>
      </c>
      <c r="P757" s="106">
        <f>Cadastro!$P689</f>
        <v>1</v>
      </c>
    </row>
    <row r="758">
      <c r="A758" s="104" t="str">
        <f>Cadastro!$A690</f>
        <v>GUARATUBA</v>
      </c>
      <c r="B758" s="104" t="str">
        <f>Cadastro!$B690</f>
        <v>GUARATUBA</v>
      </c>
      <c r="C758" s="107" t="str">
        <f>Cadastro!$C690</f>
        <v>https://monitoramento.pm.pr.gov.br/proxy_image_6/</v>
      </c>
      <c r="D758" s="105">
        <f>Cadastro!$D690</f>
        <v>8601</v>
      </c>
      <c r="E758" s="104" t="str">
        <f>Cadastro!$E690</f>
        <v>C.155</v>
      </c>
      <c r="F758" s="104" t="str">
        <f>Cadastro!$F690</f>
        <v>Av. Octaviano Henrique de Carvalho x Sentido Av. Marechal Deodoro</v>
      </c>
      <c r="G758" s="104" t="str">
        <f>Cadastro!$G690</f>
        <v>-25.888887</v>
      </c>
      <c r="H758" s="104" t="str">
        <f>Cadastro!$H690</f>
        <v>-48.590755</v>
      </c>
      <c r="I758" s="104" t="str">
        <f>Cadastro!$I690</f>
        <v>siscop</v>
      </c>
      <c r="J758" s="104" t="str">
        <f>Cadastro!$J690</f>
        <v>Siscop1234</v>
      </c>
      <c r="K758" s="104" t="s">
        <v>4536</v>
      </c>
      <c r="L758" s="104" t="s">
        <v>26</v>
      </c>
      <c r="M758" s="104" t="s">
        <v>27</v>
      </c>
      <c r="N758" s="108" t="str">
        <f t="shared" si="1"/>
        <v>GUARATUBA</v>
      </c>
      <c r="O758" s="109" t="str">
        <f>Cadastro!$O690</f>
        <v>https://monitoramento.pm.pr.gov.br/proxy_image_6/Interface/Cameras/GetJPEGStream?Camera=C.155&amp;AuthUser=siscop&amp;AuthPass=Siscop1234&amp;Width=1024&amp;Height=768&amp;Quality=70&amp;FPS=10&amp;ResponseFormat=Text</v>
      </c>
      <c r="P758" s="106">
        <f>Cadastro!$P690</f>
        <v>1</v>
      </c>
    </row>
    <row r="759">
      <c r="A759" s="104" t="str">
        <f>Cadastro!$A691</f>
        <v>GUARATUBA</v>
      </c>
      <c r="B759" s="104" t="str">
        <f>Cadastro!$B691</f>
        <v>GUARATUBA</v>
      </c>
      <c r="C759" s="107" t="str">
        <f>Cadastro!$C691</f>
        <v>https://monitoramento.pm.pr.gov.br/proxy_image_6/</v>
      </c>
      <c r="D759" s="105">
        <f>Cadastro!$D691</f>
        <v>8601</v>
      </c>
      <c r="E759" s="104" t="str">
        <f>Cadastro!$E691</f>
        <v>C.156</v>
      </c>
      <c r="F759" s="104" t="str">
        <f>Cadastro!$F691</f>
        <v>Parquinho da Igreja de Caieiras</v>
      </c>
      <c r="G759" s="104" t="str">
        <f>Cadastro!$G691</f>
        <v>-25.865808</v>
      </c>
      <c r="H759" s="104" t="str">
        <f>Cadastro!$H691</f>
        <v>-48.564919</v>
      </c>
      <c r="I759" s="104" t="str">
        <f>Cadastro!$I691</f>
        <v>siscop</v>
      </c>
      <c r="J759" s="104" t="str">
        <f>Cadastro!$J691</f>
        <v>Siscop1234</v>
      </c>
      <c r="K759" s="104" t="s">
        <v>4536</v>
      </c>
      <c r="L759" s="104" t="s">
        <v>26</v>
      </c>
      <c r="M759" s="104" t="s">
        <v>27</v>
      </c>
      <c r="N759" s="108" t="str">
        <f t="shared" si="1"/>
        <v>GUARATUBA</v>
      </c>
      <c r="O759" s="109" t="str">
        <f>Cadastro!$O691</f>
        <v>https://monitoramento.pm.pr.gov.br/proxy_image_6/Interface/Cameras/GetJPEGStream?Camera=C.156&amp;AuthUser=siscop&amp;AuthPass=Siscop1234&amp;Width=1024&amp;Height=768&amp;Quality=70&amp;FPS=10&amp;ResponseFormat=Text</v>
      </c>
      <c r="P759" s="106">
        <f>Cadastro!$P691</f>
        <v>1</v>
      </c>
    </row>
    <row r="760">
      <c r="A760" s="104" t="str">
        <f>Cadastro!$A692</f>
        <v>GUARATUBA</v>
      </c>
      <c r="B760" s="104" t="str">
        <f>Cadastro!$B692</f>
        <v>GUARATUBA</v>
      </c>
      <c r="C760" s="107" t="str">
        <f>Cadastro!$C692</f>
        <v>https://monitoramento.pm.pr.gov.br/proxy_image_6/</v>
      </c>
      <c r="D760" s="105">
        <f>Cadastro!$D692</f>
        <v>8601</v>
      </c>
      <c r="E760" s="104" t="str">
        <f>Cadastro!$E692</f>
        <v>C.157</v>
      </c>
      <c r="F760" s="104" t="str">
        <f>Cadastro!$F692</f>
        <v>Rotatória Coroados - Sentido Centro</v>
      </c>
      <c r="G760" s="104" t="str">
        <f>Cadastro!$G692</f>
        <v>-25.947409</v>
      </c>
      <c r="H760" s="104" t="str">
        <f>Cadastro!$H692</f>
        <v>-48.596321</v>
      </c>
      <c r="I760" s="104" t="str">
        <f>Cadastro!$I692</f>
        <v>siscop</v>
      </c>
      <c r="J760" s="104" t="str">
        <f>Cadastro!$J692</f>
        <v>Siscop1234</v>
      </c>
      <c r="K760" s="104" t="s">
        <v>4536</v>
      </c>
      <c r="L760" s="104" t="s">
        <v>26</v>
      </c>
      <c r="M760" s="104" t="s">
        <v>27</v>
      </c>
      <c r="N760" s="108" t="str">
        <f t="shared" si="1"/>
        <v>GUARATUBA</v>
      </c>
      <c r="O760" s="109" t="str">
        <f>Cadastro!$O692</f>
        <v>https://monitoramento.pm.pr.gov.br/proxy_image_6/Interface/Cameras/GetJPEGStream?Camera=C.157&amp;AuthUser=siscop&amp;AuthPass=Siscop1234&amp;Width=1024&amp;Height=768&amp;Quality=70&amp;FPS=10&amp;ResponseFormat=Text</v>
      </c>
      <c r="P760" s="106">
        <f>Cadastro!$P692</f>
        <v>1</v>
      </c>
    </row>
    <row r="761">
      <c r="A761" s="104" t="str">
        <f>Cadastro!$A693</f>
        <v>CAMPINA GRANDE DO SUL</v>
      </c>
      <c r="B761" s="104" t="str">
        <f>Cadastro!$B693</f>
        <v>CAMPINA GRANDE DO SUL</v>
      </c>
      <c r="C761" s="107" t="str">
        <f>Cadastro!$C693</f>
        <v>https://monitoramento.pm.pr.gov.br/proxy_image_7/</v>
      </c>
      <c r="D761" s="105">
        <f>Cadastro!$D693</f>
        <v>8601</v>
      </c>
      <c r="E761" s="104" t="str">
        <f>Cadastro!$E693</f>
        <v>P001_Cxt</v>
      </c>
      <c r="F761" s="104" t="str">
        <f>Cadastro!$F693</f>
        <v>Ent. olhos D’agua</v>
      </c>
      <c r="G761" s="104" t="str">
        <f>Cadastro!$G693</f>
        <v>-25.322374</v>
      </c>
      <c r="H761" s="104" t="str">
        <f>Cadastro!$H693</f>
        <v>-49.077702</v>
      </c>
      <c r="I761" s="104" t="str">
        <f>Cadastro!$I693</f>
        <v>siscop</v>
      </c>
      <c r="J761" s="104" t="str">
        <f>Cadastro!$J693</f>
        <v>Siscop1234</v>
      </c>
      <c r="K761" s="104" t="s">
        <v>4536</v>
      </c>
      <c r="L761" s="104" t="s">
        <v>26</v>
      </c>
      <c r="M761" s="104" t="s">
        <v>27</v>
      </c>
      <c r="N761" s="108" t="str">
        <f t="shared" si="1"/>
        <v>CAMPINA GRANDE DO SUL</v>
      </c>
      <c r="O761" s="109" t="str">
        <f>Cadastro!$O693</f>
        <v>https://monitoramento.pm.pr.gov.br/proxy_image_7/Interface/Cameras/GetJPEGStream?Camera=P001_Cxt&amp;AuthUser=siscop&amp;AuthPass=Siscop1234&amp;Width=1024&amp;Height=768&amp;Quality=70&amp;FPS=10&amp;ResponseFormat=Text</v>
      </c>
      <c r="P761" s="106">
        <f>Cadastro!$P693</f>
        <v>1</v>
      </c>
    </row>
    <row r="762">
      <c r="A762" s="104" t="str">
        <f>Cadastro!$A694</f>
        <v>CAMPINA GRANDE DO SUL</v>
      </c>
      <c r="B762" s="104" t="str">
        <f>Cadastro!$B694</f>
        <v>CAMPINA GRANDE DO SUL</v>
      </c>
      <c r="C762" s="107" t="str">
        <f>Cadastro!$C694</f>
        <v>https://monitoramento.pm.pr.gov.br/proxy_image_7/</v>
      </c>
      <c r="D762" s="105">
        <f>Cadastro!$D694</f>
        <v>8601</v>
      </c>
      <c r="E762" s="104" t="str">
        <f>Cadastro!$E694</f>
        <v>P002_Cxt</v>
      </c>
      <c r="F762" s="104" t="str">
        <f>Cadastro!$F694</f>
        <v>Araçatuba (Ana Ferreira)</v>
      </c>
      <c r="G762" s="104" t="str">
        <f>Cadastro!$G694</f>
        <v>-25.333996</v>
      </c>
      <c r="H762" s="104" t="str">
        <f>Cadastro!$H694</f>
        <v>-49.078571</v>
      </c>
      <c r="I762" s="104" t="str">
        <f>Cadastro!$I694</f>
        <v>siscop</v>
      </c>
      <c r="J762" s="104" t="str">
        <f>Cadastro!$J694</f>
        <v>Siscop1234</v>
      </c>
      <c r="K762" s="104" t="s">
        <v>4536</v>
      </c>
      <c r="L762" s="104" t="s">
        <v>26</v>
      </c>
      <c r="M762" s="104" t="s">
        <v>27</v>
      </c>
      <c r="N762" s="108" t="str">
        <f t="shared" si="1"/>
        <v>CAMPINA GRANDE DO SUL</v>
      </c>
      <c r="O762" s="109" t="str">
        <f>Cadastro!$O694</f>
        <v>https://monitoramento.pm.pr.gov.br/proxy_image_7/Interface/Cameras/GetJPEGStream?Camera=P002_Cxt&amp;AuthUser=siscop&amp;AuthPass=Siscop1234&amp;Width=1024&amp;Height=768&amp;Quality=70&amp;FPS=10&amp;ResponseFormat=Text</v>
      </c>
      <c r="P762" s="106">
        <f>Cadastro!$P694</f>
        <v>1</v>
      </c>
    </row>
    <row r="763">
      <c r="A763" s="104" t="str">
        <f>Cadastro!$A695</f>
        <v>CAMPINA GRANDE DO SUL</v>
      </c>
      <c r="B763" s="104" t="str">
        <f>Cadastro!$B695</f>
        <v>CAMPINA GRANDE DO SUL</v>
      </c>
      <c r="C763" s="107" t="str">
        <f>Cadastro!$C695</f>
        <v>https://monitoramento.pm.pr.gov.br/proxy_image_7/</v>
      </c>
      <c r="D763" s="105">
        <f>Cadastro!$D695</f>
        <v>8601</v>
      </c>
      <c r="E763" s="104" t="str">
        <f>Cadastro!$E695</f>
        <v>P003_Cxt</v>
      </c>
      <c r="F763" s="104" t="str">
        <f>Cadastro!$F695</f>
        <v>Estrada colonia Japonesa</v>
      </c>
      <c r="G763" s="104" t="str">
        <f>Cadastro!$G695</f>
        <v>-25.337990</v>
      </c>
      <c r="H763" s="104" t="str">
        <f>Cadastro!$H695</f>
        <v>-49.078579</v>
      </c>
      <c r="I763" s="104" t="str">
        <f>Cadastro!$I695</f>
        <v>siscop</v>
      </c>
      <c r="J763" s="104" t="str">
        <f>Cadastro!$J695</f>
        <v>Siscop1234</v>
      </c>
      <c r="K763" s="104" t="s">
        <v>4536</v>
      </c>
      <c r="L763" s="104" t="s">
        <v>26</v>
      </c>
      <c r="M763" s="104" t="s">
        <v>27</v>
      </c>
      <c r="N763" s="108" t="str">
        <f t="shared" si="1"/>
        <v>CAMPINA GRANDE DO SUL</v>
      </c>
      <c r="O763" s="109" t="str">
        <f>Cadastro!$O695</f>
        <v>https://monitoramento.pm.pr.gov.br/proxy_image_7/Interface/Cameras/GetJPEGStream?Camera=P003_Cxt&amp;AuthUser=siscop&amp;AuthPass=Siscop1234&amp;Width=1024&amp;Height=768&amp;Quality=70&amp;FPS=10&amp;ResponseFormat=Text</v>
      </c>
      <c r="P763" s="106">
        <f>Cadastro!$P695</f>
        <v>1</v>
      </c>
    </row>
    <row r="764">
      <c r="A764" s="104" t="str">
        <f>Cadastro!$A696</f>
        <v>CAMPINA GRANDE DO SUL</v>
      </c>
      <c r="B764" s="104" t="str">
        <f>Cadastro!$B696</f>
        <v>CAMPINA GRANDE DO SUL</v>
      </c>
      <c r="C764" s="107" t="str">
        <f>Cadastro!$C696</f>
        <v>https://monitoramento.pm.pr.gov.br/proxy_image_7/</v>
      </c>
      <c r="D764" s="105">
        <f>Cadastro!$D696</f>
        <v>8601</v>
      </c>
      <c r="E764" s="104" t="str">
        <f>Cadastro!$E696</f>
        <v>P004_Cxt</v>
      </c>
      <c r="F764" s="104" t="str">
        <f>Cadastro!$F696</f>
        <v>Rod. Caqui-Santa Rita (Posto Petrobras)</v>
      </c>
      <c r="G764" s="104" t="str">
        <f>Cadastro!$G696</f>
        <v>-25.343405</v>
      </c>
      <c r="H764" s="104" t="str">
        <f>Cadastro!$H696</f>
        <v>-49.084084</v>
      </c>
      <c r="I764" s="104" t="str">
        <f>Cadastro!$I696</f>
        <v>siscop</v>
      </c>
      <c r="J764" s="104" t="str">
        <f>Cadastro!$J696</f>
        <v>Siscop1234</v>
      </c>
      <c r="K764" s="104" t="s">
        <v>4536</v>
      </c>
      <c r="L764" s="104" t="s">
        <v>26</v>
      </c>
      <c r="M764" s="104" t="s">
        <v>27</v>
      </c>
      <c r="N764" s="108" t="str">
        <f t="shared" si="1"/>
        <v>CAMPINA GRANDE DO SUL</v>
      </c>
      <c r="O764" s="109" t="str">
        <f>Cadastro!$O696</f>
        <v>https://monitoramento.pm.pr.gov.br/proxy_image_7/Interface/Cameras/GetJPEGStream?Camera=P004_Cxt&amp;AuthUser=siscop&amp;AuthPass=Siscop1234&amp;Width=1024&amp;Height=768&amp;Quality=70&amp;FPS=10&amp;ResponseFormat=Text</v>
      </c>
      <c r="P764" s="106">
        <f>Cadastro!$P696</f>
        <v>1</v>
      </c>
    </row>
    <row r="765">
      <c r="A765" s="104" t="str">
        <f>Cadastro!$A697</f>
        <v>CAMPINA GRANDE DO SUL</v>
      </c>
      <c r="B765" s="104" t="str">
        <f>Cadastro!$B697</f>
        <v>CAMPINA GRANDE DO SUL</v>
      </c>
      <c r="C765" s="107" t="str">
        <f>Cadastro!$C697</f>
        <v>https://monitoramento.pm.pr.gov.br/proxy_image_7/</v>
      </c>
      <c r="D765" s="105">
        <f>Cadastro!$D697</f>
        <v>8601</v>
      </c>
      <c r="E765" s="104" t="str">
        <f>Cadastro!$E697</f>
        <v>P005_Cxt</v>
      </c>
      <c r="F765" s="104" t="str">
        <f>Cadastro!$F697</f>
        <v>Santa Rosa (Pensão Toninho)</v>
      </c>
      <c r="G765" s="104" t="str">
        <f>Cadastro!$G697</f>
        <v>-25.346409</v>
      </c>
      <c r="H765" s="104" t="str">
        <f>Cadastro!$H697</f>
        <v>-49.083843</v>
      </c>
      <c r="I765" s="104" t="str">
        <f>Cadastro!$I697</f>
        <v>siscop</v>
      </c>
      <c r="J765" s="104" t="str">
        <f>Cadastro!$J697</f>
        <v>Siscop1234</v>
      </c>
      <c r="K765" s="104" t="s">
        <v>4536</v>
      </c>
      <c r="L765" s="104" t="s">
        <v>26</v>
      </c>
      <c r="M765" s="104" t="s">
        <v>27</v>
      </c>
      <c r="N765" s="108" t="str">
        <f t="shared" si="1"/>
        <v>CAMPINA GRANDE DO SUL</v>
      </c>
      <c r="O765" s="109" t="str">
        <f>Cadastro!$O697</f>
        <v>https://monitoramento.pm.pr.gov.br/proxy_image_7/Interface/Cameras/GetJPEGStream?Camera=P005_Cxt&amp;AuthUser=siscop&amp;AuthPass=Siscop1234&amp;Width=1024&amp;Height=768&amp;Quality=70&amp;FPS=10&amp;ResponseFormat=Text</v>
      </c>
      <c r="P765" s="106">
        <f>Cadastro!$P697</f>
        <v>1</v>
      </c>
    </row>
    <row r="766">
      <c r="A766" s="104" t="str">
        <f>Cadastro!$A698</f>
        <v>CAMPINA GRANDE DO SUL</v>
      </c>
      <c r="B766" s="104" t="str">
        <f>Cadastro!$B698</f>
        <v>CAMPINA GRANDE DO SUL</v>
      </c>
      <c r="C766" s="107" t="str">
        <f>Cadastro!$C698</f>
        <v>https://monitoramento.pm.pr.gov.br/proxy_image_7/</v>
      </c>
      <c r="D766" s="105">
        <f>Cadastro!$D698</f>
        <v>8601</v>
      </c>
      <c r="E766" s="104" t="str">
        <f>Cadastro!$E698</f>
        <v>P006.1_Cxt</v>
      </c>
      <c r="F766" s="104" t="str">
        <f>Cadastro!$F698</f>
        <v>Av. Marcos G. Strapasson x Br116 Area Industrial</v>
      </c>
      <c r="G766" s="104" t="str">
        <f>Cadastro!$G698</f>
        <v>-25.356106</v>
      </c>
      <c r="H766" s="104" t="str">
        <f>Cadastro!$H698</f>
        <v>-49.069016</v>
      </c>
      <c r="I766" s="104" t="str">
        <f>Cadastro!$I698</f>
        <v>siscop</v>
      </c>
      <c r="J766" s="104" t="str">
        <f>Cadastro!$J698</f>
        <v>Siscop1234</v>
      </c>
      <c r="K766" s="104" t="s">
        <v>4536</v>
      </c>
      <c r="L766" s="104" t="s">
        <v>26</v>
      </c>
      <c r="M766" s="104" t="s">
        <v>27</v>
      </c>
      <c r="N766" s="108" t="str">
        <f t="shared" si="1"/>
        <v>CAMPINA GRANDE DO SUL</v>
      </c>
      <c r="O766" s="109" t="str">
        <f>Cadastro!$O698</f>
        <v>https://monitoramento.pm.pr.gov.br/proxy_image_7/Interface/Cameras/GetJPEGStream?Camera=P006.1_Cxt&amp;AuthUser=siscop&amp;AuthPass=Siscop1234&amp;Width=1024&amp;Height=768&amp;Quality=70&amp;FPS=10&amp;ResponseFormat=Text</v>
      </c>
      <c r="P766" s="106">
        <f>Cadastro!$P698</f>
        <v>1</v>
      </c>
    </row>
    <row r="767">
      <c r="A767" s="104" t="str">
        <f>Cadastro!$A699</f>
        <v>CAMPINA GRANDE DO SUL</v>
      </c>
      <c r="B767" s="104" t="str">
        <f>Cadastro!$B699</f>
        <v>CAMPINA GRANDE DO SUL</v>
      </c>
      <c r="C767" s="107" t="str">
        <f>Cadastro!$C699</f>
        <v>https://monitoramento.pm.pr.gov.br/proxy_image_7/</v>
      </c>
      <c r="D767" s="105">
        <f>Cadastro!$D699</f>
        <v>8601</v>
      </c>
      <c r="E767" s="104" t="str">
        <f>Cadastro!$E699</f>
        <v>P006.2_LPR</v>
      </c>
      <c r="F767" s="104" t="str">
        <f>Cadastro!$F699</f>
        <v>Rua Marcos Nicolau Strapassoni, Campina Grande do Sul - PR</v>
      </c>
      <c r="G767" s="104" t="str">
        <f>Cadastro!$G699</f>
        <v>-25.356131</v>
      </c>
      <c r="H767" s="104" t="str">
        <f>Cadastro!$H699</f>
        <v>-49.069050</v>
      </c>
      <c r="I767" s="104" t="str">
        <f>Cadastro!$I699</f>
        <v>siscop</v>
      </c>
      <c r="J767" s="104" t="str">
        <f>Cadastro!$J699</f>
        <v>Siscop1234</v>
      </c>
      <c r="K767" s="104" t="s">
        <v>4536</v>
      </c>
      <c r="L767" s="104" t="s">
        <v>26</v>
      </c>
      <c r="M767" s="104" t="s">
        <v>27</v>
      </c>
      <c r="N767" s="108" t="str">
        <f t="shared" si="1"/>
        <v>CAMPINA GRANDE DO SUL</v>
      </c>
      <c r="O767" s="109" t="str">
        <f>Cadastro!$O699</f>
        <v>https://monitoramento.pm.pr.gov.br/proxy_image_7/Interface/Cameras/GetJPEGStream?Camera=P006.2_LPR&amp;AuthUser=siscop&amp;AuthPass=Siscop1234&amp;Width=1024&amp;Height=768&amp;Quality=70&amp;FPS=10&amp;ResponseFormat=Text</v>
      </c>
      <c r="P767" s="106">
        <f>Cadastro!$P699</f>
        <v>1</v>
      </c>
    </row>
    <row r="768">
      <c r="A768" s="104" t="str">
        <f>Cadastro!$A700</f>
        <v>CAMPINA GRANDE DO SUL</v>
      </c>
      <c r="B768" s="104" t="str">
        <f>Cadastro!$B700</f>
        <v>CAMPINA GRANDE DO SUL</v>
      </c>
      <c r="C768" s="107" t="str">
        <f>Cadastro!$C700</f>
        <v>https://monitoramento.pm.pr.gov.br/proxy_image_7/</v>
      </c>
      <c r="D768" s="105">
        <f>Cadastro!$D700</f>
        <v>8601</v>
      </c>
      <c r="E768" s="104" t="str">
        <f>Cadastro!$E700</f>
        <v>P007.1_LPR</v>
      </c>
      <c r="F768" s="104" t="str">
        <f>Cadastro!$F700</f>
        <v>Trevo sentido Hosp Caron</v>
      </c>
      <c r="G768" s="104" t="str">
        <f>Cadastro!$G700</f>
        <v>-25.360474</v>
      </c>
      <c r="H768" s="104" t="str">
        <f>Cadastro!$H700</f>
        <v>-49.082745</v>
      </c>
      <c r="I768" s="104" t="str">
        <f>Cadastro!$I700</f>
        <v>siscop</v>
      </c>
      <c r="J768" s="104" t="str">
        <f>Cadastro!$J700</f>
        <v>Siscop1234</v>
      </c>
      <c r="K768" s="104" t="s">
        <v>4536</v>
      </c>
      <c r="L768" s="104" t="s">
        <v>26</v>
      </c>
      <c r="M768" s="104" t="s">
        <v>27</v>
      </c>
      <c r="N768" s="108" t="str">
        <f t="shared" si="1"/>
        <v>CAMPINA GRANDE DO SUL</v>
      </c>
      <c r="O768" s="109" t="str">
        <f>Cadastro!$O700</f>
        <v>https://monitoramento.pm.pr.gov.br/proxy_image_7/Interface/Cameras/GetJPEGStream?Camera=P007.1_LPR&amp;AuthUser=siscop&amp;AuthPass=Siscop1234&amp;Width=1024&amp;Height=768&amp;Quality=70&amp;FPS=10&amp;ResponseFormat=Text</v>
      </c>
      <c r="P768" s="106">
        <f>Cadastro!$P700</f>
        <v>1</v>
      </c>
    </row>
    <row r="769">
      <c r="A769" s="104" t="str">
        <f>Cadastro!$A701</f>
        <v>CAMPINA GRANDE DO SUL</v>
      </c>
      <c r="B769" s="104" t="str">
        <f>Cadastro!$B701</f>
        <v>CAMPINA GRANDE DO SUL</v>
      </c>
      <c r="C769" s="107" t="str">
        <f>Cadastro!$C701</f>
        <v>https://monitoramento.pm.pr.gov.br/proxy_image_7/</v>
      </c>
      <c r="D769" s="105">
        <f>Cadastro!$D701</f>
        <v>8601</v>
      </c>
      <c r="E769" s="104" t="str">
        <f>Cadastro!$E701</f>
        <v>P007.2_A_Cxt</v>
      </c>
      <c r="F769" s="104" t="str">
        <f>Cadastro!$F701</f>
        <v>Rod Caqui Sentido Br116</v>
      </c>
      <c r="G769" s="104" t="str">
        <f>Cadastro!$G701</f>
        <v>-25.358891</v>
      </c>
      <c r="H769" s="104" t="str">
        <f>Cadastro!$H701</f>
        <v>-49.083260</v>
      </c>
      <c r="I769" s="104" t="str">
        <f>Cadastro!$I701</f>
        <v>siscop</v>
      </c>
      <c r="J769" s="104" t="str">
        <f>Cadastro!$J701</f>
        <v>Siscop1234</v>
      </c>
      <c r="K769" s="104" t="s">
        <v>4536</v>
      </c>
      <c r="L769" s="104" t="s">
        <v>26</v>
      </c>
      <c r="M769" s="104" t="s">
        <v>27</v>
      </c>
      <c r="N769" s="108" t="str">
        <f t="shared" si="1"/>
        <v>CAMPINA GRANDE DO SUL</v>
      </c>
      <c r="O769" s="109" t="str">
        <f>Cadastro!$O701</f>
        <v>https://monitoramento.pm.pr.gov.br/proxy_image_7/Interface/Cameras/GetJPEGStream?Camera=P007.2_A_Cxt&amp;AuthUser=siscop&amp;AuthPass=Siscop1234&amp;Width=1024&amp;Height=768&amp;Quality=70&amp;FPS=10&amp;ResponseFormat=Text</v>
      </c>
      <c r="P769" s="106">
        <f>Cadastro!$P701</f>
        <v>1</v>
      </c>
    </row>
    <row r="770">
      <c r="A770" s="104" t="str">
        <f>Cadastro!$A702</f>
        <v>CAMPINA GRANDE DO SUL</v>
      </c>
      <c r="B770" s="104" t="str">
        <f>Cadastro!$B702</f>
        <v>CAMPINA GRANDE DO SUL</v>
      </c>
      <c r="C770" s="107" t="str">
        <f>Cadastro!$C702</f>
        <v>https://monitoramento.pm.pr.gov.br/proxy_image_7/</v>
      </c>
      <c r="D770" s="105">
        <f>Cadastro!$D702</f>
        <v>8601</v>
      </c>
      <c r="E770" s="104" t="str">
        <f>Cadastro!$E702</f>
        <v>P007.2_B_LPR</v>
      </c>
      <c r="F770" s="104" t="str">
        <f>Cadastro!$F702</f>
        <v>Rod. Pr 506 Rod Do Caqui, 135, próximo a Duílio Calderari, sentido BR 116, Campina Grande do Sul - PR</v>
      </c>
      <c r="G770" s="104" t="str">
        <f>Cadastro!$G702</f>
        <v>-25.358683</v>
      </c>
      <c r="H770" s="104" t="str">
        <f>Cadastro!$H702</f>
        <v>-49.083305</v>
      </c>
      <c r="I770" s="104" t="str">
        <f>Cadastro!$I702</f>
        <v>siscop</v>
      </c>
      <c r="J770" s="104" t="str">
        <f>Cadastro!$J702</f>
        <v>Siscop1234</v>
      </c>
      <c r="K770" s="104" t="s">
        <v>4536</v>
      </c>
      <c r="L770" s="104" t="s">
        <v>26</v>
      </c>
      <c r="M770" s="104" t="s">
        <v>27</v>
      </c>
      <c r="N770" s="108" t="str">
        <f t="shared" si="1"/>
        <v>CAMPINA GRANDE DO SUL</v>
      </c>
      <c r="O770" s="109" t="str">
        <f>Cadastro!$O702</f>
        <v>https://monitoramento.pm.pr.gov.br/proxy_image_7/Interface/Cameras/GetJPEGStream?Camera=P007.2_B_LPR&amp;AuthUser=siscop&amp;AuthPass=Siscop1234&amp;Width=1024&amp;Height=768&amp;Quality=70&amp;FPS=10&amp;ResponseFormat=Text</v>
      </c>
      <c r="P770" s="106">
        <f>Cadastro!$P702</f>
        <v>1</v>
      </c>
    </row>
    <row r="771">
      <c r="A771" s="104" t="str">
        <f>Cadastro!$A703</f>
        <v>CAMPINA GRANDE DO SUL</v>
      </c>
      <c r="B771" s="104" t="str">
        <f>Cadastro!$B703</f>
        <v>CAMPINA GRANDE DO SUL</v>
      </c>
      <c r="C771" s="107" t="str">
        <f>Cadastro!$C703</f>
        <v>https://monitoramento.pm.pr.gov.br/proxy_image_7/</v>
      </c>
      <c r="D771" s="105">
        <f>Cadastro!$D703</f>
        <v>8601</v>
      </c>
      <c r="E771" s="104" t="str">
        <f>Cadastro!$E703</f>
        <v>P007.3_LPR</v>
      </c>
      <c r="F771" s="104" t="str">
        <f>Cadastro!$F703</f>
        <v>R. Prof. Duílio Calderari, 183, sentido Rod Caqui - Jardim Paulista, Campina Grande do Sul - PR</v>
      </c>
      <c r="G771" s="104" t="str">
        <f>Cadastro!$G703</f>
        <v>-25.360109</v>
      </c>
      <c r="H771" s="104" t="str">
        <f>Cadastro!$H703</f>
        <v>-49.084068</v>
      </c>
      <c r="I771" s="104" t="str">
        <f>Cadastro!$I703</f>
        <v>siscop</v>
      </c>
      <c r="J771" s="104" t="str">
        <f>Cadastro!$J703</f>
        <v>Siscop1234</v>
      </c>
      <c r="K771" s="104" t="s">
        <v>4536</v>
      </c>
      <c r="L771" s="104" t="s">
        <v>26</v>
      </c>
      <c r="M771" s="104" t="s">
        <v>27</v>
      </c>
      <c r="N771" s="108" t="str">
        <f t="shared" si="1"/>
        <v>CAMPINA GRANDE DO SUL</v>
      </c>
      <c r="O771" s="109" t="str">
        <f>Cadastro!$O703</f>
        <v>https://monitoramento.pm.pr.gov.br/proxy_image_7/Interface/Cameras/GetJPEGStream?Camera=P007.3_LPR&amp;AuthUser=siscop&amp;AuthPass=Siscop1234&amp;Width=1024&amp;Height=768&amp;Quality=70&amp;FPS=10&amp;ResponseFormat=Text</v>
      </c>
      <c r="P771" s="106">
        <f>Cadastro!$P703</f>
        <v>1</v>
      </c>
    </row>
    <row r="772">
      <c r="A772" s="104" t="str">
        <f>Cadastro!$A704</f>
        <v>CAMPINA GRANDE DO SUL</v>
      </c>
      <c r="B772" s="104" t="str">
        <f>Cadastro!$B704</f>
        <v>CAMPINA GRANDE DO SUL</v>
      </c>
      <c r="C772" s="107" t="str">
        <f>Cadastro!$C704</f>
        <v>https://monitoramento.pm.pr.gov.br/proxy_image_7/</v>
      </c>
      <c r="D772" s="105">
        <f>Cadastro!$D704</f>
        <v>8601</v>
      </c>
      <c r="E772" s="104" t="str">
        <f>Cadastro!$E704</f>
        <v>P007.4_Cxt</v>
      </c>
      <c r="F772" s="104" t="str">
        <f>Cadastro!$F704</f>
        <v>Trevo de acesso BR 116</v>
      </c>
      <c r="G772" s="104" t="str">
        <f>Cadastro!$G704</f>
        <v>-25.360582</v>
      </c>
      <c r="H772" s="104" t="str">
        <f>Cadastro!$H704</f>
        <v>-49.082943</v>
      </c>
      <c r="I772" s="104" t="str">
        <f>Cadastro!$I704</f>
        <v>siscop</v>
      </c>
      <c r="J772" s="104" t="str">
        <f>Cadastro!$J704</f>
        <v>Siscop1234</v>
      </c>
      <c r="K772" s="104" t="s">
        <v>4536</v>
      </c>
      <c r="L772" s="104" t="s">
        <v>26</v>
      </c>
      <c r="M772" s="104" t="s">
        <v>27</v>
      </c>
      <c r="N772" s="108" t="str">
        <f t="shared" si="1"/>
        <v>CAMPINA GRANDE DO SUL</v>
      </c>
      <c r="O772" s="109" t="str">
        <f>Cadastro!$O704</f>
        <v>https://monitoramento.pm.pr.gov.br/proxy_image_7/Interface/Cameras/GetJPEGStream?Camera=P007.4_Cxt&amp;AuthUser=siscop&amp;AuthPass=Siscop1234&amp;Width=1024&amp;Height=768&amp;Quality=70&amp;FPS=10&amp;ResponseFormat=Text</v>
      </c>
      <c r="P772" s="106">
        <f>Cadastro!$P704</f>
        <v>1</v>
      </c>
    </row>
    <row r="773">
      <c r="A773" s="104" t="str">
        <f>Cadastro!$A705</f>
        <v>CAMPINA GRANDE DO SUL</v>
      </c>
      <c r="B773" s="104" t="str">
        <f>Cadastro!$B705</f>
        <v>CAMPINA GRANDE DO SUL</v>
      </c>
      <c r="C773" s="107" t="str">
        <f>Cadastro!$C705</f>
        <v>https://monitoramento.pm.pr.gov.br/proxy_image_7/</v>
      </c>
      <c r="D773" s="105">
        <f>Cadastro!$D705</f>
        <v>8601</v>
      </c>
      <c r="E773" s="104" t="str">
        <f>Cadastro!$E705</f>
        <v>P008.1_LPR</v>
      </c>
      <c r="F773" s="104" t="str">
        <f>Cadastro!$F705</f>
        <v>R. Pedro Pasa, 272 - Jardim Paulista, Campina Grande do Sul - PR</v>
      </c>
      <c r="G773" s="104" t="str">
        <f>Cadastro!$G705</f>
        <v>-25.365297</v>
      </c>
      <c r="H773" s="104" t="str">
        <f>Cadastro!$H705</f>
        <v>-49.092731</v>
      </c>
      <c r="I773" s="104" t="str">
        <f>Cadastro!$I705</f>
        <v>siscop</v>
      </c>
      <c r="J773" s="104" t="str">
        <f>Cadastro!$J705</f>
        <v>Siscop1234</v>
      </c>
      <c r="K773" s="104" t="s">
        <v>4536</v>
      </c>
      <c r="L773" s="104" t="s">
        <v>26</v>
      </c>
      <c r="M773" s="104" t="s">
        <v>27</v>
      </c>
      <c r="N773" s="108" t="str">
        <f t="shared" si="1"/>
        <v>CAMPINA GRANDE DO SUL</v>
      </c>
      <c r="O773" s="109" t="str">
        <f>Cadastro!$O705</f>
        <v>https://monitoramento.pm.pr.gov.br/proxy_image_7/Interface/Cameras/GetJPEGStream?Camera=P008.1_LPR&amp;AuthUser=siscop&amp;AuthPass=Siscop1234&amp;Width=1024&amp;Height=768&amp;Quality=70&amp;FPS=10&amp;ResponseFormat=Text</v>
      </c>
      <c r="P773" s="106">
        <f>Cadastro!$P705</f>
        <v>1</v>
      </c>
    </row>
    <row r="774">
      <c r="A774" s="104" t="str">
        <f>Cadastro!$A706</f>
        <v>CAMPINA GRANDE DO SUL</v>
      </c>
      <c r="B774" s="104" t="str">
        <f>Cadastro!$B706</f>
        <v>CAMPINA GRANDE DO SUL</v>
      </c>
      <c r="C774" s="107" t="str">
        <f>Cadastro!$C706</f>
        <v>https://monitoramento.pm.pr.gov.br/proxy_image_7/</v>
      </c>
      <c r="D774" s="105">
        <f>Cadastro!$D706</f>
        <v>8601</v>
      </c>
      <c r="E774" s="104" t="str">
        <f>Cadastro!$E706</f>
        <v>P008.2_Cxt</v>
      </c>
      <c r="F774" s="104" t="str">
        <f>Cadastro!$F706</f>
        <v>Pedro Pasa x São João Batista</v>
      </c>
      <c r="G774" s="104" t="str">
        <f>Cadastro!$G706</f>
        <v>-25.365318</v>
      </c>
      <c r="H774" s="104" t="str">
        <f>Cadastro!$H706</f>
        <v>-49.093334</v>
      </c>
      <c r="I774" s="104" t="str">
        <f>Cadastro!$I706</f>
        <v>siscop</v>
      </c>
      <c r="J774" s="104" t="str">
        <f>Cadastro!$J706</f>
        <v>Siscop1234</v>
      </c>
      <c r="K774" s="104" t="s">
        <v>4536</v>
      </c>
      <c r="L774" s="104" t="s">
        <v>26</v>
      </c>
      <c r="M774" s="104" t="s">
        <v>27</v>
      </c>
      <c r="N774" s="108" t="str">
        <f t="shared" si="1"/>
        <v>CAMPINA GRANDE DO SUL</v>
      </c>
      <c r="O774" s="109" t="str">
        <f>Cadastro!$O706</f>
        <v>https://monitoramento.pm.pr.gov.br/proxy_image_7/Interface/Cameras/GetJPEGStream?Camera=P008.2_Cxt&amp;AuthUser=siscop&amp;AuthPass=Siscop1234&amp;Width=1024&amp;Height=768&amp;Quality=70&amp;FPS=10&amp;ResponseFormat=Text</v>
      </c>
      <c r="P774" s="106">
        <f>Cadastro!$P706</f>
        <v>1</v>
      </c>
    </row>
    <row r="775">
      <c r="A775" s="104" t="str">
        <f>Cadastro!$A707</f>
        <v>CAMPINA GRANDE DO SUL</v>
      </c>
      <c r="B775" s="104" t="str">
        <f>Cadastro!$B707</f>
        <v>CAMPINA GRANDE DO SUL</v>
      </c>
      <c r="C775" s="107" t="str">
        <f>Cadastro!$C707</f>
        <v>https://monitoramento.pm.pr.gov.br/proxy_image_7/</v>
      </c>
      <c r="D775" s="105">
        <f>Cadastro!$D707</f>
        <v>8601</v>
      </c>
      <c r="E775" s="104" t="str">
        <f>Cadastro!$E707</f>
        <v>P009.2_LPR</v>
      </c>
      <c r="F775" s="104" t="str">
        <f>Cadastro!$F707</f>
        <v>Pedro Pasa (Churrascaria)</v>
      </c>
      <c r="G775" s="104" t="str">
        <f>Cadastro!$G707</f>
        <v>-25.366217</v>
      </c>
      <c r="H775" s="104" t="str">
        <f>Cadastro!$H707</f>
        <v>-49.098400</v>
      </c>
      <c r="I775" s="104" t="str">
        <f>Cadastro!$I707</f>
        <v>siscop</v>
      </c>
      <c r="J775" s="104" t="str">
        <f>Cadastro!$J707</f>
        <v>Siscop1234</v>
      </c>
      <c r="K775" s="104" t="s">
        <v>4536</v>
      </c>
      <c r="L775" s="104" t="s">
        <v>26</v>
      </c>
      <c r="M775" s="104" t="s">
        <v>27</v>
      </c>
      <c r="N775" s="108" t="str">
        <f t="shared" si="1"/>
        <v>CAMPINA GRANDE DO SUL</v>
      </c>
      <c r="O775" s="109" t="str">
        <f>Cadastro!$O707</f>
        <v>https://monitoramento.pm.pr.gov.br/proxy_image_7/Interface/Cameras/GetJPEGStream?Camera=P009.2_LPR&amp;AuthUser=siscop&amp;AuthPass=Siscop1234&amp;Width=1024&amp;Height=768&amp;Quality=70&amp;FPS=10&amp;ResponseFormat=Text</v>
      </c>
      <c r="P775" s="106">
        <f>Cadastro!$P707</f>
        <v>1</v>
      </c>
    </row>
    <row r="776">
      <c r="A776" s="104" t="str">
        <f>Cadastro!$A708</f>
        <v>CAMPINA GRANDE DO SUL</v>
      </c>
      <c r="B776" s="104" t="str">
        <f>Cadastro!$B708</f>
        <v>CAMPINA GRANDE DO SUL</v>
      </c>
      <c r="C776" s="107" t="str">
        <f>Cadastro!$C708</f>
        <v>https://monitoramento.pm.pr.gov.br/proxy_image_7/</v>
      </c>
      <c r="D776" s="105">
        <f>Cadastro!$D708</f>
        <v>8601</v>
      </c>
      <c r="E776" s="104" t="str">
        <f>Cadastro!$E708</f>
        <v>P009_Cxt</v>
      </c>
      <c r="F776" s="104" t="str">
        <f>Cadastro!$F708</f>
        <v>Pedro Pasa (Churrascaria)</v>
      </c>
      <c r="G776" s="104" t="str">
        <f>Cadastro!$G708</f>
        <v>-25.366217</v>
      </c>
      <c r="H776" s="104" t="str">
        <f>Cadastro!$H708</f>
        <v>-49.098400</v>
      </c>
      <c r="I776" s="104" t="str">
        <f>Cadastro!$I708</f>
        <v>siscop</v>
      </c>
      <c r="J776" s="104" t="str">
        <f>Cadastro!$J708</f>
        <v>Siscop1234</v>
      </c>
      <c r="K776" s="104" t="s">
        <v>4536</v>
      </c>
      <c r="L776" s="104" t="s">
        <v>26</v>
      </c>
      <c r="M776" s="104" t="s">
        <v>27</v>
      </c>
      <c r="N776" s="108" t="str">
        <f t="shared" si="1"/>
        <v>CAMPINA GRANDE DO SUL</v>
      </c>
      <c r="O776" s="109" t="str">
        <f>Cadastro!$O708</f>
        <v>https://monitoramento.pm.pr.gov.br/proxy_image_7/Interface/Cameras/GetJPEGStream?Camera=P009_Cxt&amp;AuthUser=siscop&amp;AuthPass=Siscop1234&amp;Width=1024&amp;Height=768&amp;Quality=70&amp;FPS=10&amp;ResponseFormat=Text</v>
      </c>
      <c r="P776" s="106">
        <f>Cadastro!$P708</f>
        <v>1</v>
      </c>
    </row>
    <row r="777">
      <c r="A777" s="104" t="str">
        <f>Cadastro!$A709</f>
        <v>CAMPINA GRANDE DO SUL</v>
      </c>
      <c r="B777" s="104" t="str">
        <f>Cadastro!$B709</f>
        <v>CAMPINA GRANDE DO SUL</v>
      </c>
      <c r="C777" s="107" t="str">
        <f>Cadastro!$C709</f>
        <v>https://monitoramento.pm.pr.gov.br/proxy_image_7/</v>
      </c>
      <c r="D777" s="105">
        <f>Cadastro!$D709</f>
        <v>8601</v>
      </c>
      <c r="E777" s="104" t="str">
        <f>Cadastro!$E709</f>
        <v>P010_A_Cxt</v>
      </c>
      <c r="F777" s="104" t="str">
        <f>Cadastro!$F709</f>
        <v>Pedro Pasa (Trincheira)</v>
      </c>
      <c r="G777" s="104" t="str">
        <f>Cadastro!$G709</f>
        <v>-25.367069</v>
      </c>
      <c r="H777" s="104" t="str">
        <f>Cadastro!$H709</f>
        <v>-49.101311</v>
      </c>
      <c r="I777" s="104" t="str">
        <f>Cadastro!$I709</f>
        <v>siscop</v>
      </c>
      <c r="J777" s="104" t="str">
        <f>Cadastro!$J709</f>
        <v>Siscop1234</v>
      </c>
      <c r="K777" s="104" t="s">
        <v>4536</v>
      </c>
      <c r="L777" s="104" t="s">
        <v>26</v>
      </c>
      <c r="M777" s="104" t="s">
        <v>27</v>
      </c>
      <c r="N777" s="108" t="str">
        <f t="shared" si="1"/>
        <v>CAMPINA GRANDE DO SUL</v>
      </c>
      <c r="O777" s="109" t="str">
        <f>Cadastro!$O709</f>
        <v>https://monitoramento.pm.pr.gov.br/proxy_image_7/Interface/Cameras/GetJPEGStream?Camera=P010_A_Cxt&amp;AuthUser=siscop&amp;AuthPass=Siscop1234&amp;Width=1024&amp;Height=768&amp;Quality=70&amp;FPS=10&amp;ResponseFormat=Text</v>
      </c>
      <c r="P777" s="106">
        <f>Cadastro!$P709</f>
        <v>1</v>
      </c>
    </row>
    <row r="778">
      <c r="A778" s="104" t="str">
        <f>Cadastro!$A710</f>
        <v>CAMPINA GRANDE DO SUL</v>
      </c>
      <c r="B778" s="104" t="str">
        <f>Cadastro!$B710</f>
        <v>CAMPINA GRANDE DO SUL</v>
      </c>
      <c r="C778" s="107" t="str">
        <f>Cadastro!$C710</f>
        <v>https://monitoramento.pm.pr.gov.br/proxy_image_7/</v>
      </c>
      <c r="D778" s="105">
        <f>Cadastro!$D710</f>
        <v>8601</v>
      </c>
      <c r="E778" s="104" t="str">
        <f>Cadastro!$E710</f>
        <v>P010_B_LPR</v>
      </c>
      <c r="F778" s="104" t="str">
        <f>Cadastro!$F710</f>
        <v>Pedro Pasa (Trincheira)</v>
      </c>
      <c r="G778" s="104" t="str">
        <f>Cadastro!$G710</f>
        <v>-25.367033</v>
      </c>
      <c r="H778" s="104" t="str">
        <f>Cadastro!$H710</f>
        <v>-49.101311</v>
      </c>
      <c r="I778" s="104" t="str">
        <f>Cadastro!$I710</f>
        <v>siscop</v>
      </c>
      <c r="J778" s="104" t="str">
        <f>Cadastro!$J710</f>
        <v>Siscop1234</v>
      </c>
      <c r="K778" s="104" t="s">
        <v>4536</v>
      </c>
      <c r="L778" s="104" t="s">
        <v>26</v>
      </c>
      <c r="M778" s="104" t="s">
        <v>27</v>
      </c>
      <c r="N778" s="108" t="str">
        <f t="shared" si="1"/>
        <v>CAMPINA GRANDE DO SUL</v>
      </c>
      <c r="O778" s="109" t="str">
        <f>Cadastro!$O710</f>
        <v>https://monitoramento.pm.pr.gov.br/proxy_image_7/Interface/Cameras/GetJPEGStream?Camera=P010_B_LPR&amp;AuthUser=siscop&amp;AuthPass=Siscop1234&amp;Width=1024&amp;Height=768&amp;Quality=70&amp;FPS=10&amp;ResponseFormat=Text</v>
      </c>
      <c r="P778" s="106">
        <f>Cadastro!$P710</f>
        <v>1</v>
      </c>
    </row>
    <row r="779">
      <c r="A779" s="104" t="str">
        <f>Cadastro!$A711</f>
        <v>CAMPINA GRANDE DO SUL</v>
      </c>
      <c r="B779" s="104" t="str">
        <f>Cadastro!$B711</f>
        <v>CAMPINA GRANDE DO SUL</v>
      </c>
      <c r="C779" s="107" t="str">
        <f>Cadastro!$C711</f>
        <v>https://monitoramento.pm.pr.gov.br/proxy_image_7/</v>
      </c>
      <c r="D779" s="105">
        <f>Cadastro!$D711</f>
        <v>8601</v>
      </c>
      <c r="E779" s="104" t="str">
        <f>Cadastro!$E711</f>
        <v>P010_C_Cxt</v>
      </c>
      <c r="F779" s="104" t="str">
        <f>Cadastro!$F711</f>
        <v>Pedro Pasa (Trincheira)</v>
      </c>
      <c r="G779" s="104" t="str">
        <f>Cadastro!$G711</f>
        <v>-25.367069</v>
      </c>
      <c r="H779" s="104" t="str">
        <f>Cadastro!$H711</f>
        <v>-49.101311</v>
      </c>
      <c r="I779" s="104" t="str">
        <f>Cadastro!$I711</f>
        <v>siscop</v>
      </c>
      <c r="J779" s="104" t="str">
        <f>Cadastro!$J711</f>
        <v>Siscop1234</v>
      </c>
      <c r="K779" s="104" t="s">
        <v>4536</v>
      </c>
      <c r="L779" s="104" t="s">
        <v>26</v>
      </c>
      <c r="M779" s="104" t="s">
        <v>27</v>
      </c>
      <c r="N779" s="108" t="str">
        <f t="shared" si="1"/>
        <v>CAMPINA GRANDE DO SUL</v>
      </c>
      <c r="O779" s="109" t="str">
        <f>Cadastro!$O711</f>
        <v>https://monitoramento.pm.pr.gov.br/proxy_image_7/Interface/Cameras/GetJPEGStream?Camera=P010_C_Cxt&amp;AuthUser=siscop&amp;AuthPass=Siscop1234&amp;Width=1024&amp;Height=768&amp;Quality=70&amp;FPS=10&amp;ResponseFormat=Text</v>
      </c>
      <c r="P779" s="106">
        <f>Cadastro!$P711</f>
        <v>1</v>
      </c>
    </row>
    <row r="780">
      <c r="A780" s="104" t="str">
        <f>Cadastro!$A712</f>
        <v>CAMPINA GRANDE DO SUL</v>
      </c>
      <c r="B780" s="104" t="str">
        <f>Cadastro!$B712</f>
        <v>CAMPINA GRANDE DO SUL</v>
      </c>
      <c r="C780" s="107" t="str">
        <f>Cadastro!$C712</f>
        <v>https://monitoramento.pm.pr.gov.br/proxy_image_7/</v>
      </c>
      <c r="D780" s="105">
        <f>Cadastro!$D712</f>
        <v>8601</v>
      </c>
      <c r="E780" s="104" t="str">
        <f>Cadastro!$E712</f>
        <v>P011.2_LPR</v>
      </c>
      <c r="F780" s="104" t="str">
        <f>Cadastro!$F712</f>
        <v>RuaPedro Pasa x Jose Sbalchiero</v>
      </c>
      <c r="G780" s="104" t="str">
        <f>Cadastro!$G712</f>
        <v>-25.368536</v>
      </c>
      <c r="H780" s="104" t="str">
        <f>Cadastro!$H712</f>
        <v>-49.113007</v>
      </c>
      <c r="I780" s="104" t="str">
        <f>Cadastro!$I712</f>
        <v>siscop</v>
      </c>
      <c r="J780" s="104" t="str">
        <f>Cadastro!$J712</f>
        <v>Siscop1234</v>
      </c>
      <c r="K780" s="104" t="s">
        <v>4536</v>
      </c>
      <c r="L780" s="104" t="s">
        <v>26</v>
      </c>
      <c r="M780" s="104" t="s">
        <v>27</v>
      </c>
      <c r="N780" s="108" t="str">
        <f t="shared" si="1"/>
        <v>CAMPINA GRANDE DO SUL</v>
      </c>
      <c r="O780" s="109" t="str">
        <f>Cadastro!$O712</f>
        <v>https://monitoramento.pm.pr.gov.br/proxy_image_7/Interface/Cameras/GetJPEGStream?Camera=P011.2_LPR&amp;AuthUser=siscop&amp;AuthPass=Siscop1234&amp;Width=1024&amp;Height=768&amp;Quality=70&amp;FPS=10&amp;ResponseFormat=Text</v>
      </c>
      <c r="P780" s="106">
        <f>Cadastro!$P712</f>
        <v>1</v>
      </c>
    </row>
    <row r="781">
      <c r="A781" s="104" t="str">
        <f>Cadastro!$A713</f>
        <v>CAMPINA GRANDE DO SUL</v>
      </c>
      <c r="B781" s="104" t="str">
        <f>Cadastro!$B713</f>
        <v>CAMPINA GRANDE DO SUL</v>
      </c>
      <c r="C781" s="107" t="str">
        <f>Cadastro!$C713</f>
        <v>https://monitoramento.pm.pr.gov.br/proxy_image_7/</v>
      </c>
      <c r="D781" s="105">
        <f>Cadastro!$D713</f>
        <v>8601</v>
      </c>
      <c r="E781" s="104" t="str">
        <f>Cadastro!$E713</f>
        <v>P011_Cxt</v>
      </c>
      <c r="F781" s="104" t="str">
        <f>Cadastro!$F713</f>
        <v>Pedro Pasa x Jose Sbalchiero</v>
      </c>
      <c r="G781" s="104" t="str">
        <f>Cadastro!$G713</f>
        <v>-25.367102</v>
      </c>
      <c r="H781" s="104" t="str">
        <f>Cadastro!$H713</f>
        <v>-49.103458</v>
      </c>
      <c r="I781" s="104" t="str">
        <f>Cadastro!$I713</f>
        <v>siscop</v>
      </c>
      <c r="J781" s="104" t="str">
        <f>Cadastro!$J713</f>
        <v>Siscop1234</v>
      </c>
      <c r="K781" s="104" t="s">
        <v>4536</v>
      </c>
      <c r="L781" s="104" t="s">
        <v>26</v>
      </c>
      <c r="M781" s="104" t="s">
        <v>27</v>
      </c>
      <c r="N781" s="108" t="str">
        <f t="shared" si="1"/>
        <v>CAMPINA GRANDE DO SUL</v>
      </c>
      <c r="O781" s="109" t="str">
        <f>Cadastro!$O713</f>
        <v>https://monitoramento.pm.pr.gov.br/proxy_image_7/Interface/Cameras/GetJPEGStream?Camera=P011_Cxt&amp;AuthUser=siscop&amp;AuthPass=Siscop1234&amp;Width=1024&amp;Height=768&amp;Quality=70&amp;FPS=10&amp;ResponseFormat=Text</v>
      </c>
      <c r="P781" s="106">
        <f>Cadastro!$P713</f>
        <v>1</v>
      </c>
    </row>
    <row r="782">
      <c r="A782" s="104" t="str">
        <f>Cadastro!$A714</f>
        <v>CAMPINA GRANDE DO SUL</v>
      </c>
      <c r="B782" s="104" t="str">
        <f>Cadastro!$B714</f>
        <v>CAMPINA GRANDE DO SUL</v>
      </c>
      <c r="C782" s="107" t="str">
        <f>Cadastro!$C714</f>
        <v>https://monitoramento.pm.pr.gov.br/proxy_image_7/</v>
      </c>
      <c r="D782" s="105">
        <f>Cadastro!$D714</f>
        <v>8601</v>
      </c>
      <c r="E782" s="104" t="str">
        <f>Cadastro!$E714</f>
        <v>P012.2_Cxt</v>
      </c>
      <c r="F782" s="104" t="str">
        <f>Cadastro!$F714</f>
        <v>R. Pedro Pasa, 1696, Jardim Paulista, Campina Grande do Sul - PR</v>
      </c>
      <c r="G782" s="104" t="str">
        <f>Cadastro!$G714</f>
        <v>-25.367857</v>
      </c>
      <c r="H782" s="104" t="str">
        <f>Cadastro!$H714</f>
        <v>-49.107197</v>
      </c>
      <c r="I782" s="104" t="str">
        <f>Cadastro!$I714</f>
        <v>siscop</v>
      </c>
      <c r="J782" s="104" t="str">
        <f>Cadastro!$J714</f>
        <v>Siscop1234</v>
      </c>
      <c r="K782" s="104" t="s">
        <v>4536</v>
      </c>
      <c r="L782" s="104" t="s">
        <v>26</v>
      </c>
      <c r="M782" s="104" t="s">
        <v>27</v>
      </c>
      <c r="N782" s="108" t="str">
        <f t="shared" si="1"/>
        <v>CAMPINA GRANDE DO SUL</v>
      </c>
      <c r="O782" s="109" t="str">
        <f>Cadastro!$O714</f>
        <v>https://monitoramento.pm.pr.gov.br/proxy_image_7/Interface/Cameras/GetJPEGStream?Camera=P012.2_Cxt&amp;AuthUser=siscop&amp;AuthPass=Siscop1234&amp;Width=1024&amp;Height=768&amp;Quality=70&amp;FPS=10&amp;ResponseFormat=Text</v>
      </c>
      <c r="P782" s="106">
        <f>Cadastro!$P714</f>
        <v>1</v>
      </c>
    </row>
    <row r="783">
      <c r="A783" s="104" t="str">
        <f>Cadastro!$A715</f>
        <v>CAMPINA GRANDE DO SUL</v>
      </c>
      <c r="B783" s="104" t="str">
        <f>Cadastro!$B715</f>
        <v>CAMPINA GRANDE DO SUL</v>
      </c>
      <c r="C783" s="107" t="str">
        <f>Cadastro!$C715</f>
        <v>https://monitoramento.pm.pr.gov.br/proxy_image_7/</v>
      </c>
      <c r="D783" s="105">
        <f>Cadastro!$D715</f>
        <v>8601</v>
      </c>
      <c r="E783" s="104" t="str">
        <f>Cadastro!$E715</f>
        <v>P012_LPR</v>
      </c>
      <c r="F783" s="104" t="str">
        <f>Cadastro!$F715</f>
        <v>R. Pedro Pasa, 1696, Jardim Paulista, Campina Grande do Sul - PR</v>
      </c>
      <c r="G783" s="104" t="str">
        <f>Cadastro!$G715</f>
        <v>-25.367857</v>
      </c>
      <c r="H783" s="104" t="str">
        <f>Cadastro!$H715</f>
        <v>-49.107197</v>
      </c>
      <c r="I783" s="104" t="str">
        <f>Cadastro!$I715</f>
        <v>siscop</v>
      </c>
      <c r="J783" s="104" t="str">
        <f>Cadastro!$J715</f>
        <v>Siscop1234</v>
      </c>
      <c r="K783" s="104" t="s">
        <v>4536</v>
      </c>
      <c r="L783" s="104" t="s">
        <v>26</v>
      </c>
      <c r="M783" s="104" t="s">
        <v>27</v>
      </c>
      <c r="N783" s="108" t="str">
        <f t="shared" si="1"/>
        <v>CAMPINA GRANDE DO SUL</v>
      </c>
      <c r="O783" s="109" t="str">
        <f>Cadastro!$O715</f>
        <v>https://monitoramento.pm.pr.gov.br/proxy_image_7/Interface/Cameras/GetJPEGStream?Camera=P012_LPR&amp;AuthUser=siscop&amp;AuthPass=Siscop1234&amp;Width=1024&amp;Height=768&amp;Quality=70&amp;FPS=10&amp;ResponseFormat=Text</v>
      </c>
      <c r="P783" s="106">
        <f>Cadastro!$P715</f>
        <v>1</v>
      </c>
    </row>
    <row r="784">
      <c r="A784" s="104" t="str">
        <f>Cadastro!$A716</f>
        <v>CAMPINA GRANDE DO SUL</v>
      </c>
      <c r="B784" s="104" t="str">
        <f>Cadastro!$B716</f>
        <v>CAMPINA GRANDE DO SUL</v>
      </c>
      <c r="C784" s="107" t="str">
        <f>Cadastro!$C716</f>
        <v>https://monitoramento.pm.pr.gov.br/proxy_image_7/</v>
      </c>
      <c r="D784" s="105">
        <f>Cadastro!$D716</f>
        <v>8601</v>
      </c>
      <c r="E784" s="104" t="str">
        <f>Cadastro!$E716</f>
        <v>P013.2_LPR</v>
      </c>
      <c r="F784" s="104" t="str">
        <f>Cadastro!$F716</f>
        <v>Av Ver. Waldrido Maschio x Lourenço Bagio, Jardim Ipanema</v>
      </c>
      <c r="G784" s="104" t="str">
        <f>Cadastro!$G716</f>
        <v>-25.368536</v>
      </c>
      <c r="H784" s="104" t="str">
        <f>Cadastro!$H716</f>
        <v>-49.113007</v>
      </c>
      <c r="I784" s="104" t="str">
        <f>Cadastro!$I716</f>
        <v>siscop</v>
      </c>
      <c r="J784" s="104" t="str">
        <f>Cadastro!$J716</f>
        <v>Siscop1234</v>
      </c>
      <c r="K784" s="104" t="s">
        <v>4536</v>
      </c>
      <c r="L784" s="104" t="s">
        <v>26</v>
      </c>
      <c r="M784" s="104" t="s">
        <v>27</v>
      </c>
      <c r="N784" s="108" t="str">
        <f t="shared" si="1"/>
        <v>CAMPINA GRANDE DO SUL</v>
      </c>
      <c r="O784" s="109" t="str">
        <f>Cadastro!$O716</f>
        <v>https://monitoramento.pm.pr.gov.br/proxy_image_7/Interface/Cameras/GetJPEGStream?Camera=P013.2_LPR&amp;AuthUser=siscop&amp;AuthPass=Siscop1234&amp;Width=1024&amp;Height=768&amp;Quality=70&amp;FPS=10&amp;ResponseFormat=Text</v>
      </c>
      <c r="P784" s="106">
        <f>Cadastro!$P716</f>
        <v>1</v>
      </c>
    </row>
    <row r="785">
      <c r="A785" s="104" t="str">
        <f>Cadastro!$A717</f>
        <v>CAMPINA GRANDE DO SUL</v>
      </c>
      <c r="B785" s="104" t="str">
        <f>Cadastro!$B717</f>
        <v>CAMPINA GRANDE DO SUL</v>
      </c>
      <c r="C785" s="107" t="str">
        <f>Cadastro!$C717</f>
        <v>https://monitoramento.pm.pr.gov.br/proxy_image_7/</v>
      </c>
      <c r="D785" s="105">
        <f>Cadastro!$D717</f>
        <v>8601</v>
      </c>
      <c r="E785" s="104" t="str">
        <f>Cadastro!$E717</f>
        <v>P013_Cxt</v>
      </c>
      <c r="F785" s="104" t="str">
        <f>Cadastro!$F717</f>
        <v>Av Ver. Waldrido Maschio x Lourenço Bagio, Jardim Ipanema</v>
      </c>
      <c r="G785" s="104" t="str">
        <f>Cadastro!$G717</f>
        <v>-25.368536</v>
      </c>
      <c r="H785" s="104" t="str">
        <f>Cadastro!$H717</f>
        <v>-49.113007</v>
      </c>
      <c r="I785" s="104" t="str">
        <f>Cadastro!$I717</f>
        <v>siscop</v>
      </c>
      <c r="J785" s="104" t="str">
        <f>Cadastro!$J717</f>
        <v>Siscop1234</v>
      </c>
      <c r="K785" s="104" t="s">
        <v>4536</v>
      </c>
      <c r="L785" s="104" t="s">
        <v>26</v>
      </c>
      <c r="M785" s="104" t="s">
        <v>27</v>
      </c>
      <c r="N785" s="108" t="str">
        <f t="shared" si="1"/>
        <v>CAMPINA GRANDE DO SUL</v>
      </c>
      <c r="O785" s="109" t="str">
        <f>Cadastro!$O717</f>
        <v>https://monitoramento.pm.pr.gov.br/proxy_image_7/Interface/Cameras/GetJPEGStream?Camera=P013_Cxt&amp;AuthUser=siscop&amp;AuthPass=Siscop1234&amp;Width=1024&amp;Height=768&amp;Quality=70&amp;FPS=10&amp;ResponseFormat=Text</v>
      </c>
      <c r="P785" s="106">
        <f>Cadastro!$P717</f>
        <v>1</v>
      </c>
    </row>
    <row r="786">
      <c r="A786" s="104" t="str">
        <f>Cadastro!$A718</f>
        <v>CAMPINA GRANDE DO SUL</v>
      </c>
      <c r="B786" s="104" t="str">
        <f>Cadastro!$B718</f>
        <v>CAMPINA GRANDE DO SUL</v>
      </c>
      <c r="C786" s="107" t="str">
        <f>Cadastro!$C718</f>
        <v>https://monitoramento.pm.pr.gov.br/proxy_image_7/</v>
      </c>
      <c r="D786" s="105">
        <f>Cadastro!$D718</f>
        <v>8601</v>
      </c>
      <c r="E786" s="104" t="str">
        <f>Cadastro!$E718</f>
        <v>P014.1_LPR</v>
      </c>
      <c r="F786" s="104" t="str">
        <f>Cadastro!$F718</f>
        <v>Av. Annibale Ferrarini próx esq. c Rua Marcelino Zanon, São Cosme, Campina Grande do Sul - PR</v>
      </c>
      <c r="G786" s="104" t="str">
        <f>Cadastro!$G718</f>
        <v>-25.360846</v>
      </c>
      <c r="H786" s="104" t="str">
        <f>Cadastro!$H718</f>
        <v>-49.127159</v>
      </c>
      <c r="I786" s="104" t="str">
        <f>Cadastro!$I718</f>
        <v>siscop</v>
      </c>
      <c r="J786" s="104" t="str">
        <f>Cadastro!$J718</f>
        <v>Siscop1234</v>
      </c>
      <c r="K786" s="104" t="s">
        <v>4536</v>
      </c>
      <c r="L786" s="104" t="s">
        <v>26</v>
      </c>
      <c r="M786" s="104" t="s">
        <v>27</v>
      </c>
      <c r="N786" s="108" t="str">
        <f t="shared" si="1"/>
        <v>CAMPINA GRANDE DO SUL</v>
      </c>
      <c r="O786" s="109" t="str">
        <f>Cadastro!$O718</f>
        <v>https://monitoramento.pm.pr.gov.br/proxy_image_7/Interface/Cameras/GetJPEGStream?Camera=P014.1_LPR&amp;AuthUser=siscop&amp;AuthPass=Siscop1234&amp;Width=1024&amp;Height=768&amp;Quality=70&amp;FPS=10&amp;ResponseFormat=Text</v>
      </c>
      <c r="P786" s="106">
        <f>Cadastro!$P718</f>
        <v>1</v>
      </c>
    </row>
    <row r="787">
      <c r="A787" s="104" t="str">
        <f>Cadastro!$A719</f>
        <v>CAMPINA GRANDE DO SUL</v>
      </c>
      <c r="B787" s="104" t="str">
        <f>Cadastro!$B719</f>
        <v>CAMPINA GRANDE DO SUL</v>
      </c>
      <c r="C787" s="107" t="str">
        <f>Cadastro!$C719</f>
        <v>https://monitoramento.pm.pr.gov.br/proxy_image_7/</v>
      </c>
      <c r="D787" s="105">
        <f>Cadastro!$D719</f>
        <v>8601</v>
      </c>
      <c r="E787" s="104" t="str">
        <f>Cadastro!$E719</f>
        <v>P014.2_Cxt</v>
      </c>
      <c r="F787" s="104" t="str">
        <f>Cadastro!$F719</f>
        <v>Av. Annibale Ferrarini x Rua Marcelino Zanon, São Cosme</v>
      </c>
      <c r="G787" s="104" t="str">
        <f>Cadastro!$G719</f>
        <v>-25.357078</v>
      </c>
      <c r="H787" s="104" t="str">
        <f>Cadastro!$H719</f>
        <v>-49.117500</v>
      </c>
      <c r="I787" s="104" t="str">
        <f>Cadastro!$I719</f>
        <v>siscop</v>
      </c>
      <c r="J787" s="104" t="str">
        <f>Cadastro!$J719</f>
        <v>Siscop1234</v>
      </c>
      <c r="K787" s="104" t="s">
        <v>4536</v>
      </c>
      <c r="L787" s="104" t="s">
        <v>26</v>
      </c>
      <c r="M787" s="104" t="s">
        <v>27</v>
      </c>
      <c r="N787" s="108" t="str">
        <f t="shared" si="1"/>
        <v>CAMPINA GRANDE DO SUL</v>
      </c>
      <c r="O787" s="109" t="str">
        <f>Cadastro!$O719</f>
        <v>https://monitoramento.pm.pr.gov.br/proxy_image_7/Interface/Cameras/GetJPEGStream?Camera=P014.2_Cxt&amp;AuthUser=siscop&amp;AuthPass=Siscop1234&amp;Width=1024&amp;Height=768&amp;Quality=70&amp;FPS=10&amp;ResponseFormat=Text</v>
      </c>
      <c r="P787" s="106">
        <f>Cadastro!$P719</f>
        <v>1</v>
      </c>
    </row>
    <row r="788">
      <c r="A788" s="104" t="str">
        <f>Cadastro!$A720</f>
        <v>CAMPINA GRANDE DO SUL</v>
      </c>
      <c r="B788" s="104" t="str">
        <f>Cadastro!$B720</f>
        <v>CAMPINA GRANDE DO SUL</v>
      </c>
      <c r="C788" s="107" t="str">
        <f>Cadastro!$C720</f>
        <v>https://monitoramento.pm.pr.gov.br/proxy_image_7/</v>
      </c>
      <c r="D788" s="105">
        <f>Cadastro!$D720</f>
        <v>8601</v>
      </c>
      <c r="E788" s="104" t="str">
        <f>Cadastro!$E720</f>
        <v>P014.3_LPR</v>
      </c>
      <c r="F788" s="104" t="str">
        <f>Cadastro!$F720</f>
        <v>Av. Annibale Ferrarini próx esq. c Rua Marcelino Zanon, São Cosme, Campina Grande do Sul - PR</v>
      </c>
      <c r="G788" s="104" t="str">
        <f>Cadastro!$G720</f>
        <v>-25.360846</v>
      </c>
      <c r="H788" s="104" t="str">
        <f>Cadastro!$H720</f>
        <v>-49.127159</v>
      </c>
      <c r="I788" s="104" t="str">
        <f>Cadastro!$I720</f>
        <v>siscop</v>
      </c>
      <c r="J788" s="104" t="str">
        <f>Cadastro!$J720</f>
        <v>Siscop1234</v>
      </c>
      <c r="K788" s="104" t="s">
        <v>4536</v>
      </c>
      <c r="L788" s="104" t="s">
        <v>26</v>
      </c>
      <c r="M788" s="104" t="s">
        <v>27</v>
      </c>
      <c r="N788" s="108" t="str">
        <f t="shared" si="1"/>
        <v>CAMPINA GRANDE DO SUL</v>
      </c>
      <c r="O788" s="109" t="str">
        <f>Cadastro!$O720</f>
        <v>https://monitoramento.pm.pr.gov.br/proxy_image_7/Interface/Cameras/GetJPEGStream?Camera=P014.3_LPR&amp;AuthUser=siscop&amp;AuthPass=Siscop1234&amp;Width=1024&amp;Height=768&amp;Quality=70&amp;FPS=10&amp;ResponseFormat=Text</v>
      </c>
      <c r="P788" s="106">
        <f>Cadastro!$P720</f>
        <v>1</v>
      </c>
    </row>
    <row r="789">
      <c r="A789" s="104" t="str">
        <f>Cadastro!$A721</f>
        <v>CAMPINA GRANDE DO SUL</v>
      </c>
      <c r="B789" s="104" t="str">
        <f>Cadastro!$B721</f>
        <v>CAMPINA GRANDE DO SUL</v>
      </c>
      <c r="C789" s="107" t="str">
        <f>Cadastro!$C721</f>
        <v>https://monitoramento.pm.pr.gov.br/proxy_image_7/</v>
      </c>
      <c r="D789" s="105">
        <f>Cadastro!$D721</f>
        <v>8601</v>
      </c>
      <c r="E789" s="104" t="str">
        <f>Cadastro!$E721</f>
        <v>P015_Cxt</v>
      </c>
      <c r="F789" s="104" t="str">
        <f>Cadastro!$F721</f>
        <v>Anibale Ferrarini x Jacob Ceccon</v>
      </c>
      <c r="G789" s="104" t="str">
        <f>Cadastro!$G721</f>
        <v>-25.352371</v>
      </c>
      <c r="H789" s="104" t="str">
        <f>Cadastro!$H721</f>
        <v>-49.120708</v>
      </c>
      <c r="I789" s="104" t="str">
        <f>Cadastro!$I721</f>
        <v>siscop</v>
      </c>
      <c r="J789" s="104" t="str">
        <f>Cadastro!$J721</f>
        <v>Siscop1234</v>
      </c>
      <c r="K789" s="104" t="s">
        <v>4536</v>
      </c>
      <c r="L789" s="104" t="s">
        <v>26</v>
      </c>
      <c r="M789" s="104" t="s">
        <v>27</v>
      </c>
      <c r="N789" s="108" t="str">
        <f t="shared" si="1"/>
        <v>CAMPINA GRANDE DO SUL</v>
      </c>
      <c r="O789" s="109" t="str">
        <f>Cadastro!$O721</f>
        <v>https://monitoramento.pm.pr.gov.br/proxy_image_7/Interface/Cameras/GetJPEGStream?Camera=P015_Cxt&amp;AuthUser=siscop&amp;AuthPass=Siscop1234&amp;Width=1024&amp;Height=768&amp;Quality=70&amp;FPS=10&amp;ResponseFormat=Text</v>
      </c>
      <c r="P789" s="106">
        <f>Cadastro!$P721</f>
        <v>1</v>
      </c>
    </row>
    <row r="790">
      <c r="A790" s="104" t="str">
        <f>Cadastro!$A722</f>
        <v>CAMPINA GRANDE DO SUL</v>
      </c>
      <c r="B790" s="104" t="str">
        <f>Cadastro!$B722</f>
        <v>CAMPINA GRANDE DO SUL</v>
      </c>
      <c r="C790" s="107" t="str">
        <f>Cadastro!$C722</f>
        <v>https://monitoramento.pm.pr.gov.br/proxy_image_7/</v>
      </c>
      <c r="D790" s="105">
        <f>Cadastro!$D722</f>
        <v>8601</v>
      </c>
      <c r="E790" s="104" t="str">
        <f>Cadastro!$E722</f>
        <v>P016_Cxt</v>
      </c>
      <c r="F790" s="104" t="str">
        <f>Cadastro!$F722</f>
        <v>Estrada do Corredor - EM Antonio Jose de Carvalho</v>
      </c>
      <c r="G790" s="104" t="str">
        <f>Cadastro!$G722</f>
        <v>-25.351110</v>
      </c>
      <c r="H790" s="104" t="str">
        <f>Cadastro!$H722</f>
        <v>-49.119019</v>
      </c>
      <c r="I790" s="104" t="str">
        <f>Cadastro!$I722</f>
        <v>siscop</v>
      </c>
      <c r="J790" s="104" t="str">
        <f>Cadastro!$J722</f>
        <v>Siscop1234</v>
      </c>
      <c r="K790" s="104" t="s">
        <v>4536</v>
      </c>
      <c r="L790" s="104" t="s">
        <v>26</v>
      </c>
      <c r="M790" s="104" t="s">
        <v>27</v>
      </c>
      <c r="N790" s="108" t="str">
        <f t="shared" si="1"/>
        <v>CAMPINA GRANDE DO SUL</v>
      </c>
      <c r="O790" s="109" t="str">
        <f>Cadastro!$O722</f>
        <v>https://monitoramento.pm.pr.gov.br/proxy_image_7/Interface/Cameras/GetJPEGStream?Camera=P016_Cxt&amp;AuthUser=siscop&amp;AuthPass=Siscop1234&amp;Width=1024&amp;Height=768&amp;Quality=70&amp;FPS=10&amp;ResponseFormat=Text</v>
      </c>
      <c r="P790" s="106">
        <f>Cadastro!$P722</f>
        <v>1</v>
      </c>
    </row>
    <row r="791">
      <c r="A791" s="104" t="str">
        <f>Cadastro!$A723</f>
        <v>CAMPINA GRANDE DO SUL</v>
      </c>
      <c r="B791" s="104" t="str">
        <f>Cadastro!$B723</f>
        <v>CAMPINA GRANDE DO SUL</v>
      </c>
      <c r="C791" s="107" t="str">
        <f>Cadastro!$C723</f>
        <v>https://monitoramento.pm.pr.gov.br/proxy_image_7/</v>
      </c>
      <c r="D791" s="105">
        <f>Cadastro!$D723</f>
        <v>8601</v>
      </c>
      <c r="E791" s="104" t="str">
        <f>Cadastro!$E723</f>
        <v>P017.2_LPR</v>
      </c>
      <c r="F791" s="104" t="str">
        <f>Cadastro!$F723</f>
        <v>Rua Julio Luvisoto x Sebastião Leandro Rocha , Campina Grande do Sul - PR</v>
      </c>
      <c r="G791" s="104" t="str">
        <f>Cadastro!$G723</f>
        <v>-25.347076</v>
      </c>
      <c r="H791" s="104" t="str">
        <f>Cadastro!$H723</f>
        <v>-49.109921</v>
      </c>
      <c r="I791" s="104" t="str">
        <f>Cadastro!$I723</f>
        <v>siscop</v>
      </c>
      <c r="J791" s="104" t="str">
        <f>Cadastro!$J723</f>
        <v>Siscop1234</v>
      </c>
      <c r="K791" s="104" t="s">
        <v>4536</v>
      </c>
      <c r="L791" s="104" t="s">
        <v>26</v>
      </c>
      <c r="M791" s="104" t="s">
        <v>27</v>
      </c>
      <c r="N791" s="108" t="str">
        <f t="shared" si="1"/>
        <v>CAMPINA GRANDE DO SUL</v>
      </c>
      <c r="O791" s="109" t="str">
        <f>Cadastro!$O723</f>
        <v>https://monitoramento.pm.pr.gov.br/proxy_image_7/Interface/Cameras/GetJPEGStream?Camera=P017.2_LPR&amp;AuthUser=siscop&amp;AuthPass=Siscop1234&amp;Width=1024&amp;Height=768&amp;Quality=70&amp;FPS=10&amp;ResponseFormat=Text</v>
      </c>
      <c r="P791" s="106">
        <f>Cadastro!$P723</f>
        <v>1</v>
      </c>
    </row>
    <row r="792">
      <c r="A792" s="104" t="str">
        <f>Cadastro!$A724</f>
        <v>CAMPINA GRANDE DO SUL</v>
      </c>
      <c r="B792" s="104" t="str">
        <f>Cadastro!$B724</f>
        <v>CAMPINA GRANDE DO SUL</v>
      </c>
      <c r="C792" s="107" t="str">
        <f>Cadastro!$C724</f>
        <v>https://monitoramento.pm.pr.gov.br/proxy_image_7/</v>
      </c>
      <c r="D792" s="105">
        <f>Cadastro!$D724</f>
        <v>8601</v>
      </c>
      <c r="E792" s="104" t="str">
        <f>Cadastro!$E724</f>
        <v>P017_Cxt</v>
      </c>
      <c r="F792" s="104" t="str">
        <f>Cadastro!$F724</f>
        <v>Estrada do Corredor x Sebastião Leandro Rocha</v>
      </c>
      <c r="G792" s="104" t="str">
        <f>Cadastro!$G724</f>
        <v>-25.347019</v>
      </c>
      <c r="H792" s="104" t="str">
        <f>Cadastro!$H724</f>
        <v>-49.109871</v>
      </c>
      <c r="I792" s="104" t="str">
        <f>Cadastro!$I724</f>
        <v>siscop</v>
      </c>
      <c r="J792" s="104" t="str">
        <f>Cadastro!$J724</f>
        <v>Siscop1234</v>
      </c>
      <c r="K792" s="104" t="s">
        <v>4536</v>
      </c>
      <c r="L792" s="104" t="s">
        <v>26</v>
      </c>
      <c r="M792" s="104" t="s">
        <v>27</v>
      </c>
      <c r="N792" s="108" t="str">
        <f t="shared" si="1"/>
        <v>CAMPINA GRANDE DO SUL</v>
      </c>
      <c r="O792" s="109" t="str">
        <f>Cadastro!$O724</f>
        <v>https://monitoramento.pm.pr.gov.br/proxy_image_7/Interface/Cameras/GetJPEGStream?Camera=P017_Cxt&amp;AuthUser=siscop&amp;AuthPass=Siscop1234&amp;Width=1024&amp;Height=768&amp;Quality=70&amp;FPS=10&amp;ResponseFormat=Text</v>
      </c>
      <c r="P792" s="106">
        <f>Cadastro!$P724</f>
        <v>1</v>
      </c>
    </row>
    <row r="793">
      <c r="A793" s="104" t="str">
        <f>Cadastro!$A725</f>
        <v>CAMPINA GRANDE DO SUL</v>
      </c>
      <c r="B793" s="104" t="str">
        <f>Cadastro!$B725</f>
        <v>CAMPINA GRANDE DO SUL</v>
      </c>
      <c r="C793" s="107" t="str">
        <f>Cadastro!$C725</f>
        <v>https://monitoramento.pm.pr.gov.br/proxy_image_7/</v>
      </c>
      <c r="D793" s="105">
        <f>Cadastro!$D725</f>
        <v>8601</v>
      </c>
      <c r="E793" s="104" t="str">
        <f>Cadastro!$E725</f>
        <v>P018_Cxt</v>
      </c>
      <c r="F793" s="104" t="str">
        <f>Cadastro!$F725</f>
        <v>R. Lucidio Florêncio Ribeiro x R. Antonio Collere - JD Água Doce (Praça CEU)</v>
      </c>
      <c r="G793" s="104" t="str">
        <f>Cadastro!$G725</f>
        <v>-25.354397</v>
      </c>
      <c r="H793" s="104" t="str">
        <f>Cadastro!$H725</f>
        <v>-49.110497</v>
      </c>
      <c r="I793" s="104" t="str">
        <f>Cadastro!$I725</f>
        <v>siscop</v>
      </c>
      <c r="J793" s="104" t="str">
        <f>Cadastro!$J725</f>
        <v>Siscop1234</v>
      </c>
      <c r="K793" s="104" t="s">
        <v>4536</v>
      </c>
      <c r="L793" s="104" t="s">
        <v>26</v>
      </c>
      <c r="M793" s="104" t="s">
        <v>27</v>
      </c>
      <c r="N793" s="108" t="str">
        <f t="shared" si="1"/>
        <v>CAMPINA GRANDE DO SUL</v>
      </c>
      <c r="O793" s="109" t="str">
        <f>Cadastro!$O725</f>
        <v>https://monitoramento.pm.pr.gov.br/proxy_image_7/Interface/Cameras/GetJPEGStream?Camera=P018_Cxt&amp;AuthUser=siscop&amp;AuthPass=Siscop1234&amp;Width=1024&amp;Height=768&amp;Quality=70&amp;FPS=10&amp;ResponseFormat=Text</v>
      </c>
      <c r="P793" s="106">
        <f>Cadastro!$P725</f>
        <v>1</v>
      </c>
    </row>
    <row r="794">
      <c r="A794" s="104" t="str">
        <f>Cadastro!$A726</f>
        <v>CAMPINA GRANDE DO SUL</v>
      </c>
      <c r="B794" s="104" t="str">
        <f>Cadastro!$B726</f>
        <v>CAMPINA GRANDE DO SUL</v>
      </c>
      <c r="C794" s="107" t="str">
        <f>Cadastro!$C726</f>
        <v>https://monitoramento.pm.pr.gov.br/proxy_image_7/</v>
      </c>
      <c r="D794" s="105">
        <f>Cadastro!$D726</f>
        <v>8601</v>
      </c>
      <c r="E794" s="104" t="str">
        <f>Cadastro!$E726</f>
        <v>P019_PTZ</v>
      </c>
      <c r="F794" s="104" t="str">
        <f>Cadastro!$F726</f>
        <v>Rua Lucídio Florêncio Ribeiro, 411</v>
      </c>
      <c r="G794" s="104" t="str">
        <f>Cadastro!$G726</f>
        <v>-25.356323</v>
      </c>
      <c r="H794" s="104" t="str">
        <f>Cadastro!$H726</f>
        <v>-49.110306</v>
      </c>
      <c r="I794" s="104" t="str">
        <f>Cadastro!$I726</f>
        <v>siscop</v>
      </c>
      <c r="J794" s="104" t="str">
        <f>Cadastro!$J726</f>
        <v>Siscop1234</v>
      </c>
      <c r="K794" s="104" t="s">
        <v>4536</v>
      </c>
      <c r="L794" s="104" t="s">
        <v>26</v>
      </c>
      <c r="M794" s="104" t="s">
        <v>27</v>
      </c>
      <c r="N794" s="108" t="str">
        <f t="shared" si="1"/>
        <v>CAMPINA GRANDE DO SUL</v>
      </c>
      <c r="O794" s="109" t="str">
        <f>Cadastro!$O726</f>
        <v>https://monitoramento.pm.pr.gov.br/proxy_image_7/Interface/Cameras/GetJPEGStream?Camera=P019_PTZ&amp;AuthUser=siscop&amp;AuthPass=Siscop1234&amp;Width=1024&amp;Height=768&amp;Quality=70&amp;FPS=10&amp;ResponseFormat=Text</v>
      </c>
      <c r="P794" s="106">
        <f>Cadastro!$P726</f>
        <v>1</v>
      </c>
    </row>
    <row r="795">
      <c r="A795" s="104" t="str">
        <f>Cadastro!$A727</f>
        <v>CAMPINA GRANDE DO SUL</v>
      </c>
      <c r="B795" s="104" t="str">
        <f>Cadastro!$B727</f>
        <v>CAMPINA GRANDE DO SUL</v>
      </c>
      <c r="C795" s="107" t="str">
        <f>Cadastro!$C727</f>
        <v>https://monitoramento.pm.pr.gov.br/proxy_image_7/</v>
      </c>
      <c r="D795" s="105">
        <f>Cadastro!$D727</f>
        <v>8601</v>
      </c>
      <c r="E795" s="104" t="str">
        <f>Cadastro!$E727</f>
        <v>P020.1_Cxt</v>
      </c>
      <c r="F795" s="104" t="str">
        <f>Cadastro!$F727</f>
        <v>Gin. Ricieri Bernardi (frente)</v>
      </c>
      <c r="G795" s="104" t="str">
        <f>Cadastro!$G727</f>
        <v>-25.361906</v>
      </c>
      <c r="H795" s="104" t="str">
        <f>Cadastro!$H727</f>
        <v>-49.104347</v>
      </c>
      <c r="I795" s="104" t="str">
        <f>Cadastro!$I727</f>
        <v>siscop</v>
      </c>
      <c r="J795" s="104" t="str">
        <f>Cadastro!$J727</f>
        <v>Siscop1234</v>
      </c>
      <c r="K795" s="104" t="s">
        <v>4536</v>
      </c>
      <c r="L795" s="104" t="s">
        <v>26</v>
      </c>
      <c r="M795" s="104" t="s">
        <v>27</v>
      </c>
      <c r="N795" s="108" t="str">
        <f t="shared" si="1"/>
        <v>CAMPINA GRANDE DO SUL</v>
      </c>
      <c r="O795" s="109" t="str">
        <f>Cadastro!$O727</f>
        <v>https://monitoramento.pm.pr.gov.br/proxy_image_7/Interface/Cameras/GetJPEGStream?Camera=P020.1_Cxt&amp;AuthUser=siscop&amp;AuthPass=Siscop1234&amp;Width=1024&amp;Height=768&amp;Quality=70&amp;FPS=10&amp;ResponseFormat=Text</v>
      </c>
      <c r="P795" s="106">
        <f>Cadastro!$P727</f>
        <v>1</v>
      </c>
    </row>
    <row r="796">
      <c r="A796" s="104" t="str">
        <f>Cadastro!$A728</f>
        <v>CAMPINA GRANDE DO SUL</v>
      </c>
      <c r="B796" s="104" t="str">
        <f>Cadastro!$B728</f>
        <v>CAMPINA GRANDE DO SUL</v>
      </c>
      <c r="C796" s="107" t="str">
        <f>Cadastro!$C728</f>
        <v>https://monitoramento.pm.pr.gov.br/proxy_image_7/</v>
      </c>
      <c r="D796" s="105">
        <f>Cadastro!$D728</f>
        <v>8601</v>
      </c>
      <c r="E796" s="104" t="str">
        <f>Cadastro!$E728</f>
        <v>P020.2_Cxt</v>
      </c>
      <c r="F796" s="104" t="str">
        <f>Cadastro!$F728</f>
        <v>Gin. Ricieri Bernardi (Fundos)</v>
      </c>
      <c r="G796" s="104" t="str">
        <f>Cadastro!$G728</f>
        <v>-25.361227</v>
      </c>
      <c r="H796" s="104" t="str">
        <f>Cadastro!$H728</f>
        <v>-49.104210</v>
      </c>
      <c r="I796" s="104" t="str">
        <f>Cadastro!$I728</f>
        <v>siscop</v>
      </c>
      <c r="J796" s="104" t="str">
        <f>Cadastro!$J728</f>
        <v>Siscop1234</v>
      </c>
      <c r="K796" s="104" t="s">
        <v>4536</v>
      </c>
      <c r="L796" s="104" t="s">
        <v>26</v>
      </c>
      <c r="M796" s="104" t="s">
        <v>27</v>
      </c>
      <c r="N796" s="108" t="str">
        <f t="shared" si="1"/>
        <v>CAMPINA GRANDE DO SUL</v>
      </c>
      <c r="O796" s="109" t="str">
        <f>Cadastro!$O728</f>
        <v>https://monitoramento.pm.pr.gov.br/proxy_image_7/Interface/Cameras/GetJPEGStream?Camera=P020.2_Cxt&amp;AuthUser=siscop&amp;AuthPass=Siscop1234&amp;Width=1024&amp;Height=768&amp;Quality=70&amp;FPS=10&amp;ResponseFormat=Text</v>
      </c>
      <c r="P796" s="106">
        <f>Cadastro!$P728</f>
        <v>1</v>
      </c>
    </row>
    <row r="797">
      <c r="A797" s="104" t="str">
        <f>Cadastro!$A729</f>
        <v>CAMPINA GRANDE DO SUL</v>
      </c>
      <c r="B797" s="104" t="str">
        <f>Cadastro!$B729</f>
        <v>CAMPINA GRANDE DO SUL</v>
      </c>
      <c r="C797" s="107" t="str">
        <f>Cadastro!$C729</f>
        <v>https://monitoramento.pm.pr.gov.br/proxy_image_7/</v>
      </c>
      <c r="D797" s="105">
        <f>Cadastro!$D729</f>
        <v>8601</v>
      </c>
      <c r="E797" s="104" t="str">
        <f>Cadastro!$E729</f>
        <v>P020.3_Cxt</v>
      </c>
      <c r="F797" s="104" t="str">
        <f>Cadastro!$F729</f>
        <v>Gin. Ricieri Bernardi</v>
      </c>
      <c r="G797" s="104" t="str">
        <f>Cadastro!$G729</f>
        <v>-25.361227</v>
      </c>
      <c r="H797" s="104" t="str">
        <f>Cadastro!$H729</f>
        <v>-49.104210</v>
      </c>
      <c r="I797" s="104" t="str">
        <f>Cadastro!$I729</f>
        <v>siscop</v>
      </c>
      <c r="J797" s="104" t="str">
        <f>Cadastro!$J729</f>
        <v>Siscop1234</v>
      </c>
      <c r="K797" s="104" t="s">
        <v>4536</v>
      </c>
      <c r="L797" s="104" t="s">
        <v>26</v>
      </c>
      <c r="M797" s="104" t="s">
        <v>27</v>
      </c>
      <c r="N797" s="108" t="str">
        <f t="shared" si="1"/>
        <v>CAMPINA GRANDE DO SUL</v>
      </c>
      <c r="O797" s="109" t="str">
        <f>Cadastro!$O729</f>
        <v>https://monitoramento.pm.pr.gov.br/proxy_image_7/Interface/Cameras/GetJPEGStream?Camera=P020.3_Cxt&amp;AuthUser=siscop&amp;AuthPass=Siscop1234&amp;Width=1024&amp;Height=768&amp;Quality=70&amp;FPS=10&amp;ResponseFormat=Text</v>
      </c>
      <c r="P797" s="106">
        <f>Cadastro!$P729</f>
        <v>1</v>
      </c>
    </row>
    <row r="798">
      <c r="A798" s="104" t="str">
        <f>Cadastro!$A730</f>
        <v>CAMPINA GRANDE DO SUL</v>
      </c>
      <c r="B798" s="104" t="str">
        <f>Cadastro!$B730</f>
        <v>CAMPINA GRANDE DO SUL</v>
      </c>
      <c r="C798" s="107" t="str">
        <f>Cadastro!$C730</f>
        <v>https://monitoramento.pm.pr.gov.br/proxy_image_7/</v>
      </c>
      <c r="D798" s="105">
        <f>Cadastro!$D730</f>
        <v>8601</v>
      </c>
      <c r="E798" s="104" t="str">
        <f>Cadastro!$E730</f>
        <v>P020.4_Cxt</v>
      </c>
      <c r="F798" s="104" t="str">
        <f>Cadastro!$F730</f>
        <v>Gin. Ricieri Bernardi</v>
      </c>
      <c r="G798" s="104" t="str">
        <f>Cadastro!$G730</f>
        <v>-25.361227</v>
      </c>
      <c r="H798" s="104" t="str">
        <f>Cadastro!$H730</f>
        <v>-49.104210</v>
      </c>
      <c r="I798" s="104" t="str">
        <f>Cadastro!$I730</f>
        <v>siscop</v>
      </c>
      <c r="J798" s="104" t="str">
        <f>Cadastro!$J730</f>
        <v>Siscop1234</v>
      </c>
      <c r="K798" s="104" t="s">
        <v>4536</v>
      </c>
      <c r="L798" s="104" t="s">
        <v>26</v>
      </c>
      <c r="M798" s="104" t="s">
        <v>27</v>
      </c>
      <c r="N798" s="108" t="str">
        <f t="shared" si="1"/>
        <v>CAMPINA GRANDE DO SUL</v>
      </c>
      <c r="O798" s="109" t="str">
        <f>Cadastro!$O730</f>
        <v>https://monitoramento.pm.pr.gov.br/proxy_image_7/Interface/Cameras/GetJPEGStream?Camera=P020.4_Cxt&amp;AuthUser=siscop&amp;AuthPass=Siscop1234&amp;Width=1024&amp;Height=768&amp;Quality=70&amp;FPS=10&amp;ResponseFormat=Text</v>
      </c>
      <c r="P798" s="106">
        <f>Cadastro!$P730</f>
        <v>1</v>
      </c>
    </row>
    <row r="799">
      <c r="A799" s="104" t="str">
        <f>Cadastro!$A731</f>
        <v>CAMPINA GRANDE DO SUL</v>
      </c>
      <c r="B799" s="104" t="str">
        <f>Cadastro!$B731</f>
        <v>CAMPINA GRANDE DO SUL</v>
      </c>
      <c r="C799" s="107" t="str">
        <f>Cadastro!$C731</f>
        <v>https://monitoramento.pm.pr.gov.br/proxy_image_7/</v>
      </c>
      <c r="D799" s="105">
        <f>Cadastro!$D731</f>
        <v>8601</v>
      </c>
      <c r="E799" s="104" t="str">
        <f>Cadastro!$E731</f>
        <v>P020.5_Cxt</v>
      </c>
      <c r="F799" s="104" t="str">
        <f>Cadastro!$F731</f>
        <v>Gin. Ricieri Bernardi</v>
      </c>
      <c r="G799" s="104" t="str">
        <f>Cadastro!$G731</f>
        <v>-25.361227</v>
      </c>
      <c r="H799" s="104" t="str">
        <f>Cadastro!$H731</f>
        <v>-49.104210</v>
      </c>
      <c r="I799" s="104" t="str">
        <f>Cadastro!$I731</f>
        <v>siscop</v>
      </c>
      <c r="J799" s="104" t="str">
        <f>Cadastro!$J731</f>
        <v>Siscop1234</v>
      </c>
      <c r="K799" s="104" t="s">
        <v>4536</v>
      </c>
      <c r="L799" s="104" t="s">
        <v>26</v>
      </c>
      <c r="M799" s="104" t="s">
        <v>27</v>
      </c>
      <c r="N799" s="108" t="str">
        <f t="shared" si="1"/>
        <v>CAMPINA GRANDE DO SUL</v>
      </c>
      <c r="O799" s="109" t="str">
        <f>Cadastro!$O731</f>
        <v>https://monitoramento.pm.pr.gov.br/proxy_image_7/Interface/Cameras/GetJPEGStream?Camera=P020.5_Cxt&amp;AuthUser=siscop&amp;AuthPass=Siscop1234&amp;Width=1024&amp;Height=768&amp;Quality=70&amp;FPS=10&amp;ResponseFormat=Text</v>
      </c>
      <c r="P799" s="106">
        <f>Cadastro!$P731</f>
        <v>1</v>
      </c>
    </row>
    <row r="800">
      <c r="A800" s="104" t="str">
        <f>Cadastro!$A732</f>
        <v>CAMPINA GRANDE DO SUL</v>
      </c>
      <c r="B800" s="104" t="str">
        <f>Cadastro!$B732</f>
        <v>CAMPINA GRANDE DO SUL</v>
      </c>
      <c r="C800" s="107" t="str">
        <f>Cadastro!$C732</f>
        <v>https://monitoramento.pm.pr.gov.br/proxy_image_7/</v>
      </c>
      <c r="D800" s="105">
        <f>Cadastro!$D732</f>
        <v>8601</v>
      </c>
      <c r="E800" s="104" t="str">
        <f>Cadastro!$E732</f>
        <v>P021_PTZ</v>
      </c>
      <c r="F800" s="104" t="str">
        <f>Cadastro!$F732</f>
        <v>João Trevisan (terminal JP)</v>
      </c>
      <c r="G800" s="104" t="str">
        <f>Cadastro!$G732</f>
        <v>-25.363197</v>
      </c>
      <c r="H800" s="104" t="str">
        <f>Cadastro!$H732</f>
        <v>-49.101376</v>
      </c>
      <c r="I800" s="104" t="str">
        <f>Cadastro!$I732</f>
        <v>siscop</v>
      </c>
      <c r="J800" s="104" t="str">
        <f>Cadastro!$J732</f>
        <v>Siscop1234</v>
      </c>
      <c r="K800" s="104" t="s">
        <v>4536</v>
      </c>
      <c r="L800" s="104" t="s">
        <v>26</v>
      </c>
      <c r="M800" s="104" t="s">
        <v>27</v>
      </c>
      <c r="N800" s="108" t="str">
        <f t="shared" si="1"/>
        <v>CAMPINA GRANDE DO SUL</v>
      </c>
      <c r="O800" s="109" t="str">
        <f>Cadastro!$O732</f>
        <v>https://monitoramento.pm.pr.gov.br/proxy_image_7/Interface/Cameras/GetJPEGStream?Camera=P021_PTZ&amp;AuthUser=siscop&amp;AuthPass=Siscop1234&amp;Width=1024&amp;Height=768&amp;Quality=70&amp;FPS=10&amp;ResponseFormat=Text</v>
      </c>
      <c r="P800" s="106">
        <f>Cadastro!$P732</f>
        <v>1</v>
      </c>
    </row>
    <row r="801">
      <c r="A801" s="104" t="str">
        <f>Cadastro!$A733</f>
        <v>CAMPINA GRANDE DO SUL</v>
      </c>
      <c r="B801" s="104" t="str">
        <f>Cadastro!$B733</f>
        <v>CAMPINA GRANDE DO SUL</v>
      </c>
      <c r="C801" s="107" t="str">
        <f>Cadastro!$C733</f>
        <v>https://monitoramento.pm.pr.gov.br/proxy_image_7/</v>
      </c>
      <c r="D801" s="105">
        <f>Cadastro!$D733</f>
        <v>8601</v>
      </c>
      <c r="E801" s="104" t="str">
        <f>Cadastro!$E733</f>
        <v>P022.2_Cxt</v>
      </c>
      <c r="F801" s="104" t="str">
        <f>Cadastro!$F733</f>
        <v>Duílio Calderari</v>
      </c>
      <c r="G801" s="104" t="str">
        <f>Cadastro!$G733</f>
        <v>-25.364361</v>
      </c>
      <c r="H801" s="104" t="str">
        <f>Cadastro!$H733</f>
        <v>-49.101810</v>
      </c>
      <c r="I801" s="104" t="str">
        <f>Cadastro!$I733</f>
        <v>siscop</v>
      </c>
      <c r="J801" s="104" t="str">
        <f>Cadastro!$J733</f>
        <v>Siscop1234</v>
      </c>
      <c r="K801" s="104" t="s">
        <v>4536</v>
      </c>
      <c r="L801" s="104" t="s">
        <v>26</v>
      </c>
      <c r="M801" s="104" t="s">
        <v>27</v>
      </c>
      <c r="N801" s="108" t="str">
        <f t="shared" si="1"/>
        <v>CAMPINA GRANDE DO SUL</v>
      </c>
      <c r="O801" s="109" t="str">
        <f>Cadastro!$O733</f>
        <v>https://monitoramento.pm.pr.gov.br/proxy_image_7/Interface/Cameras/GetJPEGStream?Camera=P022.2_Cxt&amp;AuthUser=siscop&amp;AuthPass=Siscop1234&amp;Width=1024&amp;Height=768&amp;Quality=70&amp;FPS=10&amp;ResponseFormat=Text</v>
      </c>
      <c r="P801" s="106">
        <f>Cadastro!$P733</f>
        <v>1</v>
      </c>
    </row>
    <row r="802">
      <c r="A802" s="104" t="str">
        <f>Cadastro!$A734</f>
        <v>CAMPINA GRANDE DO SUL</v>
      </c>
      <c r="B802" s="104" t="str">
        <f>Cadastro!$B734</f>
        <v>CAMPINA GRANDE DO SUL</v>
      </c>
      <c r="C802" s="107" t="str">
        <f>Cadastro!$C734</f>
        <v>https://monitoramento.pm.pr.gov.br/proxy_image_7/</v>
      </c>
      <c r="D802" s="105">
        <f>Cadastro!$D734</f>
        <v>8601</v>
      </c>
      <c r="E802" s="104" t="str">
        <f>Cadastro!$E734</f>
        <v>P022.3_Cxt</v>
      </c>
      <c r="F802" s="104" t="str">
        <f>Cadastro!$F734</f>
        <v>Duílio Calderari</v>
      </c>
      <c r="G802" s="104" t="str">
        <f>Cadastro!$G734</f>
        <v>-25.364361</v>
      </c>
      <c r="H802" s="104" t="str">
        <f>Cadastro!$H734</f>
        <v>-49.101810</v>
      </c>
      <c r="I802" s="104" t="str">
        <f>Cadastro!$I734</f>
        <v>siscop</v>
      </c>
      <c r="J802" s="104" t="str">
        <f>Cadastro!$J734</f>
        <v>Siscop1234</v>
      </c>
      <c r="K802" s="104" t="s">
        <v>4536</v>
      </c>
      <c r="L802" s="104" t="s">
        <v>26</v>
      </c>
      <c r="M802" s="104" t="s">
        <v>27</v>
      </c>
      <c r="N802" s="108" t="str">
        <f t="shared" si="1"/>
        <v>CAMPINA GRANDE DO SUL</v>
      </c>
      <c r="O802" s="109" t="str">
        <f>Cadastro!$O734</f>
        <v>https://monitoramento.pm.pr.gov.br/proxy_image_7/Interface/Cameras/GetJPEGStream?Camera=P022.3_Cxt&amp;AuthUser=siscop&amp;AuthPass=Siscop1234&amp;Width=1024&amp;Height=768&amp;Quality=70&amp;FPS=10&amp;ResponseFormat=Text</v>
      </c>
      <c r="P802" s="106">
        <f>Cadastro!$P734</f>
        <v>1</v>
      </c>
    </row>
    <row r="803">
      <c r="A803" s="104" t="str">
        <f>Cadastro!$A735</f>
        <v>CAMPINA GRANDE DO SUL</v>
      </c>
      <c r="B803" s="104" t="str">
        <f>Cadastro!$B735</f>
        <v>CAMPINA GRANDE DO SUL</v>
      </c>
      <c r="C803" s="107" t="str">
        <f>Cadastro!$C735</f>
        <v>https://monitoramento.pm.pr.gov.br/proxy_image_7/</v>
      </c>
      <c r="D803" s="105">
        <f>Cadastro!$D735</f>
        <v>8601</v>
      </c>
      <c r="E803" s="104" t="str">
        <f>Cadastro!$E735</f>
        <v>P022_PTZ</v>
      </c>
      <c r="F803" s="104" t="str">
        <f>Cadastro!$F735</f>
        <v>Duilio calderari x Leonardo Francisccheli</v>
      </c>
      <c r="G803" s="104" t="str">
        <f>Cadastro!$G735</f>
        <v>-25.364355</v>
      </c>
      <c r="H803" s="104" t="str">
        <f>Cadastro!$H735</f>
        <v>-49.101791</v>
      </c>
      <c r="I803" s="104" t="str">
        <f>Cadastro!$I735</f>
        <v>siscop</v>
      </c>
      <c r="J803" s="104" t="str">
        <f>Cadastro!$J735</f>
        <v>Siscop1234</v>
      </c>
      <c r="K803" s="104" t="s">
        <v>4536</v>
      </c>
      <c r="L803" s="104" t="s">
        <v>26</v>
      </c>
      <c r="M803" s="104" t="s">
        <v>27</v>
      </c>
      <c r="N803" s="108" t="str">
        <f t="shared" si="1"/>
        <v>CAMPINA GRANDE DO SUL</v>
      </c>
      <c r="O803" s="109" t="str">
        <f>Cadastro!$O735</f>
        <v>https://monitoramento.pm.pr.gov.br/proxy_image_7/Interface/Cameras/GetJPEGStream?Camera=P022_PTZ&amp;AuthUser=siscop&amp;AuthPass=Siscop1234&amp;Width=1024&amp;Height=768&amp;Quality=70&amp;FPS=10&amp;ResponseFormat=Text</v>
      </c>
      <c r="P803" s="106">
        <f>Cadastro!$P735</f>
        <v>1</v>
      </c>
    </row>
    <row r="804">
      <c r="A804" s="104" t="str">
        <f>Cadastro!$A736</f>
        <v>CAMPINA GRANDE DO SUL</v>
      </c>
      <c r="B804" s="104" t="str">
        <f>Cadastro!$B736</f>
        <v>CAMPINA GRANDE DO SUL</v>
      </c>
      <c r="C804" s="107" t="str">
        <f>Cadastro!$C736</f>
        <v>https://monitoramento.pm.pr.gov.br/proxy_image_7/</v>
      </c>
      <c r="D804" s="105">
        <f>Cadastro!$D736</f>
        <v>8601</v>
      </c>
      <c r="E804" s="104" t="str">
        <f>Cadastro!$E736</f>
        <v>P023.2_Cxt</v>
      </c>
      <c r="F804" s="104" t="str">
        <f>Cadastro!$F736</f>
        <v>Rodovia do Caqui (caron)</v>
      </c>
      <c r="G804" s="104" t="str">
        <f>Cadastro!$G736</f>
        <v>-25.315445</v>
      </c>
      <c r="H804" s="104" t="str">
        <f>Cadastro!$H736</f>
        <v>-49.073868</v>
      </c>
      <c r="I804" s="104" t="str">
        <f>Cadastro!$I736</f>
        <v>siscop</v>
      </c>
      <c r="J804" s="104" t="str">
        <f>Cadastro!$J736</f>
        <v>Siscop1234</v>
      </c>
      <c r="K804" s="104" t="s">
        <v>4536</v>
      </c>
      <c r="L804" s="104" t="s">
        <v>26</v>
      </c>
      <c r="M804" s="104" t="s">
        <v>27</v>
      </c>
      <c r="N804" s="108" t="str">
        <f t="shared" si="1"/>
        <v>CAMPINA GRANDE DO SUL</v>
      </c>
      <c r="O804" s="109" t="str">
        <f>Cadastro!$O736</f>
        <v>https://monitoramento.pm.pr.gov.br/proxy_image_7/Interface/Cameras/GetJPEGStream?Camera=P023.2_Cxt&amp;AuthUser=siscop&amp;AuthPass=Siscop1234&amp;Width=1024&amp;Height=768&amp;Quality=70&amp;FPS=10&amp;ResponseFormat=Text</v>
      </c>
      <c r="P804" s="106">
        <f>Cadastro!$P736</f>
        <v>1</v>
      </c>
    </row>
    <row r="805">
      <c r="A805" s="104" t="str">
        <f>Cadastro!$A737</f>
        <v>CAMPINA GRANDE DO SUL</v>
      </c>
      <c r="B805" s="104" t="str">
        <f>Cadastro!$B737</f>
        <v>CAMPINA GRANDE DO SUL</v>
      </c>
      <c r="C805" s="107" t="str">
        <f>Cadastro!$C737</f>
        <v>https://monitoramento.pm.pr.gov.br/proxy_image_7/</v>
      </c>
      <c r="D805" s="105">
        <f>Cadastro!$D737</f>
        <v>8601</v>
      </c>
      <c r="E805" s="104" t="str">
        <f>Cadastro!$E737</f>
        <v>P023_PTZ</v>
      </c>
      <c r="F805" s="104" t="str">
        <f>Cadastro!$F737</f>
        <v>Rod. Caqui (Caron)</v>
      </c>
      <c r="G805" s="104" t="str">
        <f>Cadastro!$G737</f>
        <v>-25.351753</v>
      </c>
      <c r="H805" s="104" t="str">
        <f>Cadastro!$H737</f>
        <v>-49.082840</v>
      </c>
      <c r="I805" s="104" t="str">
        <f>Cadastro!$I737</f>
        <v>siscop</v>
      </c>
      <c r="J805" s="104" t="str">
        <f>Cadastro!$J737</f>
        <v>Siscop1234</v>
      </c>
      <c r="K805" s="104" t="s">
        <v>4536</v>
      </c>
      <c r="L805" s="104" t="s">
        <v>26</v>
      </c>
      <c r="M805" s="104" t="s">
        <v>27</v>
      </c>
      <c r="N805" s="108" t="str">
        <f t="shared" si="1"/>
        <v>CAMPINA GRANDE DO SUL</v>
      </c>
      <c r="O805" s="109" t="str">
        <f>Cadastro!$O737</f>
        <v>https://monitoramento.pm.pr.gov.br/proxy_image_7/Interface/Cameras/GetJPEGStream?Camera=P023_PTZ&amp;AuthUser=siscop&amp;AuthPass=Siscop1234&amp;Width=1024&amp;Height=768&amp;Quality=70&amp;FPS=10&amp;ResponseFormat=Text</v>
      </c>
      <c r="P805" s="106">
        <f>Cadastro!$P737</f>
        <v>1</v>
      </c>
    </row>
    <row r="806">
      <c r="A806" s="104" t="str">
        <f>Cadastro!$A738</f>
        <v>CAMPINA GRANDE DO SUL</v>
      </c>
      <c r="B806" s="104" t="str">
        <f>Cadastro!$B738</f>
        <v>CAMPINA GRANDE DO SUL</v>
      </c>
      <c r="C806" s="107" t="str">
        <f>Cadastro!$C738</f>
        <v>https://monitoramento.pm.pr.gov.br/proxy_image_7/</v>
      </c>
      <c r="D806" s="105">
        <f>Cadastro!$D738</f>
        <v>8601</v>
      </c>
      <c r="E806" s="104" t="str">
        <f>Cadastro!$E738</f>
        <v>P024_A_Cxt</v>
      </c>
      <c r="F806" s="104" t="str">
        <f>Cadastro!$F738</f>
        <v>Rod. Caqui entrada Roseira</v>
      </c>
      <c r="G806" s="104" t="str">
        <f>Cadastro!$G738</f>
        <v>-25.315445</v>
      </c>
      <c r="H806" s="104" t="str">
        <f>Cadastro!$H738</f>
        <v>-49.073868</v>
      </c>
      <c r="I806" s="104" t="str">
        <f>Cadastro!$I738</f>
        <v>siscop</v>
      </c>
      <c r="J806" s="104" t="str">
        <f>Cadastro!$J738</f>
        <v>Siscop1234</v>
      </c>
      <c r="K806" s="104" t="s">
        <v>4536</v>
      </c>
      <c r="L806" s="104" t="s">
        <v>26</v>
      </c>
      <c r="M806" s="104" t="s">
        <v>27</v>
      </c>
      <c r="N806" s="108" t="str">
        <f t="shared" si="1"/>
        <v>CAMPINA GRANDE DO SUL</v>
      </c>
      <c r="O806" s="109" t="str">
        <f>Cadastro!$O738</f>
        <v>https://monitoramento.pm.pr.gov.br/proxy_image_7/Interface/Cameras/GetJPEGStream?Camera=P024_A_Cxt&amp;AuthUser=siscop&amp;AuthPass=Siscop1234&amp;Width=1024&amp;Height=768&amp;Quality=70&amp;FPS=10&amp;ResponseFormat=Text</v>
      </c>
      <c r="P806" s="106">
        <f>Cadastro!$P738</f>
        <v>1</v>
      </c>
    </row>
    <row r="807">
      <c r="A807" s="104" t="str">
        <f>Cadastro!$A739</f>
        <v>CAMPINA GRANDE DO SUL</v>
      </c>
      <c r="B807" s="104" t="str">
        <f>Cadastro!$B739</f>
        <v>CAMPINA GRANDE DO SUL</v>
      </c>
      <c r="C807" s="107" t="str">
        <f>Cadastro!$C739</f>
        <v>https://monitoramento.pm.pr.gov.br/proxy_image_7/</v>
      </c>
      <c r="D807" s="105">
        <f>Cadastro!$D739</f>
        <v>8601</v>
      </c>
      <c r="E807" s="104" t="str">
        <f>Cadastro!$E739</f>
        <v>P024_B_LPR</v>
      </c>
      <c r="F807" s="104" t="str">
        <f>Cadastro!$F739</f>
        <v>Rod. Caqui entrada Roseira</v>
      </c>
      <c r="G807" s="104" t="str">
        <f>Cadastro!$G739</f>
        <v>-25.315456</v>
      </c>
      <c r="H807" s="104" t="str">
        <f>Cadastro!$H739</f>
        <v>-49.073849</v>
      </c>
      <c r="I807" s="104" t="str">
        <f>Cadastro!$I739</f>
        <v>siscop</v>
      </c>
      <c r="J807" s="104" t="str">
        <f>Cadastro!$J739</f>
        <v>Siscop1234</v>
      </c>
      <c r="K807" s="104" t="s">
        <v>4536</v>
      </c>
      <c r="L807" s="104" t="s">
        <v>26</v>
      </c>
      <c r="M807" s="104" t="s">
        <v>27</v>
      </c>
      <c r="N807" s="108" t="str">
        <f t="shared" si="1"/>
        <v>CAMPINA GRANDE DO SUL</v>
      </c>
      <c r="O807" s="109" t="str">
        <f>Cadastro!$O739</f>
        <v>https://monitoramento.pm.pr.gov.br/proxy_image_7/Interface/Cameras/GetJPEGStream?Camera=P024_B_LPR&amp;AuthUser=siscop&amp;AuthPass=Siscop1234&amp;Width=1024&amp;Height=768&amp;Quality=70&amp;FPS=10&amp;ResponseFormat=Text</v>
      </c>
      <c r="P807" s="106">
        <f>Cadastro!$P739</f>
        <v>1</v>
      </c>
    </row>
    <row r="808">
      <c r="A808" s="104" t="str">
        <f>Cadastro!$A740</f>
        <v>CAMPINA GRANDE DO SUL</v>
      </c>
      <c r="B808" s="104" t="str">
        <f>Cadastro!$B740</f>
        <v>CAMPINA GRANDE DO SUL</v>
      </c>
      <c r="C808" s="107" t="str">
        <f>Cadastro!$C740</f>
        <v>https://monitoramento.pm.pr.gov.br/proxy_image_7/</v>
      </c>
      <c r="D808" s="105">
        <f>Cadastro!$D740</f>
        <v>8601</v>
      </c>
      <c r="E808" s="104" t="str">
        <f>Cadastro!$E740</f>
        <v>P025_Cxt</v>
      </c>
      <c r="F808" s="104" t="str">
        <f>Cadastro!$F740</f>
        <v>Rod. Caqui Terminal Sede</v>
      </c>
      <c r="G808" s="104" t="str">
        <f>Cadastro!$G740</f>
        <v>-25.305527</v>
      </c>
      <c r="H808" s="104" t="str">
        <f>Cadastro!$H740</f>
        <v>-49.055786</v>
      </c>
      <c r="I808" s="104" t="str">
        <f>Cadastro!$I740</f>
        <v>siscop</v>
      </c>
      <c r="J808" s="104" t="str">
        <f>Cadastro!$J740</f>
        <v>Siscop1234</v>
      </c>
      <c r="K808" s="104" t="s">
        <v>4536</v>
      </c>
      <c r="L808" s="104" t="s">
        <v>26</v>
      </c>
      <c r="M808" s="104" t="s">
        <v>27</v>
      </c>
      <c r="N808" s="108" t="str">
        <f t="shared" si="1"/>
        <v>CAMPINA GRANDE DO SUL</v>
      </c>
      <c r="O808" s="109" t="str">
        <f>Cadastro!$O740</f>
        <v>https://monitoramento.pm.pr.gov.br/proxy_image_7/Interface/Cameras/GetJPEGStream?Camera=P025_Cxt&amp;AuthUser=siscop&amp;AuthPass=Siscop1234&amp;Width=1024&amp;Height=768&amp;Quality=70&amp;FPS=10&amp;ResponseFormat=Text</v>
      </c>
      <c r="P808" s="106">
        <f>Cadastro!$P740</f>
        <v>1</v>
      </c>
    </row>
    <row r="809">
      <c r="A809" s="104" t="str">
        <f>Cadastro!$A741</f>
        <v>CAMPINA GRANDE DO SUL</v>
      </c>
      <c r="B809" s="104" t="str">
        <f>Cadastro!$B741</f>
        <v>CAMPINA GRANDE DO SUL</v>
      </c>
      <c r="C809" s="107" t="str">
        <f>Cadastro!$C741</f>
        <v>https://monitoramento.pm.pr.gov.br/proxy_image_7/</v>
      </c>
      <c r="D809" s="105">
        <f>Cadastro!$D741</f>
        <v>8601</v>
      </c>
      <c r="E809" s="104" t="str">
        <f>Cadastro!$E741</f>
        <v>P026_A_Cxt</v>
      </c>
      <c r="F809" s="104" t="str">
        <f>Cadastro!$F741</f>
        <v>João Candido (banco)</v>
      </c>
      <c r="G809" s="104" t="str">
        <f>Cadastro!$G741</f>
        <v>-25.305689</v>
      </c>
      <c r="H809" s="104" t="str">
        <f>Cadastro!$H741</f>
        <v>-49.054050</v>
      </c>
      <c r="I809" s="104" t="str">
        <f>Cadastro!$I741</f>
        <v>siscop</v>
      </c>
      <c r="J809" s="104" t="str">
        <f>Cadastro!$J741</f>
        <v>Siscop1234</v>
      </c>
      <c r="K809" s="104" t="s">
        <v>4536</v>
      </c>
      <c r="L809" s="104" t="s">
        <v>26</v>
      </c>
      <c r="M809" s="104" t="s">
        <v>27</v>
      </c>
      <c r="N809" s="108" t="str">
        <f t="shared" si="1"/>
        <v>CAMPINA GRANDE DO SUL</v>
      </c>
      <c r="O809" s="109" t="str">
        <f>Cadastro!$O741</f>
        <v>https://monitoramento.pm.pr.gov.br/proxy_image_7/Interface/Cameras/GetJPEGStream?Camera=P026_A_Cxt&amp;AuthUser=siscop&amp;AuthPass=Siscop1234&amp;Width=1024&amp;Height=768&amp;Quality=70&amp;FPS=10&amp;ResponseFormat=Text</v>
      </c>
      <c r="P809" s="106">
        <f>Cadastro!$P741</f>
        <v>1</v>
      </c>
    </row>
    <row r="810">
      <c r="A810" s="104" t="str">
        <f>Cadastro!$A742</f>
        <v>CAMPINA GRANDE DO SUL</v>
      </c>
      <c r="B810" s="104" t="str">
        <f>Cadastro!$B742</f>
        <v>CAMPINA GRANDE DO SUL</v>
      </c>
      <c r="C810" s="107" t="str">
        <f>Cadastro!$C742</f>
        <v>https://monitoramento.pm.pr.gov.br/proxy_image_7/</v>
      </c>
      <c r="D810" s="105">
        <f>Cadastro!$D742</f>
        <v>8601</v>
      </c>
      <c r="E810" s="104" t="str">
        <f>Cadastro!$E742</f>
        <v>P026_B_Cxt</v>
      </c>
      <c r="F810" s="104" t="str">
        <f>Cadastro!$F742</f>
        <v>João Candido (Prefeitura)</v>
      </c>
      <c r="G810" s="104" t="str">
        <f>Cadastro!$G742</f>
        <v>-25.305725</v>
      </c>
      <c r="H810" s="104" t="str">
        <f>Cadastro!$H742</f>
        <v>-49.054043</v>
      </c>
      <c r="I810" s="104" t="str">
        <f>Cadastro!$I742</f>
        <v>siscop</v>
      </c>
      <c r="J810" s="104" t="str">
        <f>Cadastro!$J742</f>
        <v>Siscop1234</v>
      </c>
      <c r="K810" s="104" t="s">
        <v>4536</v>
      </c>
      <c r="L810" s="104" t="s">
        <v>26</v>
      </c>
      <c r="M810" s="104" t="s">
        <v>27</v>
      </c>
      <c r="N810" s="108" t="str">
        <f t="shared" si="1"/>
        <v>CAMPINA GRANDE DO SUL</v>
      </c>
      <c r="O810" s="109" t="str">
        <f>Cadastro!$O742</f>
        <v>https://monitoramento.pm.pr.gov.br/proxy_image_7/Interface/Cameras/GetJPEGStream?Camera=P026_B_Cxt&amp;AuthUser=siscop&amp;AuthPass=Siscop1234&amp;Width=1024&amp;Height=768&amp;Quality=70&amp;FPS=10&amp;ResponseFormat=Text</v>
      </c>
      <c r="P810" s="106">
        <f>Cadastro!$P742</f>
        <v>1</v>
      </c>
    </row>
    <row r="811">
      <c r="A811" s="104" t="str">
        <f>Cadastro!$A743</f>
        <v>CAMPINA GRANDE DO SUL</v>
      </c>
      <c r="B811" s="104" t="str">
        <f>Cadastro!$B743</f>
        <v>CAMPINA GRANDE DO SUL</v>
      </c>
      <c r="C811" s="107" t="str">
        <f>Cadastro!$C743</f>
        <v>https://monitoramento.pm.pr.gov.br/proxy_image_7/</v>
      </c>
      <c r="D811" s="105">
        <f>Cadastro!$D743</f>
        <v>8601</v>
      </c>
      <c r="E811" s="104" t="str">
        <f>Cadastro!$E743</f>
        <v>P026_C_Cxt</v>
      </c>
      <c r="F811" s="104" t="str">
        <f>Cadastro!$F743</f>
        <v>João Candido (Procuradoria)</v>
      </c>
      <c r="G811" s="104" t="str">
        <f>Cadastro!$G743</f>
        <v>-25.305704</v>
      </c>
      <c r="H811" s="104" t="str">
        <f>Cadastro!$H743</f>
        <v>-49.054047</v>
      </c>
      <c r="I811" s="104" t="str">
        <f>Cadastro!$I743</f>
        <v>siscop</v>
      </c>
      <c r="J811" s="104" t="str">
        <f>Cadastro!$J743</f>
        <v>Siscop1234</v>
      </c>
      <c r="K811" s="104" t="s">
        <v>4536</v>
      </c>
      <c r="L811" s="104" t="s">
        <v>26</v>
      </c>
      <c r="M811" s="104" t="s">
        <v>27</v>
      </c>
      <c r="N811" s="108" t="str">
        <f t="shared" si="1"/>
        <v>CAMPINA GRANDE DO SUL</v>
      </c>
      <c r="O811" s="109" t="str">
        <f>Cadastro!$O743</f>
        <v>https://monitoramento.pm.pr.gov.br/proxy_image_7/Interface/Cameras/GetJPEGStream?Camera=P026_C_Cxt&amp;AuthUser=siscop&amp;AuthPass=Siscop1234&amp;Width=1024&amp;Height=768&amp;Quality=70&amp;FPS=10&amp;ResponseFormat=Text</v>
      </c>
      <c r="P811" s="106">
        <f>Cadastro!$P743</f>
        <v>1</v>
      </c>
    </row>
    <row r="812">
      <c r="A812" s="104" t="str">
        <f>Cadastro!$A744</f>
        <v>CAMPINA GRANDE DO SUL</v>
      </c>
      <c r="B812" s="104" t="str">
        <f>Cadastro!$B744</f>
        <v>CAMPINA GRANDE DO SUL</v>
      </c>
      <c r="C812" s="107" t="str">
        <f>Cadastro!$C744</f>
        <v>https://monitoramento.pm.pr.gov.br/proxy_image_7/</v>
      </c>
      <c r="D812" s="105">
        <f>Cadastro!$D744</f>
        <v>8601</v>
      </c>
      <c r="E812" s="104" t="str">
        <f>Cadastro!$E744</f>
        <v>P027_Cxt</v>
      </c>
      <c r="F812" s="104" t="str">
        <f>Cadastro!$F744</f>
        <v>João Candido (Unidade Saúde)</v>
      </c>
      <c r="G812" s="104" t="str">
        <f>Cadastro!$G744</f>
        <v>-25.312574</v>
      </c>
      <c r="H812" s="104" t="str">
        <f>Cadastro!$H744</f>
        <v>-49.053143</v>
      </c>
      <c r="I812" s="104" t="str">
        <f>Cadastro!$I744</f>
        <v>siscop</v>
      </c>
      <c r="J812" s="104" t="str">
        <f>Cadastro!$J744</f>
        <v>Siscop1234</v>
      </c>
      <c r="K812" s="104" t="s">
        <v>4536</v>
      </c>
      <c r="L812" s="104" t="s">
        <v>26</v>
      </c>
      <c r="M812" s="104" t="s">
        <v>27</v>
      </c>
      <c r="N812" s="108" t="str">
        <f t="shared" si="1"/>
        <v>CAMPINA GRANDE DO SUL</v>
      </c>
      <c r="O812" s="109" t="str">
        <f>Cadastro!$O744</f>
        <v>https://monitoramento.pm.pr.gov.br/proxy_image_7/Interface/Cameras/GetJPEGStream?Camera=P027_Cxt&amp;AuthUser=siscop&amp;AuthPass=Siscop1234&amp;Width=1024&amp;Height=768&amp;Quality=70&amp;FPS=10&amp;ResponseFormat=Text</v>
      </c>
      <c r="P812" s="106">
        <f>Cadastro!$P744</f>
        <v>1</v>
      </c>
    </row>
    <row r="813">
      <c r="A813" s="104" t="str">
        <f>Cadastro!$A745</f>
        <v>CAMPINA GRANDE DO SUL</v>
      </c>
      <c r="B813" s="104" t="str">
        <f>Cadastro!$B745</f>
        <v>CAMPINA GRANDE DO SUL</v>
      </c>
      <c r="C813" s="107" t="str">
        <f>Cadastro!$C745</f>
        <v>https://monitoramento.pm.pr.gov.br/proxy_image_7/</v>
      </c>
      <c r="D813" s="105">
        <f>Cadastro!$D745</f>
        <v>8601</v>
      </c>
      <c r="E813" s="104" t="str">
        <f>Cadastro!$E745</f>
        <v>P028_Cxt</v>
      </c>
      <c r="F813" s="104" t="str">
        <f>Cadastro!$F745</f>
        <v>Antonio M. Sobrinho (Arena)</v>
      </c>
      <c r="G813" s="104" t="str">
        <f>Cadastro!$G745</f>
        <v>-25.303274</v>
      </c>
      <c r="H813" s="104" t="str">
        <f>Cadastro!$H745</f>
        <v>-49.055241</v>
      </c>
      <c r="I813" s="104" t="str">
        <f>Cadastro!$I745</f>
        <v>siscop</v>
      </c>
      <c r="J813" s="104" t="str">
        <f>Cadastro!$J745</f>
        <v>Siscop1234</v>
      </c>
      <c r="K813" s="104" t="s">
        <v>4536</v>
      </c>
      <c r="L813" s="104" t="s">
        <v>26</v>
      </c>
      <c r="M813" s="104" t="s">
        <v>27</v>
      </c>
      <c r="N813" s="108" t="str">
        <f t="shared" si="1"/>
        <v>CAMPINA GRANDE DO SUL</v>
      </c>
      <c r="O813" s="109" t="str">
        <f>Cadastro!$O745</f>
        <v>https://monitoramento.pm.pr.gov.br/proxy_image_7/Interface/Cameras/GetJPEGStream?Camera=P028_Cxt&amp;AuthUser=siscop&amp;AuthPass=Siscop1234&amp;Width=1024&amp;Height=768&amp;Quality=70&amp;FPS=10&amp;ResponseFormat=Text</v>
      </c>
      <c r="P813" s="106">
        <f>Cadastro!$P745</f>
        <v>1</v>
      </c>
    </row>
    <row r="814">
      <c r="A814" s="104" t="str">
        <f>Cadastro!$A746</f>
        <v>CAMPINA GRANDE DO SUL</v>
      </c>
      <c r="B814" s="104" t="str">
        <f>Cadastro!$B746</f>
        <v>CAMPINA GRANDE DO SUL</v>
      </c>
      <c r="C814" s="107" t="str">
        <f>Cadastro!$C746</f>
        <v>https://monitoramento.pm.pr.gov.br/proxy_image_7/</v>
      </c>
      <c r="D814" s="105">
        <f>Cadastro!$D746</f>
        <v>8601</v>
      </c>
      <c r="E814" s="104" t="str">
        <f>Cadastro!$E746</f>
        <v>P029_A_Cxt</v>
      </c>
      <c r="F814" s="104" t="str">
        <f>Cadastro!$F746</f>
        <v>Estr. Mandassaia (igreja)</v>
      </c>
      <c r="G814" s="104" t="str">
        <f>Cadastro!$G746</f>
        <v>-25.283312</v>
      </c>
      <c r="H814" s="104" t="str">
        <f>Cadastro!$H746</f>
        <v>-49.031765</v>
      </c>
      <c r="I814" s="104" t="str">
        <f>Cadastro!$I746</f>
        <v>siscop</v>
      </c>
      <c r="J814" s="104" t="str">
        <f>Cadastro!$J746</f>
        <v>Siscop1234</v>
      </c>
      <c r="K814" s="104" t="s">
        <v>4536</v>
      </c>
      <c r="L814" s="104" t="s">
        <v>26</v>
      </c>
      <c r="M814" s="104" t="s">
        <v>27</v>
      </c>
      <c r="N814" s="108" t="str">
        <f t="shared" si="1"/>
        <v>CAMPINA GRANDE DO SUL</v>
      </c>
      <c r="O814" s="109" t="str">
        <f>Cadastro!$O746</f>
        <v>https://monitoramento.pm.pr.gov.br/proxy_image_7/Interface/Cameras/GetJPEGStream?Camera=P029_A_Cxt&amp;AuthUser=siscop&amp;AuthPass=Siscop1234&amp;Width=1024&amp;Height=768&amp;Quality=70&amp;FPS=10&amp;ResponseFormat=Text</v>
      </c>
      <c r="P814" s="106">
        <f>Cadastro!$P746</f>
        <v>1</v>
      </c>
    </row>
    <row r="815">
      <c r="A815" s="104" t="str">
        <f>Cadastro!$A747</f>
        <v>CAMPINA GRANDE DO SUL</v>
      </c>
      <c r="B815" s="104" t="str">
        <f>Cadastro!$B747</f>
        <v>CAMPINA GRANDE DO SUL</v>
      </c>
      <c r="C815" s="107" t="str">
        <f>Cadastro!$C747</f>
        <v>https://monitoramento.pm.pr.gov.br/proxy_image_7/</v>
      </c>
      <c r="D815" s="105">
        <f>Cadastro!$D747</f>
        <v>8601</v>
      </c>
      <c r="E815" s="104" t="str">
        <f>Cadastro!$E747</f>
        <v>P029_B_LPR</v>
      </c>
      <c r="F815" s="104" t="str">
        <f>Cadastro!$F747</f>
        <v>Estr. Mandaçaia (igreja)</v>
      </c>
      <c r="G815" s="104" t="str">
        <f>Cadastro!$G747</f>
        <v>-25.283295</v>
      </c>
      <c r="H815" s="104" t="str">
        <f>Cadastro!$H747</f>
        <v>-49.031788</v>
      </c>
      <c r="I815" s="104" t="str">
        <f>Cadastro!$I747</f>
        <v>siscop</v>
      </c>
      <c r="J815" s="104" t="str">
        <f>Cadastro!$J747</f>
        <v>Siscop1234</v>
      </c>
      <c r="K815" s="104" t="s">
        <v>4536</v>
      </c>
      <c r="L815" s="104" t="s">
        <v>26</v>
      </c>
      <c r="M815" s="104" t="s">
        <v>27</v>
      </c>
      <c r="N815" s="108" t="str">
        <f t="shared" si="1"/>
        <v>CAMPINA GRANDE DO SUL</v>
      </c>
      <c r="O815" s="109" t="str">
        <f>Cadastro!$O747</f>
        <v>https://monitoramento.pm.pr.gov.br/proxy_image_7/Interface/Cameras/GetJPEGStream?Camera=P029_B_LPR&amp;AuthUser=siscop&amp;AuthPass=Siscop1234&amp;Width=1024&amp;Height=768&amp;Quality=70&amp;FPS=10&amp;ResponseFormat=Text</v>
      </c>
      <c r="P815" s="106">
        <f>Cadastro!$P747</f>
        <v>1</v>
      </c>
    </row>
    <row r="816">
      <c r="A816" s="104" t="str">
        <f>Cadastro!$A748</f>
        <v>CAMPINA GRANDE DO SUL</v>
      </c>
      <c r="B816" s="104" t="str">
        <f>Cadastro!$B748</f>
        <v>CAMPINA GRANDE DO SUL</v>
      </c>
      <c r="C816" s="107" t="str">
        <f>Cadastro!$C748</f>
        <v>https://monitoramento.pm.pr.gov.br/proxy_image_7/</v>
      </c>
      <c r="D816" s="105">
        <f>Cadastro!$D748</f>
        <v>8601</v>
      </c>
      <c r="E816" s="104" t="str">
        <f>Cadastro!$E748</f>
        <v>P030_A_Cxt</v>
      </c>
      <c r="F816" s="104" t="str">
        <f>Cadastro!$F748</f>
        <v>Estr. Cupim x Estr. Mandassaia</v>
      </c>
      <c r="G816" s="104" t="str">
        <f>Cadastro!$G748</f>
        <v>-25.310471</v>
      </c>
      <c r="H816" s="104" t="str">
        <f>Cadastro!$H748</f>
        <v>-49.039310</v>
      </c>
      <c r="I816" s="104" t="str">
        <f>Cadastro!$I748</f>
        <v>siscop</v>
      </c>
      <c r="J816" s="104" t="str">
        <f>Cadastro!$J748</f>
        <v>Siscop1234</v>
      </c>
      <c r="K816" s="104" t="s">
        <v>4536</v>
      </c>
      <c r="L816" s="104" t="s">
        <v>26</v>
      </c>
      <c r="M816" s="104" t="s">
        <v>27</v>
      </c>
      <c r="N816" s="108" t="str">
        <f t="shared" si="1"/>
        <v>CAMPINA GRANDE DO SUL</v>
      </c>
      <c r="O816" s="109" t="str">
        <f>Cadastro!$O748</f>
        <v>https://monitoramento.pm.pr.gov.br/proxy_image_7/Interface/Cameras/GetJPEGStream?Camera=P030_A_Cxt&amp;AuthUser=siscop&amp;AuthPass=Siscop1234&amp;Width=1024&amp;Height=768&amp;Quality=70&amp;FPS=10&amp;ResponseFormat=Text</v>
      </c>
      <c r="P816" s="106">
        <f>Cadastro!$P748</f>
        <v>1</v>
      </c>
    </row>
    <row r="817">
      <c r="A817" s="104" t="str">
        <f>Cadastro!$A749</f>
        <v>CAMPINA GRANDE DO SUL</v>
      </c>
      <c r="B817" s="104" t="str">
        <f>Cadastro!$B749</f>
        <v>CAMPINA GRANDE DO SUL</v>
      </c>
      <c r="C817" s="107" t="str">
        <f>Cadastro!$C749</f>
        <v>https://monitoramento.pm.pr.gov.br/proxy_image_7/</v>
      </c>
      <c r="D817" s="105">
        <f>Cadastro!$D749</f>
        <v>8601</v>
      </c>
      <c r="E817" s="104" t="str">
        <f>Cadastro!$E749</f>
        <v>P030_B_LPR</v>
      </c>
      <c r="F817" s="104" t="str">
        <f>Cadastro!$F749</f>
        <v>Estr. Cupim x Estr. Mandassaia</v>
      </c>
      <c r="G817" s="104" t="str">
        <f>Cadastro!$G749</f>
        <v>-25.310467</v>
      </c>
      <c r="H817" s="104" t="str">
        <f>Cadastro!$H749</f>
        <v>-49.039295</v>
      </c>
      <c r="I817" s="104" t="str">
        <f>Cadastro!$I749</f>
        <v>siscop</v>
      </c>
      <c r="J817" s="104" t="str">
        <f>Cadastro!$J749</f>
        <v>Siscop1234</v>
      </c>
      <c r="K817" s="104" t="s">
        <v>4536</v>
      </c>
      <c r="L817" s="104" t="s">
        <v>26</v>
      </c>
      <c r="M817" s="104" t="s">
        <v>27</v>
      </c>
      <c r="N817" s="108" t="str">
        <f t="shared" si="1"/>
        <v>CAMPINA GRANDE DO SUL</v>
      </c>
      <c r="O817" s="109" t="str">
        <f>Cadastro!$O749</f>
        <v>https://monitoramento.pm.pr.gov.br/proxy_image_7/Interface/Cameras/GetJPEGStream?Camera=P030_B_LPR&amp;AuthUser=siscop&amp;AuthPass=Siscop1234&amp;Width=1024&amp;Height=768&amp;Quality=70&amp;FPS=10&amp;ResponseFormat=Text</v>
      </c>
      <c r="P817" s="106">
        <f>Cadastro!$P749</f>
        <v>1</v>
      </c>
    </row>
    <row r="818">
      <c r="A818" s="104" t="str">
        <f>Cadastro!$A750</f>
        <v>CAMPINA GRANDE DO SUL</v>
      </c>
      <c r="B818" s="104" t="str">
        <f>Cadastro!$B750</f>
        <v>CAMPINA GRANDE DO SUL</v>
      </c>
      <c r="C818" s="107" t="str">
        <f>Cadastro!$C750</f>
        <v>https://monitoramento.pm.pr.gov.br/proxy_image_7/</v>
      </c>
      <c r="D818" s="105">
        <f>Cadastro!$D750</f>
        <v>8601</v>
      </c>
      <c r="E818" s="104" t="str">
        <f>Cadastro!$E750</f>
        <v>P030_C_LPR</v>
      </c>
      <c r="F818" s="104" t="str">
        <f>Cadastro!$F750</f>
        <v>Estr. Cupim x Estr. Mandassaia</v>
      </c>
      <c r="G818" s="104" t="str">
        <f>Cadastro!$G750</f>
        <v>-25.310488</v>
      </c>
      <c r="H818" s="104" t="str">
        <f>Cadastro!$H750</f>
        <v>-49.039310</v>
      </c>
      <c r="I818" s="104" t="str">
        <f>Cadastro!$I750</f>
        <v>siscop</v>
      </c>
      <c r="J818" s="104" t="str">
        <f>Cadastro!$J750</f>
        <v>Siscop1234</v>
      </c>
      <c r="K818" s="104" t="s">
        <v>4536</v>
      </c>
      <c r="L818" s="104" t="s">
        <v>26</v>
      </c>
      <c r="M818" s="104" t="s">
        <v>27</v>
      </c>
      <c r="N818" s="108" t="str">
        <f t="shared" si="1"/>
        <v>CAMPINA GRANDE DO SUL</v>
      </c>
      <c r="O818" s="109" t="str">
        <f>Cadastro!$O750</f>
        <v>https://monitoramento.pm.pr.gov.br/proxy_image_7/Interface/Cameras/GetJPEGStream?Camera=P030_C_LPR&amp;AuthUser=siscop&amp;AuthPass=Siscop1234&amp;Width=1024&amp;Height=768&amp;Quality=70&amp;FPS=10&amp;ResponseFormat=Text</v>
      </c>
      <c r="P818" s="106">
        <f>Cadastro!$P750</f>
        <v>1</v>
      </c>
    </row>
    <row r="819">
      <c r="A819" s="104" t="str">
        <f>Cadastro!$A751</f>
        <v>CAMPINA GRANDE DO SUL</v>
      </c>
      <c r="B819" s="104" t="str">
        <f>Cadastro!$B751</f>
        <v>CAMPINA GRANDE DO SUL</v>
      </c>
      <c r="C819" s="107" t="str">
        <f>Cadastro!$C751</f>
        <v>https://monitoramento.pm.pr.gov.br/proxy_image_7/</v>
      </c>
      <c r="D819" s="105">
        <f>Cadastro!$D751</f>
        <v>8601</v>
      </c>
      <c r="E819" s="104" t="str">
        <f>Cadastro!$E751</f>
        <v>P031_A_Cxt</v>
      </c>
      <c r="F819" s="104" t="str">
        <f>Cadastro!$F751</f>
        <v>Taquari (Unidade de Saúde)</v>
      </c>
      <c r="G819" s="104" t="str">
        <f>Cadastro!$G751</f>
        <v>-25.247101</v>
      </c>
      <c r="H819" s="104" t="str">
        <f>Cadastro!$H751</f>
        <v>-48.937660</v>
      </c>
      <c r="I819" s="104" t="str">
        <f>Cadastro!$I751</f>
        <v>siscop</v>
      </c>
      <c r="J819" s="104" t="str">
        <f>Cadastro!$J751</f>
        <v>Siscop1234</v>
      </c>
      <c r="K819" s="104" t="s">
        <v>4536</v>
      </c>
      <c r="L819" s="104" t="s">
        <v>26</v>
      </c>
      <c r="M819" s="104" t="s">
        <v>27</v>
      </c>
      <c r="N819" s="108" t="str">
        <f t="shared" si="1"/>
        <v>CAMPINA GRANDE DO SUL</v>
      </c>
      <c r="O819" s="109" t="str">
        <f>Cadastro!$O751</f>
        <v>https://monitoramento.pm.pr.gov.br/proxy_image_7/Interface/Cameras/GetJPEGStream?Camera=P031_A_Cxt&amp;AuthUser=siscop&amp;AuthPass=Siscop1234&amp;Width=1024&amp;Height=768&amp;Quality=70&amp;FPS=10&amp;ResponseFormat=Text</v>
      </c>
      <c r="P819" s="106">
        <f>Cadastro!$P751</f>
        <v>1</v>
      </c>
    </row>
    <row r="820">
      <c r="A820" s="104" t="str">
        <f>Cadastro!$A752</f>
        <v>CAMPINA GRANDE DO SUL</v>
      </c>
      <c r="B820" s="104" t="str">
        <f>Cadastro!$B752</f>
        <v>CAMPINA GRANDE DO SUL</v>
      </c>
      <c r="C820" s="107" t="str">
        <f>Cadastro!$C752</f>
        <v>https://monitoramento.pm.pr.gov.br/proxy_image_7/</v>
      </c>
      <c r="D820" s="105">
        <f>Cadastro!$D752</f>
        <v>8601</v>
      </c>
      <c r="E820" s="104" t="str">
        <f>Cadastro!$E752</f>
        <v>P031_B_LPR</v>
      </c>
      <c r="F820" s="104" t="str">
        <f>Cadastro!$F752</f>
        <v>Taquari (Unidade de Saúde)</v>
      </c>
      <c r="G820" s="104" t="str">
        <f>Cadastro!$G752</f>
        <v>-25.247259</v>
      </c>
      <c r="H820" s="104" t="str">
        <f>Cadastro!$H752</f>
        <v>-48.937904</v>
      </c>
      <c r="I820" s="104" t="str">
        <f>Cadastro!$I752</f>
        <v>siscop</v>
      </c>
      <c r="J820" s="104" t="str">
        <f>Cadastro!$J752</f>
        <v>Siscop1234</v>
      </c>
      <c r="K820" s="104" t="s">
        <v>4536</v>
      </c>
      <c r="L820" s="104" t="s">
        <v>26</v>
      </c>
      <c r="M820" s="104" t="s">
        <v>27</v>
      </c>
      <c r="N820" s="108" t="str">
        <f t="shared" si="1"/>
        <v>CAMPINA GRANDE DO SUL</v>
      </c>
      <c r="O820" s="109" t="str">
        <f>Cadastro!$O752</f>
        <v>https://monitoramento.pm.pr.gov.br/proxy_image_7/Interface/Cameras/GetJPEGStream?Camera=P031_B_LPR&amp;AuthUser=siscop&amp;AuthPass=Siscop1234&amp;Width=1024&amp;Height=768&amp;Quality=70&amp;FPS=10&amp;ResponseFormat=Text</v>
      </c>
      <c r="P820" s="106">
        <f>Cadastro!$P752</f>
        <v>1</v>
      </c>
    </row>
    <row r="821">
      <c r="A821" s="104" t="str">
        <f>Cadastro!$A753</f>
        <v>CAMPINA GRANDE DO SUL</v>
      </c>
      <c r="B821" s="104" t="str">
        <f>Cadastro!$B753</f>
        <v>CAMPINA GRANDE DO SUL</v>
      </c>
      <c r="C821" s="107" t="str">
        <f>Cadastro!$C753</f>
        <v>https://monitoramento.pm.pr.gov.br/proxy_image_7/</v>
      </c>
      <c r="D821" s="105">
        <f>Cadastro!$D753</f>
        <v>8601</v>
      </c>
      <c r="E821" s="104" t="str">
        <f>Cadastro!$E753</f>
        <v>P032.1_Cxt</v>
      </c>
      <c r="F821" s="104" t="str">
        <f>Cadastro!$F753</f>
        <v>R. Wilson João Corleto, em frente a chácara do Levi Camargo - Campina Grande do Sul - PR</v>
      </c>
      <c r="G821" s="104" t="str">
        <f>Cadastro!$G753</f>
        <v>-25.262907</v>
      </c>
      <c r="H821" s="104" t="str">
        <f>Cadastro!$H753</f>
        <v>-48.935818</v>
      </c>
      <c r="I821" s="104" t="str">
        <f>Cadastro!$I753</f>
        <v>siscop</v>
      </c>
      <c r="J821" s="104" t="str">
        <f>Cadastro!$J753</f>
        <v>Siscop1234</v>
      </c>
      <c r="K821" s="104" t="s">
        <v>4536</v>
      </c>
      <c r="L821" s="104" t="s">
        <v>26</v>
      </c>
      <c r="M821" s="104" t="s">
        <v>27</v>
      </c>
      <c r="N821" s="108" t="str">
        <f t="shared" si="1"/>
        <v>CAMPINA GRANDE DO SUL</v>
      </c>
      <c r="O821" s="109" t="str">
        <f>Cadastro!$O753</f>
        <v>https://monitoramento.pm.pr.gov.br/proxy_image_7/Interface/Cameras/GetJPEGStream?Camera=P032.1_Cxt&amp;AuthUser=siscop&amp;AuthPass=Siscop1234&amp;Width=1024&amp;Height=768&amp;Quality=70&amp;FPS=10&amp;ResponseFormat=Text</v>
      </c>
      <c r="P821" s="106">
        <f>Cadastro!$P753</f>
        <v>1</v>
      </c>
    </row>
    <row r="822">
      <c r="A822" s="104" t="str">
        <f>Cadastro!$A754</f>
        <v>CAMPINA GRANDE DO SUL</v>
      </c>
      <c r="B822" s="104" t="str">
        <f>Cadastro!$B754</f>
        <v>CAMPINA GRANDE DO SUL</v>
      </c>
      <c r="C822" s="107" t="str">
        <f>Cadastro!$C754</f>
        <v>https://monitoramento.pm.pr.gov.br/proxy_image_7/</v>
      </c>
      <c r="D822" s="105">
        <f>Cadastro!$D754</f>
        <v>8601</v>
      </c>
      <c r="E822" s="104" t="str">
        <f>Cadastro!$E754</f>
        <v>P032.2_Cxt</v>
      </c>
      <c r="F822" s="104" t="str">
        <f>Cadastro!$F754</f>
        <v>R. Wilson João Corleto, em frente a chácara do Levi Camargo - Campina Grande do Sul - PR</v>
      </c>
      <c r="G822" s="104" t="str">
        <f>Cadastro!$G754</f>
        <v>-25.263012</v>
      </c>
      <c r="H822" s="104" t="str">
        <f>Cadastro!$H754</f>
        <v>-48.936275</v>
      </c>
      <c r="I822" s="104" t="str">
        <f>Cadastro!$I754</f>
        <v>siscop</v>
      </c>
      <c r="J822" s="104" t="str">
        <f>Cadastro!$J754</f>
        <v>Siscop1234</v>
      </c>
      <c r="K822" s="104" t="s">
        <v>4536</v>
      </c>
      <c r="L822" s="104" t="s">
        <v>26</v>
      </c>
      <c r="M822" s="104" t="s">
        <v>27</v>
      </c>
      <c r="N822" s="108" t="str">
        <f t="shared" si="1"/>
        <v>CAMPINA GRANDE DO SUL</v>
      </c>
      <c r="O822" s="109" t="str">
        <f>Cadastro!$O754</f>
        <v>https://monitoramento.pm.pr.gov.br/proxy_image_7/Interface/Cameras/GetJPEGStream?Camera=P032.2_Cxt&amp;AuthUser=siscop&amp;AuthPass=Siscop1234&amp;Width=1024&amp;Height=768&amp;Quality=70&amp;FPS=10&amp;ResponseFormat=Text</v>
      </c>
      <c r="P822" s="106">
        <f>Cadastro!$P754</f>
        <v>1</v>
      </c>
    </row>
    <row r="823">
      <c r="A823" s="104" t="str">
        <f>Cadastro!$A755</f>
        <v>CAMPINA GRANDE DO SUL</v>
      </c>
      <c r="B823" s="104" t="str">
        <f>Cadastro!$B755</f>
        <v>CAMPINA GRANDE DO SUL</v>
      </c>
      <c r="C823" s="107" t="str">
        <f>Cadastro!$C755</f>
        <v>https://monitoramento.pm.pr.gov.br/proxy_image_7/</v>
      </c>
      <c r="D823" s="105">
        <f>Cadastro!$D755</f>
        <v>8601</v>
      </c>
      <c r="E823" s="104" t="str">
        <f>Cadastro!$E755</f>
        <v>P033_A_Cxt</v>
      </c>
      <c r="F823" s="104" t="str">
        <f>Cadastro!$F755</f>
        <v>R. João Fiorêncio dos Reis, 330-345 - Terra Boa, Campina Grande do Sul - PR</v>
      </c>
      <c r="G823" s="104" t="str">
        <f>Cadastro!$G755</f>
        <v>-25.219599</v>
      </c>
      <c r="H823" s="104" t="str">
        <f>Cadastro!$H755</f>
        <v>-48.902973</v>
      </c>
      <c r="I823" s="104" t="str">
        <f>Cadastro!$I755</f>
        <v>siscop</v>
      </c>
      <c r="J823" s="104" t="str">
        <f>Cadastro!$J755</f>
        <v>Siscop1234</v>
      </c>
      <c r="K823" s="104" t="s">
        <v>4536</v>
      </c>
      <c r="L823" s="104" t="s">
        <v>26</v>
      </c>
      <c r="M823" s="104" t="s">
        <v>27</v>
      </c>
      <c r="N823" s="108" t="str">
        <f t="shared" si="1"/>
        <v>CAMPINA GRANDE DO SUL</v>
      </c>
      <c r="O823" s="109" t="str">
        <f>Cadastro!$O755</f>
        <v>https://monitoramento.pm.pr.gov.br/proxy_image_7/Interface/Cameras/GetJPEGStream?Camera=P033_A_Cxt&amp;AuthUser=siscop&amp;AuthPass=Siscop1234&amp;Width=1024&amp;Height=768&amp;Quality=70&amp;FPS=10&amp;ResponseFormat=Text</v>
      </c>
      <c r="P823" s="106">
        <f>Cadastro!$P755</f>
        <v>1</v>
      </c>
    </row>
    <row r="824">
      <c r="A824" s="104" t="str">
        <f>Cadastro!$A756</f>
        <v>CAMPINA GRANDE DO SUL</v>
      </c>
      <c r="B824" s="104" t="str">
        <f>Cadastro!$B756</f>
        <v>CAMPINA GRANDE DO SUL</v>
      </c>
      <c r="C824" s="107" t="str">
        <f>Cadastro!$C756</f>
        <v>https://monitoramento.pm.pr.gov.br/proxy_image_7/</v>
      </c>
      <c r="D824" s="105">
        <f>Cadastro!$D756</f>
        <v>8601</v>
      </c>
      <c r="E824" s="104" t="str">
        <f>Cadastro!$E756</f>
        <v>P033_B_LPR</v>
      </c>
      <c r="F824" s="104" t="str">
        <f>Cadastro!$F756</f>
        <v>R. João Fiorêncio dos Reis, 330-345 - Terra Boa, Campina Grande do Sul - PR</v>
      </c>
      <c r="G824" s="104" t="str">
        <f>Cadastro!$G756</f>
        <v>-25.219603</v>
      </c>
      <c r="H824" s="104" t="str">
        <f>Cadastro!$H756</f>
        <v>-48.902977</v>
      </c>
      <c r="I824" s="104" t="str">
        <f>Cadastro!$I756</f>
        <v>siscop</v>
      </c>
      <c r="J824" s="104" t="str">
        <f>Cadastro!$J756</f>
        <v>Siscop1234</v>
      </c>
      <c r="K824" s="104" t="s">
        <v>4536</v>
      </c>
      <c r="L824" s="104" t="s">
        <v>26</v>
      </c>
      <c r="M824" s="104" t="s">
        <v>27</v>
      </c>
      <c r="N824" s="108" t="str">
        <f t="shared" si="1"/>
        <v>CAMPINA GRANDE DO SUL</v>
      </c>
      <c r="O824" s="109" t="str">
        <f>Cadastro!$O756</f>
        <v>https://monitoramento.pm.pr.gov.br/proxy_image_7/Interface/Cameras/GetJPEGStream?Camera=P033_B_LPR&amp;AuthUser=siscop&amp;AuthPass=Siscop1234&amp;Width=1024&amp;Height=768&amp;Quality=70&amp;FPS=10&amp;ResponseFormat=Text</v>
      </c>
      <c r="P824" s="106">
        <f>Cadastro!$P756</f>
        <v>1</v>
      </c>
    </row>
    <row r="825">
      <c r="A825" s="104" t="str">
        <f>Cadastro!$A757</f>
        <v>CAMPINA GRANDE DO SUL</v>
      </c>
      <c r="B825" s="104" t="str">
        <f>Cadastro!$B757</f>
        <v>CAMPINA GRANDE DO SUL</v>
      </c>
      <c r="C825" s="107" t="str">
        <f>Cadastro!$C757</f>
        <v>https://monitoramento.pm.pr.gov.br/proxy_image_7/</v>
      </c>
      <c r="D825" s="105">
        <f>Cadastro!$D757</f>
        <v>8601</v>
      </c>
      <c r="E825" s="104" t="str">
        <f>Cadastro!$E757</f>
        <v>P034.1_A_Cxt</v>
      </c>
      <c r="F825" s="104" t="str">
        <f>Cadastro!$F757</f>
        <v>Barragem (US PedroCasemiro)</v>
      </c>
      <c r="G825" s="104" t="str">
        <f>Cadastro!$G757</f>
        <v>-25.140171</v>
      </c>
      <c r="H825" s="104" t="str">
        <f>Cadastro!$H757</f>
        <v>-48.855587</v>
      </c>
      <c r="I825" s="104" t="str">
        <f>Cadastro!$I757</f>
        <v>siscop</v>
      </c>
      <c r="J825" s="104" t="str">
        <f>Cadastro!$J757</f>
        <v>Siscop1234</v>
      </c>
      <c r="K825" s="104" t="s">
        <v>4536</v>
      </c>
      <c r="L825" s="104" t="s">
        <v>26</v>
      </c>
      <c r="M825" s="104" t="s">
        <v>27</v>
      </c>
      <c r="N825" s="108" t="str">
        <f t="shared" si="1"/>
        <v>CAMPINA GRANDE DO SUL</v>
      </c>
      <c r="O825" s="109" t="str">
        <f>Cadastro!$O757</f>
        <v>https://monitoramento.pm.pr.gov.br/proxy_image_7/Interface/Cameras/GetJPEGStream?Camera=P034.1_A_Cxt&amp;AuthUser=siscop&amp;AuthPass=Siscop1234&amp;Width=1024&amp;Height=768&amp;Quality=70&amp;FPS=10&amp;ResponseFormat=Text</v>
      </c>
      <c r="P825" s="106">
        <f>Cadastro!$P757</f>
        <v>1</v>
      </c>
    </row>
    <row r="826">
      <c r="A826" s="104" t="str">
        <f>Cadastro!$A758</f>
        <v>CAMPINA GRANDE DO SUL</v>
      </c>
      <c r="B826" s="104" t="str">
        <f>Cadastro!$B758</f>
        <v>CAMPINA GRANDE DO SUL</v>
      </c>
      <c r="C826" s="107" t="str">
        <f>Cadastro!$C758</f>
        <v>https://monitoramento.pm.pr.gov.br/proxy_image_7/</v>
      </c>
      <c r="D826" s="105">
        <f>Cadastro!$D758</f>
        <v>8601</v>
      </c>
      <c r="E826" s="104" t="str">
        <f>Cadastro!$E758</f>
        <v>P034.1_B_LPR</v>
      </c>
      <c r="F826" s="104" t="str">
        <f>Cadastro!$F758</f>
        <v>Barragem (US PedroCasemiro)</v>
      </c>
      <c r="G826" s="104" t="str">
        <f>Cadastro!$G758</f>
        <v>-25.140162</v>
      </c>
      <c r="H826" s="104" t="str">
        <f>Cadastro!$H758</f>
        <v>-48.855598</v>
      </c>
      <c r="I826" s="104" t="str">
        <f>Cadastro!$I758</f>
        <v>siscop</v>
      </c>
      <c r="J826" s="104" t="str">
        <f>Cadastro!$J758</f>
        <v>Siscop1234</v>
      </c>
      <c r="K826" s="104" t="s">
        <v>4536</v>
      </c>
      <c r="L826" s="104" t="s">
        <v>26</v>
      </c>
      <c r="M826" s="104" t="s">
        <v>27</v>
      </c>
      <c r="N826" s="108" t="str">
        <f t="shared" si="1"/>
        <v>CAMPINA GRANDE DO SUL</v>
      </c>
      <c r="O826" s="109" t="str">
        <f>Cadastro!$O758</f>
        <v>https://monitoramento.pm.pr.gov.br/proxy_image_7/Interface/Cameras/GetJPEGStream?Camera=P034.1_B_LPR&amp;AuthUser=siscop&amp;AuthPass=Siscop1234&amp;Width=1024&amp;Height=768&amp;Quality=70&amp;FPS=10&amp;ResponseFormat=Text</v>
      </c>
      <c r="P826" s="106">
        <f>Cadastro!$P758</f>
        <v>1</v>
      </c>
    </row>
    <row r="827">
      <c r="A827" s="104" t="str">
        <f>Cadastro!$A759</f>
        <v>CAMPINA GRANDE DO SUL</v>
      </c>
      <c r="B827" s="104" t="str">
        <f>Cadastro!$B759</f>
        <v>CAMPINA GRANDE DO SUL</v>
      </c>
      <c r="C827" s="107" t="str">
        <f>Cadastro!$C759</f>
        <v>https://monitoramento.pm.pr.gov.br/proxy_image_7/</v>
      </c>
      <c r="D827" s="105">
        <f>Cadastro!$D759</f>
        <v>8601</v>
      </c>
      <c r="E827" s="104" t="str">
        <f>Cadastro!$E759</f>
        <v>P034.2_Cxt</v>
      </c>
      <c r="F827" s="104" t="str">
        <f>Cadastro!$F759</f>
        <v>Barragem-(igreja Visão Miss.)</v>
      </c>
      <c r="G827" s="104" t="str">
        <f>Cadastro!$G759</f>
        <v>-25.136621</v>
      </c>
      <c r="H827" s="104" t="str">
        <f>Cadastro!$H759</f>
        <v>-48.856274</v>
      </c>
      <c r="I827" s="104" t="str">
        <f>Cadastro!$I759</f>
        <v>siscop</v>
      </c>
      <c r="J827" s="104" t="str">
        <f>Cadastro!$J759</f>
        <v>Siscop1234</v>
      </c>
      <c r="K827" s="104" t="s">
        <v>4536</v>
      </c>
      <c r="L827" s="104" t="s">
        <v>26</v>
      </c>
      <c r="M827" s="104" t="s">
        <v>27</v>
      </c>
      <c r="N827" s="108" t="str">
        <f t="shared" si="1"/>
        <v>CAMPINA GRANDE DO SUL</v>
      </c>
      <c r="O827" s="109" t="str">
        <f>Cadastro!$O759</f>
        <v>https://monitoramento.pm.pr.gov.br/proxy_image_7/Interface/Cameras/GetJPEGStream?Camera=P034.2_Cxt&amp;AuthUser=siscop&amp;AuthPass=Siscop1234&amp;Width=1024&amp;Height=768&amp;Quality=70&amp;FPS=10&amp;ResponseFormat=Text</v>
      </c>
      <c r="P827" s="106">
        <f>Cadastro!$P759</f>
        <v>1</v>
      </c>
    </row>
    <row r="828">
      <c r="A828" s="104" t="str">
        <f>Cadastro!$A760</f>
        <v>CAMPINA GRANDE DO SUL</v>
      </c>
      <c r="B828" s="104" t="str">
        <f>Cadastro!$B760</f>
        <v>CAMPINA GRANDE DO SUL</v>
      </c>
      <c r="C828" s="107" t="str">
        <f>Cadastro!$C760</f>
        <v>https://monitoramento.pm.pr.gov.br/proxy_image_7/</v>
      </c>
      <c r="D828" s="105">
        <f>Cadastro!$D760</f>
        <v>8601</v>
      </c>
      <c r="E828" s="104" t="str">
        <f>Cadastro!$E760</f>
        <v>P034.3_Cxt</v>
      </c>
      <c r="F828" s="104" t="str">
        <f>Cadastro!$F760</f>
        <v>Barragem (Vila Sapo)</v>
      </c>
      <c r="G828" s="104" t="str">
        <f>Cadastro!$G760</f>
        <v>-25.131739</v>
      </c>
      <c r="H828" s="104" t="str">
        <f>Cadastro!$H760</f>
        <v>-48.856853</v>
      </c>
      <c r="I828" s="104" t="str">
        <f>Cadastro!$I760</f>
        <v>siscop</v>
      </c>
      <c r="J828" s="104" t="str">
        <f>Cadastro!$J760</f>
        <v>Siscop1234</v>
      </c>
      <c r="K828" s="104" t="s">
        <v>4536</v>
      </c>
      <c r="L828" s="104" t="s">
        <v>26</v>
      </c>
      <c r="M828" s="104" t="s">
        <v>27</v>
      </c>
      <c r="N828" s="108" t="str">
        <f t="shared" si="1"/>
        <v>CAMPINA GRANDE DO SUL</v>
      </c>
      <c r="O828" s="109" t="str">
        <f>Cadastro!$O760</f>
        <v>https://monitoramento.pm.pr.gov.br/proxy_image_7/Interface/Cameras/GetJPEGStream?Camera=P034.3_Cxt&amp;AuthUser=siscop&amp;AuthPass=Siscop1234&amp;Width=1024&amp;Height=768&amp;Quality=70&amp;FPS=10&amp;ResponseFormat=Text</v>
      </c>
      <c r="P828" s="106">
        <f>Cadastro!$P760</f>
        <v>1</v>
      </c>
    </row>
    <row r="829">
      <c r="A829" s="104" t="str">
        <f>Cadastro!$A761</f>
        <v>CAMPINA GRANDE DO SUL</v>
      </c>
      <c r="B829" s="104" t="str">
        <f>Cadastro!$B761</f>
        <v>CAMPINA GRANDE DO SUL</v>
      </c>
      <c r="C829" s="107" t="str">
        <f>Cadastro!$C761</f>
        <v>https://monitoramento.pm.pr.gov.br/proxy_image_7/</v>
      </c>
      <c r="D829" s="105">
        <f>Cadastro!$D761</f>
        <v>8601</v>
      </c>
      <c r="E829" s="104" t="str">
        <f>Cadastro!$E761</f>
        <v>P034.4_A_Cxt</v>
      </c>
      <c r="F829" s="104" t="str">
        <f>Cadastro!$F761</f>
        <v>Barragem (panificadora)</v>
      </c>
      <c r="G829" s="104" t="str">
        <f>Cadastro!$G761</f>
        <v>-25.138180</v>
      </c>
      <c r="H829" s="104" t="str">
        <f>Cadastro!$H761</f>
        <v>-48.857372</v>
      </c>
      <c r="I829" s="104" t="str">
        <f>Cadastro!$I761</f>
        <v>siscop</v>
      </c>
      <c r="J829" s="104" t="str">
        <f>Cadastro!$J761</f>
        <v>Siscop1234</v>
      </c>
      <c r="K829" s="104" t="s">
        <v>4536</v>
      </c>
      <c r="L829" s="104" t="s">
        <v>26</v>
      </c>
      <c r="M829" s="104" t="s">
        <v>27</v>
      </c>
      <c r="N829" s="108" t="str">
        <f t="shared" si="1"/>
        <v>CAMPINA GRANDE DO SUL</v>
      </c>
      <c r="O829" s="109" t="str">
        <f>Cadastro!$O761</f>
        <v>https://monitoramento.pm.pr.gov.br/proxy_image_7/Interface/Cameras/GetJPEGStream?Camera=P034.4_A_Cxt&amp;AuthUser=siscop&amp;AuthPass=Siscop1234&amp;Width=1024&amp;Height=768&amp;Quality=70&amp;FPS=10&amp;ResponseFormat=Text</v>
      </c>
      <c r="P829" s="106">
        <f>Cadastro!$P761</f>
        <v>1</v>
      </c>
    </row>
    <row r="830">
      <c r="A830" s="104" t="str">
        <f>Cadastro!$A762</f>
        <v>CAMPINA GRANDE DO SUL</v>
      </c>
      <c r="B830" s="104" t="str">
        <f>Cadastro!$B762</f>
        <v>CAMPINA GRANDE DO SUL</v>
      </c>
      <c r="C830" s="107" t="str">
        <f>Cadastro!$C762</f>
        <v>https://monitoramento.pm.pr.gov.br/proxy_image_7/</v>
      </c>
      <c r="D830" s="105">
        <f>Cadastro!$D762</f>
        <v>8601</v>
      </c>
      <c r="E830" s="104" t="str">
        <f>Cadastro!$E762</f>
        <v>P034.4_B_LPR</v>
      </c>
      <c r="F830" s="104" t="str">
        <f>Cadastro!$F762</f>
        <v>Barragem (panificadora)</v>
      </c>
      <c r="G830" s="104" t="str">
        <f>Cadastro!$G762</f>
        <v>-25.138184</v>
      </c>
      <c r="H830" s="104" t="str">
        <f>Cadastro!$H762</f>
        <v>-48.857384</v>
      </c>
      <c r="I830" s="104" t="str">
        <f>Cadastro!$I762</f>
        <v>siscop</v>
      </c>
      <c r="J830" s="104" t="str">
        <f>Cadastro!$J762</f>
        <v>Siscop1234</v>
      </c>
      <c r="K830" s="104" t="s">
        <v>4536</v>
      </c>
      <c r="L830" s="104" t="s">
        <v>26</v>
      </c>
      <c r="M830" s="104" t="s">
        <v>27</v>
      </c>
      <c r="N830" s="108" t="str">
        <f t="shared" si="1"/>
        <v>CAMPINA GRANDE DO SUL</v>
      </c>
      <c r="O830" s="109" t="str">
        <f>Cadastro!$O762</f>
        <v>https://monitoramento.pm.pr.gov.br/proxy_image_7/Interface/Cameras/GetJPEGStream?Camera=P034.4_B_LPR&amp;AuthUser=siscop&amp;AuthPass=Siscop1234&amp;Width=1024&amp;Height=768&amp;Quality=70&amp;FPS=10&amp;ResponseFormat=Text</v>
      </c>
      <c r="P830" s="106">
        <f>Cadastro!$P762</f>
        <v>1</v>
      </c>
    </row>
    <row r="831">
      <c r="A831" s="104" t="str">
        <f>Cadastro!$A763</f>
        <v>CAMPINA GRANDE DO SUL</v>
      </c>
      <c r="B831" s="104" t="str">
        <f>Cadastro!$B763</f>
        <v>CAMPINA GRANDE DO SUL</v>
      </c>
      <c r="C831" s="107" t="str">
        <f>Cadastro!$C763</f>
        <v>https://monitoramento.pm.pr.gov.br/proxy_image_7/</v>
      </c>
      <c r="D831" s="105">
        <f>Cadastro!$D763</f>
        <v>8601</v>
      </c>
      <c r="E831" s="104" t="str">
        <f>Cadastro!$E763</f>
        <v>P035_A_Cxt</v>
      </c>
      <c r="F831" s="104" t="str">
        <f>Cadastro!$F763</f>
        <v>Jaguatirica</v>
      </c>
      <c r="G831" s="104" t="str">
        <f>Cadastro!$G763</f>
        <v>-25.108986</v>
      </c>
      <c r="H831" s="104" t="str">
        <f>Cadastro!$H763</f>
        <v>-48.835655</v>
      </c>
      <c r="I831" s="104" t="str">
        <f>Cadastro!$I763</f>
        <v>siscop</v>
      </c>
      <c r="J831" s="104" t="str">
        <f>Cadastro!$J763</f>
        <v>Siscop1234</v>
      </c>
      <c r="K831" s="104" t="s">
        <v>4536</v>
      </c>
      <c r="L831" s="104" t="s">
        <v>26</v>
      </c>
      <c r="M831" s="104" t="s">
        <v>27</v>
      </c>
      <c r="N831" s="108" t="str">
        <f t="shared" si="1"/>
        <v>CAMPINA GRANDE DO SUL</v>
      </c>
      <c r="O831" s="109" t="str">
        <f>Cadastro!$O763</f>
        <v>https://monitoramento.pm.pr.gov.br/proxy_image_7/Interface/Cameras/GetJPEGStream?Camera=P035_A_Cxt&amp;AuthUser=siscop&amp;AuthPass=Siscop1234&amp;Width=1024&amp;Height=768&amp;Quality=70&amp;FPS=10&amp;ResponseFormat=Text</v>
      </c>
      <c r="P831" s="106">
        <f>Cadastro!$P763</f>
        <v>1</v>
      </c>
    </row>
    <row r="832">
      <c r="A832" s="104" t="str">
        <f>Cadastro!$A764</f>
        <v>CAMPINA GRANDE DO SUL</v>
      </c>
      <c r="B832" s="104" t="str">
        <f>Cadastro!$B764</f>
        <v>CAMPINA GRANDE DO SUL</v>
      </c>
      <c r="C832" s="107" t="str">
        <f>Cadastro!$C764</f>
        <v>https://monitoramento.pm.pr.gov.br/proxy_image_7/</v>
      </c>
      <c r="D832" s="105">
        <f>Cadastro!$D764</f>
        <v>8601</v>
      </c>
      <c r="E832" s="104" t="str">
        <f>Cadastro!$E764</f>
        <v>P035_B_LPR</v>
      </c>
      <c r="F832" s="104" t="str">
        <f>Cadastro!$F764</f>
        <v>Jaguatirica</v>
      </c>
      <c r="G832" s="104" t="str">
        <f>Cadastro!$G764</f>
        <v>-25.108988</v>
      </c>
      <c r="H832" s="104" t="str">
        <f>Cadastro!$H764</f>
        <v>-48.835667</v>
      </c>
      <c r="I832" s="104" t="str">
        <f>Cadastro!$I764</f>
        <v>siscop</v>
      </c>
      <c r="J832" s="104" t="str">
        <f>Cadastro!$J764</f>
        <v>Siscop1234</v>
      </c>
      <c r="K832" s="104" t="s">
        <v>4536</v>
      </c>
      <c r="L832" s="104" t="s">
        <v>26</v>
      </c>
      <c r="M832" s="104" t="s">
        <v>27</v>
      </c>
      <c r="N832" s="108" t="str">
        <f t="shared" si="1"/>
        <v>CAMPINA GRANDE DO SUL</v>
      </c>
      <c r="O832" s="109" t="str">
        <f>Cadastro!$O764</f>
        <v>https://monitoramento.pm.pr.gov.br/proxy_image_7/Interface/Cameras/GetJPEGStream?Camera=P035_B_LPR&amp;AuthUser=siscop&amp;AuthPass=Siscop1234&amp;Width=1024&amp;Height=768&amp;Quality=70&amp;FPS=10&amp;ResponseFormat=Text</v>
      </c>
      <c r="P832" s="106">
        <f>Cadastro!$P764</f>
        <v>1</v>
      </c>
    </row>
    <row r="833">
      <c r="A833" s="104" t="str">
        <f>Cadastro!$A765</f>
        <v>CAMPINA GRANDE DO SUL</v>
      </c>
      <c r="B833" s="104" t="str">
        <f>Cadastro!$B765</f>
        <v>CAMPINA GRANDE DO SUL</v>
      </c>
      <c r="C833" s="107" t="str">
        <f>Cadastro!$C765</f>
        <v>https://monitoramento.pm.pr.gov.br/proxy_image_7/</v>
      </c>
      <c r="D833" s="105">
        <f>Cadastro!$D765</f>
        <v>8601</v>
      </c>
      <c r="E833" s="104" t="str">
        <f>Cadastro!$E765</f>
        <v>P036.1_A_Cxt</v>
      </c>
      <c r="F833" s="104" t="str">
        <f>Cadastro!$F765</f>
        <v>Ribeirão Grande (Alpino 1)</v>
      </c>
      <c r="G833" s="104" t="str">
        <f>Cadastro!$G765</f>
        <v>-25.110418</v>
      </c>
      <c r="H833" s="104" t="str">
        <f>Cadastro!$H765</f>
        <v>-48.816235</v>
      </c>
      <c r="I833" s="104" t="str">
        <f>Cadastro!$I765</f>
        <v>siscop</v>
      </c>
      <c r="J833" s="104" t="str">
        <f>Cadastro!$J765</f>
        <v>Siscop1234</v>
      </c>
      <c r="K833" s="104" t="s">
        <v>4536</v>
      </c>
      <c r="L833" s="104" t="s">
        <v>26</v>
      </c>
      <c r="M833" s="104" t="s">
        <v>27</v>
      </c>
      <c r="N833" s="108" t="str">
        <f t="shared" si="1"/>
        <v>CAMPINA GRANDE DO SUL</v>
      </c>
      <c r="O833" s="109" t="str">
        <f>Cadastro!$O765</f>
        <v>https://monitoramento.pm.pr.gov.br/proxy_image_7/Interface/Cameras/GetJPEGStream?Camera=P036.1_A_Cxt&amp;AuthUser=siscop&amp;AuthPass=Siscop1234&amp;Width=1024&amp;Height=768&amp;Quality=70&amp;FPS=10&amp;ResponseFormat=Text</v>
      </c>
      <c r="P833" s="106">
        <f>Cadastro!$P765</f>
        <v>1</v>
      </c>
    </row>
    <row r="834">
      <c r="A834" s="104" t="str">
        <f>Cadastro!$A766</f>
        <v>CAMPINA GRANDE DO SUL</v>
      </c>
      <c r="B834" s="104" t="str">
        <f>Cadastro!$B766</f>
        <v>CAMPINA GRANDE DO SUL</v>
      </c>
      <c r="C834" s="107" t="str">
        <f>Cadastro!$C766</f>
        <v>https://monitoramento.pm.pr.gov.br/proxy_image_7/</v>
      </c>
      <c r="D834" s="105">
        <f>Cadastro!$D766</f>
        <v>8601</v>
      </c>
      <c r="E834" s="104" t="str">
        <f>Cadastro!$E766</f>
        <v>P036.1_B_LPR</v>
      </c>
      <c r="F834" s="104" t="str">
        <f>Cadastro!$F766</f>
        <v>Ribeirão Grande (Alpino 1)</v>
      </c>
      <c r="G834" s="104" t="str">
        <f>Cadastro!$G766</f>
        <v>-25.109932</v>
      </c>
      <c r="H834" s="104" t="str">
        <f>Cadastro!$H766</f>
        <v>-48.807945</v>
      </c>
      <c r="I834" s="104" t="str">
        <f>Cadastro!$I766</f>
        <v>siscop</v>
      </c>
      <c r="J834" s="104" t="str">
        <f>Cadastro!$J766</f>
        <v>Siscop1234</v>
      </c>
      <c r="K834" s="104" t="s">
        <v>4536</v>
      </c>
      <c r="L834" s="104" t="s">
        <v>26</v>
      </c>
      <c r="M834" s="104" t="s">
        <v>27</v>
      </c>
      <c r="N834" s="108" t="str">
        <f t="shared" si="1"/>
        <v>CAMPINA GRANDE DO SUL</v>
      </c>
      <c r="O834" s="109" t="str">
        <f>Cadastro!$O766</f>
        <v>https://monitoramento.pm.pr.gov.br/proxy_image_7/Interface/Cameras/GetJPEGStream?Camera=P036.1_B_LPR&amp;AuthUser=siscop&amp;AuthPass=Siscop1234&amp;Width=1024&amp;Height=768&amp;Quality=70&amp;FPS=10&amp;ResponseFormat=Text</v>
      </c>
      <c r="P834" s="106">
        <f>Cadastro!$P766</f>
        <v>1</v>
      </c>
    </row>
    <row r="835">
      <c r="A835" s="104" t="str">
        <f>Cadastro!$A767</f>
        <v>CAMPINA GRANDE DO SUL</v>
      </c>
      <c r="B835" s="104" t="str">
        <f>Cadastro!$B767</f>
        <v>CAMPINA GRANDE DO SUL</v>
      </c>
      <c r="C835" s="107" t="str">
        <f>Cadastro!$C767</f>
        <v>https://monitoramento.pm.pr.gov.br/proxy_image_7/</v>
      </c>
      <c r="D835" s="105">
        <f>Cadastro!$D767</f>
        <v>8601</v>
      </c>
      <c r="E835" s="104" t="str">
        <f>Cadastro!$E767</f>
        <v>P036.2_LPR</v>
      </c>
      <c r="F835" s="104" t="str">
        <f>Cadastro!$F767</f>
        <v>Ribeirão Grande R. Octavio dos Santos Souza x BR 116 Sentido Norte</v>
      </c>
      <c r="G835" s="104" t="str">
        <f>Cadastro!$G767</f>
        <v>-25.109930</v>
      </c>
      <c r="H835" s="104" t="str">
        <f>Cadastro!$H767</f>
        <v>-48.807953</v>
      </c>
      <c r="I835" s="104" t="str">
        <f>Cadastro!$I767</f>
        <v>siscop</v>
      </c>
      <c r="J835" s="104" t="str">
        <f>Cadastro!$J767</f>
        <v>Siscop1234</v>
      </c>
      <c r="K835" s="104" t="s">
        <v>4536</v>
      </c>
      <c r="L835" s="104" t="s">
        <v>26</v>
      </c>
      <c r="M835" s="104" t="s">
        <v>27</v>
      </c>
      <c r="N835" s="108" t="str">
        <f t="shared" si="1"/>
        <v>CAMPINA GRANDE DO SUL</v>
      </c>
      <c r="O835" s="109" t="str">
        <f>Cadastro!$O767</f>
        <v>https://monitoramento.pm.pr.gov.br/proxy_image_7/Interface/Cameras/GetJPEGStream?Camera=P036.2_LPR&amp;AuthUser=siscop&amp;AuthPass=Siscop1234&amp;Width=1024&amp;Height=768&amp;Quality=70&amp;FPS=10&amp;ResponseFormat=Text</v>
      </c>
      <c r="P835" s="106">
        <f>Cadastro!$P767</f>
        <v>1</v>
      </c>
    </row>
    <row r="836">
      <c r="A836" s="104" t="str">
        <f>Cadastro!$A768</f>
        <v>CAMPINA GRANDE DO SUL</v>
      </c>
      <c r="B836" s="104" t="str">
        <f>Cadastro!$B768</f>
        <v>CAMPINA GRANDE DO SUL</v>
      </c>
      <c r="C836" s="107" t="str">
        <f>Cadastro!$C768</f>
        <v>https://monitoramento.pm.pr.gov.br/proxy_image_7/</v>
      </c>
      <c r="D836" s="105">
        <f>Cadastro!$D768</f>
        <v>8601</v>
      </c>
      <c r="E836" s="104" t="str">
        <f>Cadastro!$E768</f>
        <v>P036.3_LPR</v>
      </c>
      <c r="F836" s="104" t="str">
        <f>Cadastro!$F768</f>
        <v>Ribeirão Grande - R. Pedro Estefano Camargo esq. Com R. Octavio dos Santos Souza</v>
      </c>
      <c r="G836" s="104" t="str">
        <f>Cadastro!$G768</f>
        <v>-25.109224</v>
      </c>
      <c r="H836" s="104" t="str">
        <f>Cadastro!$H768</f>
        <v>-48.805473</v>
      </c>
      <c r="I836" s="104" t="str">
        <f>Cadastro!$I768</f>
        <v>siscop</v>
      </c>
      <c r="J836" s="104" t="str">
        <f>Cadastro!$J768</f>
        <v>Siscop1234</v>
      </c>
      <c r="K836" s="104" t="s">
        <v>4536</v>
      </c>
      <c r="L836" s="104" t="s">
        <v>26</v>
      </c>
      <c r="M836" s="104" t="s">
        <v>27</v>
      </c>
      <c r="N836" s="108" t="str">
        <f t="shared" si="1"/>
        <v>CAMPINA GRANDE DO SUL</v>
      </c>
      <c r="O836" s="109" t="str">
        <f>Cadastro!$O768</f>
        <v>https://monitoramento.pm.pr.gov.br/proxy_image_7/Interface/Cameras/GetJPEGStream?Camera=P036.3_LPR&amp;AuthUser=siscop&amp;AuthPass=Siscop1234&amp;Width=1024&amp;Height=768&amp;Quality=70&amp;FPS=10&amp;ResponseFormat=Text</v>
      </c>
      <c r="P836" s="106">
        <f>Cadastro!$P768</f>
        <v>1</v>
      </c>
    </row>
    <row r="837">
      <c r="A837" s="104" t="str">
        <f>Cadastro!$A769</f>
        <v>CAMPINA GRANDE DO SUL</v>
      </c>
      <c r="B837" s="104" t="str">
        <f>Cadastro!$B769</f>
        <v>CAMPINA GRANDE DO SUL</v>
      </c>
      <c r="C837" s="107" t="str">
        <f>Cadastro!$C769</f>
        <v>https://monitoramento.pm.pr.gov.br/proxy_image_7/</v>
      </c>
      <c r="D837" s="105">
        <f>Cadastro!$D769</f>
        <v>8601</v>
      </c>
      <c r="E837" s="104" t="str">
        <f>Cadastro!$E769</f>
        <v>P036.4_Cxt</v>
      </c>
      <c r="F837" s="104" t="str">
        <f>Cadastro!$F769</f>
        <v>Ribeirão Grande R. Octavio dos Santos Souza x R. Loisel Cordeiro de Assunção</v>
      </c>
      <c r="G837" s="104" t="str">
        <f>Cadastro!$G769</f>
        <v>-25.107971</v>
      </c>
      <c r="H837" s="104" t="str">
        <f>Cadastro!$H769</f>
        <v>-48.808105</v>
      </c>
      <c r="I837" s="104" t="str">
        <f>Cadastro!$I769</f>
        <v>siscop</v>
      </c>
      <c r="J837" s="104" t="str">
        <f>Cadastro!$J769</f>
        <v>Siscop1234</v>
      </c>
      <c r="K837" s="104" t="s">
        <v>4536</v>
      </c>
      <c r="L837" s="104" t="s">
        <v>26</v>
      </c>
      <c r="M837" s="104" t="s">
        <v>27</v>
      </c>
      <c r="N837" s="108" t="str">
        <f t="shared" si="1"/>
        <v>CAMPINA GRANDE DO SUL</v>
      </c>
      <c r="O837" s="109" t="str">
        <f>Cadastro!$O769</f>
        <v>https://monitoramento.pm.pr.gov.br/proxy_image_7/Interface/Cameras/GetJPEGStream?Camera=P036.4_Cxt&amp;AuthUser=siscop&amp;AuthPass=Siscop1234&amp;Width=1024&amp;Height=768&amp;Quality=70&amp;FPS=10&amp;ResponseFormat=Text</v>
      </c>
      <c r="P837" s="106">
        <f>Cadastro!$P769</f>
        <v>1</v>
      </c>
    </row>
    <row r="838">
      <c r="A838" s="104" t="str">
        <f>Cadastro!$A770</f>
        <v>CAMPINA GRANDE DO SUL</v>
      </c>
      <c r="B838" s="104" t="str">
        <f>Cadastro!$B770</f>
        <v>CAMPINA GRANDE DO SUL</v>
      </c>
      <c r="C838" s="107" t="str">
        <f>Cadastro!$C770</f>
        <v>https://monitoramento.pm.pr.gov.br/proxy_image_7/</v>
      </c>
      <c r="D838" s="105">
        <f>Cadastro!$D770</f>
        <v>8601</v>
      </c>
      <c r="E838" s="104" t="str">
        <f>Cadastro!$E770</f>
        <v>P037.1_LPR</v>
      </c>
      <c r="F838" s="104" t="str">
        <f>Cadastro!$F770</f>
        <v>Estrada da Figueira esq. com BR 116, Campina Grande do Sul - PR</v>
      </c>
      <c r="G838" s="104" t="str">
        <f>Cadastro!$G770</f>
        <v>-25.100494</v>
      </c>
      <c r="H838" s="104" t="str">
        <f>Cadastro!$H770</f>
        <v>-48.826927</v>
      </c>
      <c r="I838" s="104" t="str">
        <f>Cadastro!$I770</f>
        <v>siscop</v>
      </c>
      <c r="J838" s="104" t="str">
        <f>Cadastro!$J770</f>
        <v>Siscop1234</v>
      </c>
      <c r="K838" s="104" t="s">
        <v>4536</v>
      </c>
      <c r="L838" s="104" t="s">
        <v>26</v>
      </c>
      <c r="M838" s="104" t="s">
        <v>27</v>
      </c>
      <c r="N838" s="108" t="str">
        <f t="shared" si="1"/>
        <v>CAMPINA GRANDE DO SUL</v>
      </c>
      <c r="O838" s="109" t="str">
        <f>Cadastro!$O770</f>
        <v>https://monitoramento.pm.pr.gov.br/proxy_image_7/Interface/Cameras/GetJPEGStream?Camera=P037.1_LPR&amp;AuthUser=siscop&amp;AuthPass=Siscop1234&amp;Width=1024&amp;Height=768&amp;Quality=70&amp;FPS=10&amp;ResponseFormat=Text</v>
      </c>
      <c r="P838" s="106">
        <f>Cadastro!$P770</f>
        <v>1</v>
      </c>
    </row>
    <row r="839">
      <c r="A839" s="104" t="str">
        <f>Cadastro!$A771</f>
        <v>CAMPINA GRANDE DO SUL</v>
      </c>
      <c r="B839" s="104" t="str">
        <f>Cadastro!$B771</f>
        <v>CAMPINA GRANDE DO SUL</v>
      </c>
      <c r="C839" s="107" t="str">
        <f>Cadastro!$C771</f>
        <v>https://monitoramento.pm.pr.gov.br/proxy_image_7/</v>
      </c>
      <c r="D839" s="105">
        <f>Cadastro!$D771</f>
        <v>8601</v>
      </c>
      <c r="E839" s="104" t="str">
        <f>Cadastro!$E771</f>
        <v>P037.2_Cxt</v>
      </c>
      <c r="F839" s="104" t="str">
        <f>Cadastro!$F771</f>
        <v>Estrada da Figueira</v>
      </c>
      <c r="G839" s="104" t="str">
        <f>Cadastro!$G771</f>
        <v>-25.100494</v>
      </c>
      <c r="H839" s="104" t="str">
        <f>Cadastro!$H771</f>
        <v>-48.826927</v>
      </c>
      <c r="I839" s="104" t="str">
        <f>Cadastro!$I771</f>
        <v>siscop</v>
      </c>
      <c r="J839" s="104" t="str">
        <f>Cadastro!$J771</f>
        <v>Siscop1234</v>
      </c>
      <c r="K839" s="104" t="s">
        <v>4536</v>
      </c>
      <c r="L839" s="104" t="s">
        <v>26</v>
      </c>
      <c r="M839" s="104" t="s">
        <v>27</v>
      </c>
      <c r="N839" s="108" t="str">
        <f t="shared" si="1"/>
        <v>CAMPINA GRANDE DO SUL</v>
      </c>
      <c r="O839" s="109" t="str">
        <f>Cadastro!$O771</f>
        <v>https://monitoramento.pm.pr.gov.br/proxy_image_7/Interface/Cameras/GetJPEGStream?Camera=P037.2_Cxt&amp;AuthUser=siscop&amp;AuthPass=Siscop1234&amp;Width=1024&amp;Height=768&amp;Quality=70&amp;FPS=10&amp;ResponseFormat=Text</v>
      </c>
      <c r="P839" s="106">
        <f>Cadastro!$P771</f>
        <v>1</v>
      </c>
    </row>
    <row r="840">
      <c r="A840" s="104" t="str">
        <f>Cadastro!$A772</f>
        <v>CAMPINA GRANDE DO SUL</v>
      </c>
      <c r="B840" s="104" t="str">
        <f>Cadastro!$B772</f>
        <v>CAMPINA GRANDE DO SUL</v>
      </c>
      <c r="C840" s="107" t="str">
        <f>Cadastro!$C772</f>
        <v>https://monitoramento.pm.pr.gov.br/proxy_image_7/</v>
      </c>
      <c r="D840" s="105">
        <f>Cadastro!$D772</f>
        <v>8601</v>
      </c>
      <c r="E840" s="104" t="str">
        <f>Cadastro!$E772</f>
        <v>P038.1_PTZ</v>
      </c>
      <c r="F840" s="104" t="str">
        <f>Cadastro!$F772</f>
        <v>Parque Linear Timbu - Jardim Paulista, Campina Grande do Sul - PR</v>
      </c>
      <c r="G840" s="104" t="str">
        <f>Cadastro!$G772</f>
        <v>-25.358633</v>
      </c>
      <c r="H840" s="104" t="str">
        <f>Cadastro!$H772</f>
        <v>-49.090950</v>
      </c>
      <c r="I840" s="104" t="str">
        <f>Cadastro!$I772</f>
        <v>siscop</v>
      </c>
      <c r="J840" s="104" t="str">
        <f>Cadastro!$J772</f>
        <v>Siscop1234</v>
      </c>
      <c r="K840" s="104" t="s">
        <v>4536</v>
      </c>
      <c r="L840" s="104" t="s">
        <v>26</v>
      </c>
      <c r="M840" s="104" t="s">
        <v>27</v>
      </c>
      <c r="N840" s="108" t="str">
        <f t="shared" si="1"/>
        <v>CAMPINA GRANDE DO SUL</v>
      </c>
      <c r="O840" s="109" t="str">
        <f>Cadastro!$O772</f>
        <v>https://monitoramento.pm.pr.gov.br/proxy_image_7/Interface/Cameras/GetJPEGStream?Camera=P038.1_PTZ&amp;AuthUser=siscop&amp;AuthPass=Siscop1234&amp;Width=1024&amp;Height=768&amp;Quality=70&amp;FPS=10&amp;ResponseFormat=Text</v>
      </c>
      <c r="P840" s="106">
        <f>Cadastro!$P772</f>
        <v>1</v>
      </c>
    </row>
    <row r="841">
      <c r="A841" s="104" t="str">
        <f>Cadastro!$A773</f>
        <v>CAMPINA GRANDE DO SUL</v>
      </c>
      <c r="B841" s="104" t="str">
        <f>Cadastro!$B773</f>
        <v>CAMPINA GRANDE DO SUL</v>
      </c>
      <c r="C841" s="107" t="str">
        <f>Cadastro!$C773</f>
        <v>https://monitoramento.pm.pr.gov.br/proxy_image_7/</v>
      </c>
      <c r="D841" s="105">
        <f>Cadastro!$D773</f>
        <v>8601</v>
      </c>
      <c r="E841" s="104" t="str">
        <f>Cadastro!$E773</f>
        <v>P038.2_CXT</v>
      </c>
      <c r="F841" s="104" t="str">
        <f>Cadastro!$F773</f>
        <v>Parque Linear Timbu - Jardim Paulista, Campina Grande do Sul - PR</v>
      </c>
      <c r="G841" s="104" t="str">
        <f>Cadastro!$G773</f>
        <v>-25.358633</v>
      </c>
      <c r="H841" s="104" t="str">
        <f>Cadastro!$H773</f>
        <v>-49.090950</v>
      </c>
      <c r="I841" s="104" t="str">
        <f>Cadastro!$I773</f>
        <v>siscop</v>
      </c>
      <c r="J841" s="104" t="str">
        <f>Cadastro!$J773</f>
        <v>Siscop1234</v>
      </c>
      <c r="K841" s="104" t="s">
        <v>4536</v>
      </c>
      <c r="L841" s="104" t="s">
        <v>26</v>
      </c>
      <c r="M841" s="104" t="s">
        <v>27</v>
      </c>
      <c r="N841" s="108" t="str">
        <f t="shared" si="1"/>
        <v>CAMPINA GRANDE DO SUL</v>
      </c>
      <c r="O841" s="109" t="str">
        <f>Cadastro!$O773</f>
        <v>https://monitoramento.pm.pr.gov.br/proxy_image_7/Interface/Cameras/GetJPEGStream?Camera=P038.2_CXT&amp;AuthUser=siscop&amp;AuthPass=Siscop1234&amp;Width=1024&amp;Height=768&amp;Quality=70&amp;FPS=10&amp;ResponseFormat=Text</v>
      </c>
      <c r="P841" s="106">
        <f>Cadastro!$P773</f>
        <v>1</v>
      </c>
    </row>
    <row r="842">
      <c r="A842" s="104" t="str">
        <f>Cadastro!$A774</f>
        <v>CAMPINA GRANDE DO SUL</v>
      </c>
      <c r="B842" s="104" t="str">
        <f>Cadastro!$B774</f>
        <v>CAMPINA GRANDE DO SUL</v>
      </c>
      <c r="C842" s="107" t="str">
        <f>Cadastro!$C774</f>
        <v>https://monitoramento.pm.pr.gov.br/proxy_image_7/</v>
      </c>
      <c r="D842" s="105">
        <f>Cadastro!$D774</f>
        <v>8601</v>
      </c>
      <c r="E842" s="104" t="str">
        <f>Cadastro!$E774</f>
        <v>P038.3_CXT</v>
      </c>
      <c r="F842" s="104" t="str">
        <f>Cadastro!$F774</f>
        <v>Parque Linear Timbu - Jardim Paulista, Campina Grande do Sul - PR</v>
      </c>
      <c r="G842" s="104" t="str">
        <f>Cadastro!$G774</f>
        <v>-25.358633</v>
      </c>
      <c r="H842" s="104" t="str">
        <f>Cadastro!$H774</f>
        <v>-49.090950</v>
      </c>
      <c r="I842" s="104" t="str">
        <f>Cadastro!$I774</f>
        <v>siscop</v>
      </c>
      <c r="J842" s="104" t="str">
        <f>Cadastro!$J774</f>
        <v>Siscop1234</v>
      </c>
      <c r="K842" s="104" t="s">
        <v>4536</v>
      </c>
      <c r="L842" s="104" t="s">
        <v>26</v>
      </c>
      <c r="M842" s="104" t="s">
        <v>27</v>
      </c>
      <c r="N842" s="108" t="str">
        <f t="shared" si="1"/>
        <v>CAMPINA GRANDE DO SUL</v>
      </c>
      <c r="O842" s="109" t="str">
        <f>Cadastro!$O774</f>
        <v>https://monitoramento.pm.pr.gov.br/proxy_image_7/Interface/Cameras/GetJPEGStream?Camera=P038.3_CXT&amp;AuthUser=siscop&amp;AuthPass=Siscop1234&amp;Width=1024&amp;Height=768&amp;Quality=70&amp;FPS=10&amp;ResponseFormat=Text</v>
      </c>
      <c r="P842" s="106">
        <f>Cadastro!$P774</f>
        <v>1</v>
      </c>
    </row>
    <row r="843">
      <c r="A843" s="104" t="str">
        <f>Cadastro!$A775</f>
        <v>CAMPINA GRANDE DO SUL</v>
      </c>
      <c r="B843" s="104" t="str">
        <f>Cadastro!$B775</f>
        <v>CAMPINA GRANDE DO SUL</v>
      </c>
      <c r="C843" s="107" t="str">
        <f>Cadastro!$C775</f>
        <v>https://monitoramento.pm.pr.gov.br/proxy_image_7/</v>
      </c>
      <c r="D843" s="105">
        <f>Cadastro!$D775</f>
        <v>8601</v>
      </c>
      <c r="E843" s="104" t="str">
        <f>Cadastro!$E775</f>
        <v>P038.4_CXT</v>
      </c>
      <c r="F843" s="104" t="str">
        <f>Cadastro!$F775</f>
        <v>Parque Linear Timbu - Jardim Paulista, Campina Grande do Sul - PR</v>
      </c>
      <c r="G843" s="104" t="str">
        <f>Cadastro!$G775</f>
        <v>-25.358633</v>
      </c>
      <c r="H843" s="104" t="str">
        <f>Cadastro!$H775</f>
        <v>-49.090950</v>
      </c>
      <c r="I843" s="104" t="str">
        <f>Cadastro!$I775</f>
        <v>siscop</v>
      </c>
      <c r="J843" s="104" t="str">
        <f>Cadastro!$J775</f>
        <v>Siscop1234</v>
      </c>
      <c r="K843" s="104" t="s">
        <v>4536</v>
      </c>
      <c r="L843" s="104" t="s">
        <v>26</v>
      </c>
      <c r="M843" s="104" t="s">
        <v>27</v>
      </c>
      <c r="N843" s="108" t="str">
        <f t="shared" si="1"/>
        <v>CAMPINA GRANDE DO SUL</v>
      </c>
      <c r="O843" s="109" t="str">
        <f>Cadastro!$O775</f>
        <v>https://monitoramento.pm.pr.gov.br/proxy_image_7/Interface/Cameras/GetJPEGStream?Camera=P038.4_CXT&amp;AuthUser=siscop&amp;AuthPass=Siscop1234&amp;Width=1024&amp;Height=768&amp;Quality=70&amp;FPS=10&amp;ResponseFormat=Text</v>
      </c>
      <c r="P843" s="106">
        <f>Cadastro!$P775</f>
        <v>1</v>
      </c>
    </row>
    <row r="844">
      <c r="A844" s="104" t="str">
        <f>Cadastro!$A776</f>
        <v>CAMPINA GRANDE DO SUL</v>
      </c>
      <c r="B844" s="104" t="str">
        <f>Cadastro!$B776</f>
        <v>CAMPINA GRANDE DO SUL</v>
      </c>
      <c r="C844" s="107" t="str">
        <f>Cadastro!$C776</f>
        <v>https://monitoramento.pm.pr.gov.br/proxy_image_7/</v>
      </c>
      <c r="D844" s="105">
        <f>Cadastro!$D776</f>
        <v>8601</v>
      </c>
      <c r="E844" s="104" t="str">
        <f>Cadastro!$E776</f>
        <v>P038.5_CXT</v>
      </c>
      <c r="F844" s="104" t="str">
        <f>Cadastro!$F776</f>
        <v>Parque Linear Timbu - Jardim Paulista, Campina Grande do Sul - PR</v>
      </c>
      <c r="G844" s="104" t="str">
        <f>Cadastro!$G776</f>
        <v>-25.358633</v>
      </c>
      <c r="H844" s="104" t="str">
        <f>Cadastro!$H776</f>
        <v>-49.090950</v>
      </c>
      <c r="I844" s="104" t="str">
        <f>Cadastro!$I776</f>
        <v>siscop</v>
      </c>
      <c r="J844" s="104" t="str">
        <f>Cadastro!$J776</f>
        <v>Siscop1234</v>
      </c>
      <c r="K844" s="104" t="s">
        <v>4536</v>
      </c>
      <c r="L844" s="104" t="s">
        <v>26</v>
      </c>
      <c r="M844" s="104" t="s">
        <v>27</v>
      </c>
      <c r="N844" s="108" t="str">
        <f t="shared" si="1"/>
        <v>CAMPINA GRANDE DO SUL</v>
      </c>
      <c r="O844" s="109" t="str">
        <f>Cadastro!$O776</f>
        <v>https://monitoramento.pm.pr.gov.br/proxy_image_7/Interface/Cameras/GetJPEGStream?Camera=P038.5_CXT&amp;AuthUser=siscop&amp;AuthPass=Siscop1234&amp;Width=1024&amp;Height=768&amp;Quality=70&amp;FPS=10&amp;ResponseFormat=Text</v>
      </c>
      <c r="P844" s="106">
        <f>Cadastro!$P776</f>
        <v>1</v>
      </c>
    </row>
    <row r="845">
      <c r="A845" s="104" t="str">
        <f>Cadastro!$A777</f>
        <v>CAMPINA GRANDE DO SUL</v>
      </c>
      <c r="B845" s="104" t="str">
        <f>Cadastro!$B777</f>
        <v>CAMPINA GRANDE DO SUL</v>
      </c>
      <c r="C845" s="107" t="str">
        <f>Cadastro!$C777</f>
        <v>https://monitoramento.pm.pr.gov.br/proxy_image_7/</v>
      </c>
      <c r="D845" s="105">
        <f>Cadastro!$D777</f>
        <v>8601</v>
      </c>
      <c r="E845" s="104" t="str">
        <f>Cadastro!$E777</f>
        <v>P039_Cxt</v>
      </c>
      <c r="F845" s="104" t="str">
        <f>Cadastro!$F777</f>
        <v>Estr. Cupim (ponte)</v>
      </c>
      <c r="G845" s="104" t="str">
        <f>Cadastro!$G777</f>
        <v>-25.315025</v>
      </c>
      <c r="H845" s="104" t="str">
        <f>Cadastro!$H777</f>
        <v>-49.021786</v>
      </c>
      <c r="I845" s="104" t="str">
        <f>Cadastro!$I777</f>
        <v>siscop</v>
      </c>
      <c r="J845" s="104" t="str">
        <f>Cadastro!$J777</f>
        <v>Siscop1234</v>
      </c>
      <c r="K845" s="104" t="s">
        <v>4536</v>
      </c>
      <c r="L845" s="104" t="s">
        <v>26</v>
      </c>
      <c r="M845" s="104" t="s">
        <v>27</v>
      </c>
      <c r="N845" s="108" t="str">
        <f t="shared" si="1"/>
        <v>CAMPINA GRANDE DO SUL</v>
      </c>
      <c r="O845" s="109" t="str">
        <f>Cadastro!$O777</f>
        <v>https://monitoramento.pm.pr.gov.br/proxy_image_7/Interface/Cameras/GetJPEGStream?Camera=P039_Cxt&amp;AuthUser=siscop&amp;AuthPass=Siscop1234&amp;Width=1024&amp;Height=768&amp;Quality=70&amp;FPS=10&amp;ResponseFormat=Text</v>
      </c>
      <c r="P845" s="106">
        <f>Cadastro!$P777</f>
        <v>1</v>
      </c>
    </row>
    <row r="846">
      <c r="A846" s="104" t="str">
        <f>Cadastro!$A778</f>
        <v>CAMPINA GRANDE DO SUL</v>
      </c>
      <c r="B846" s="104" t="str">
        <f>Cadastro!$B778</f>
        <v>CAMPINA GRANDE DO SUL</v>
      </c>
      <c r="C846" s="107" t="str">
        <f>Cadastro!$C778</f>
        <v>https://monitoramento.pm.pr.gov.br/proxy_image_7/</v>
      </c>
      <c r="D846" s="105">
        <f>Cadastro!$D778</f>
        <v>8601</v>
      </c>
      <c r="E846" s="104" t="str">
        <f>Cadastro!$E778</f>
        <v>P040.1_Cxt</v>
      </c>
      <c r="F846" s="104" t="str">
        <f>Cadastro!$F778</f>
        <v>Rua Ernesto Ferreira,38 - Bosque Das Araucárias</v>
      </c>
      <c r="G846" s="104" t="str">
        <f>Cadastro!$G778</f>
        <v>-25.362972</v>
      </c>
      <c r="H846" s="104" t="str">
        <f>Cadastro!$H778</f>
        <v>-49.100769</v>
      </c>
      <c r="I846" s="104" t="str">
        <f>Cadastro!$I778</f>
        <v>siscop</v>
      </c>
      <c r="J846" s="104" t="str">
        <f>Cadastro!$J778</f>
        <v>Siscop1234</v>
      </c>
      <c r="K846" s="104" t="s">
        <v>4536</v>
      </c>
      <c r="L846" s="104" t="s">
        <v>26</v>
      </c>
      <c r="M846" s="104" t="s">
        <v>27</v>
      </c>
      <c r="N846" s="108" t="str">
        <f t="shared" si="1"/>
        <v>CAMPINA GRANDE DO SUL</v>
      </c>
      <c r="O846" s="109" t="str">
        <f>Cadastro!$O778</f>
        <v>https://monitoramento.pm.pr.gov.br/proxy_image_7/Interface/Cameras/GetJPEGStream?Camera=P040.1_Cxt&amp;AuthUser=siscop&amp;AuthPass=Siscop1234&amp;Width=1024&amp;Height=768&amp;Quality=70&amp;FPS=10&amp;ResponseFormat=Text</v>
      </c>
      <c r="P846" s="106">
        <f>Cadastro!$P778</f>
        <v>1</v>
      </c>
    </row>
    <row r="847">
      <c r="A847" s="104" t="str">
        <f>Cadastro!$A779</f>
        <v>CAMPINA GRANDE DO SUL</v>
      </c>
      <c r="B847" s="104" t="str">
        <f>Cadastro!$B779</f>
        <v>CAMPINA GRANDE DO SUL</v>
      </c>
      <c r="C847" s="107" t="str">
        <f>Cadastro!$C779</f>
        <v>https://monitoramento.pm.pr.gov.br/proxy_image_7/</v>
      </c>
      <c r="D847" s="105">
        <f>Cadastro!$D779</f>
        <v>8601</v>
      </c>
      <c r="E847" s="104" t="str">
        <f>Cadastro!$E779</f>
        <v>P040.2_Cxt</v>
      </c>
      <c r="F847" s="104" t="str">
        <f>Cadastro!$F779</f>
        <v>Rua Ernesto Ferreira,38 - Bosque Das Araucárias</v>
      </c>
      <c r="G847" s="104" t="str">
        <f>Cadastro!$G779</f>
        <v>-25.362972</v>
      </c>
      <c r="H847" s="104" t="str">
        <f>Cadastro!$H779</f>
        <v>-49.100769</v>
      </c>
      <c r="I847" s="104" t="str">
        <f>Cadastro!$I779</f>
        <v>siscop</v>
      </c>
      <c r="J847" s="104" t="str">
        <f>Cadastro!$J779</f>
        <v>Siscop1234</v>
      </c>
      <c r="K847" s="104" t="s">
        <v>4536</v>
      </c>
      <c r="L847" s="104" t="s">
        <v>26</v>
      </c>
      <c r="M847" s="104" t="s">
        <v>27</v>
      </c>
      <c r="N847" s="108" t="str">
        <f t="shared" si="1"/>
        <v>CAMPINA GRANDE DO SUL</v>
      </c>
      <c r="O847" s="109" t="str">
        <f>Cadastro!$O779</f>
        <v>https://monitoramento.pm.pr.gov.br/proxy_image_7/Interface/Cameras/GetJPEGStream?Camera=P040.2_Cxt&amp;AuthUser=siscop&amp;AuthPass=Siscop1234&amp;Width=1024&amp;Height=768&amp;Quality=70&amp;FPS=10&amp;ResponseFormat=Text</v>
      </c>
      <c r="P847" s="106">
        <f>Cadastro!$P779</f>
        <v>1</v>
      </c>
    </row>
    <row r="848">
      <c r="A848" s="104" t="str">
        <f>Cadastro!$A780</f>
        <v>CAMPINA GRANDE DO SUL</v>
      </c>
      <c r="B848" s="104" t="str">
        <f>Cadastro!$B780</f>
        <v>CAMPINA GRANDE DO SUL</v>
      </c>
      <c r="C848" s="107" t="str">
        <f>Cadastro!$C780</f>
        <v>https://monitoramento.pm.pr.gov.br/proxy_image_7/</v>
      </c>
      <c r="D848" s="105">
        <f>Cadastro!$D780</f>
        <v>8601</v>
      </c>
      <c r="E848" s="104" t="str">
        <f>Cadastro!$E780</f>
        <v>P041.1_Cxt</v>
      </c>
      <c r="F848" s="104" t="str">
        <f>Cadastro!$F780</f>
        <v>Av. São João, 743 - Praça da Biblia</v>
      </c>
      <c r="G848" s="104" t="str">
        <f>Cadastro!$G780</f>
        <v>-25.110418</v>
      </c>
      <c r="H848" s="104" t="str">
        <f>Cadastro!$H780</f>
        <v>-48.816235</v>
      </c>
      <c r="I848" s="104" t="str">
        <f>Cadastro!$I780</f>
        <v>siscop</v>
      </c>
      <c r="J848" s="104" t="str">
        <f>Cadastro!$J780</f>
        <v>Siscop1234</v>
      </c>
      <c r="K848" s="104" t="s">
        <v>4536</v>
      </c>
      <c r="L848" s="104" t="s">
        <v>26</v>
      </c>
      <c r="M848" s="104" t="s">
        <v>27</v>
      </c>
      <c r="N848" s="108" t="str">
        <f t="shared" si="1"/>
        <v>CAMPINA GRANDE DO SUL</v>
      </c>
      <c r="O848" s="109" t="str">
        <f>Cadastro!$O780</f>
        <v>https://monitoramento.pm.pr.gov.br/proxy_image_7/Interface/Cameras/GetJPEGStream?Camera=P041.1_Cxt&amp;AuthUser=siscop&amp;AuthPass=Siscop1234&amp;Width=1024&amp;Height=768&amp;Quality=70&amp;FPS=10&amp;ResponseFormat=Text</v>
      </c>
      <c r="P848" s="106">
        <f>Cadastro!$P780</f>
        <v>1</v>
      </c>
    </row>
    <row r="849">
      <c r="A849" s="104" t="str">
        <f>Cadastro!$A781</f>
        <v>CAMPINA GRANDE DO SUL</v>
      </c>
      <c r="B849" s="104" t="str">
        <f>Cadastro!$B781</f>
        <v>CAMPINA GRANDE DO SUL</v>
      </c>
      <c r="C849" s="107" t="str">
        <f>Cadastro!$C781</f>
        <v>https://monitoramento.pm.pr.gov.br/proxy_image_7/</v>
      </c>
      <c r="D849" s="105">
        <f>Cadastro!$D781</f>
        <v>8601</v>
      </c>
      <c r="E849" s="104" t="str">
        <f>Cadastro!$E781</f>
        <v>P041.2_Cxt</v>
      </c>
      <c r="F849" s="104" t="str">
        <f>Cadastro!$F781</f>
        <v>Av. São João, 743 - Praça da Biblia</v>
      </c>
      <c r="G849" s="104" t="str">
        <f>Cadastro!$G781</f>
        <v>-25.110418</v>
      </c>
      <c r="H849" s="104" t="str">
        <f>Cadastro!$H781</f>
        <v>-48.816235</v>
      </c>
      <c r="I849" s="104" t="str">
        <f>Cadastro!$I781</f>
        <v>siscop</v>
      </c>
      <c r="J849" s="104" t="str">
        <f>Cadastro!$J781</f>
        <v>Siscop1234</v>
      </c>
      <c r="K849" s="104" t="s">
        <v>4536</v>
      </c>
      <c r="L849" s="104" t="s">
        <v>26</v>
      </c>
      <c r="M849" s="104" t="s">
        <v>27</v>
      </c>
      <c r="N849" s="108" t="str">
        <f t="shared" si="1"/>
        <v>CAMPINA GRANDE DO SUL</v>
      </c>
      <c r="O849" s="109" t="str">
        <f>Cadastro!$O781</f>
        <v>https://monitoramento.pm.pr.gov.br/proxy_image_7/Interface/Cameras/GetJPEGStream?Camera=P041.2_Cxt&amp;AuthUser=siscop&amp;AuthPass=Siscop1234&amp;Width=1024&amp;Height=768&amp;Quality=70&amp;FPS=10&amp;ResponseFormat=Text</v>
      </c>
      <c r="P849" s="106">
        <f>Cadastro!$P781</f>
        <v>1</v>
      </c>
    </row>
    <row r="850">
      <c r="A850" s="104" t="str">
        <f>Cadastro!$A782</f>
        <v>CAMPINA GRANDE DO SUL</v>
      </c>
      <c r="B850" s="104" t="str">
        <f>Cadastro!$B782</f>
        <v>CAMPINA GRANDE DO SUL</v>
      </c>
      <c r="C850" s="107" t="str">
        <f>Cadastro!$C782</f>
        <v>https://monitoramento.pm.pr.gov.br/proxy_image_7/</v>
      </c>
      <c r="D850" s="105">
        <f>Cadastro!$D782</f>
        <v>8601</v>
      </c>
      <c r="E850" s="104" t="str">
        <f>Cadastro!$E782</f>
        <v>P042.1_Cxt</v>
      </c>
      <c r="F850" s="104" t="str">
        <f>Cadastro!$F782</f>
        <v>Av. São João, 200 - Pista de Caminha da Sede</v>
      </c>
      <c r="G850" s="104" t="str">
        <f>Cadastro!$G782</f>
        <v>-25.110418</v>
      </c>
      <c r="H850" s="104" t="str">
        <f>Cadastro!$H782</f>
        <v>-48.816235</v>
      </c>
      <c r="I850" s="104" t="str">
        <f>Cadastro!$I782</f>
        <v>siscop</v>
      </c>
      <c r="J850" s="104" t="str">
        <f>Cadastro!$J782</f>
        <v>Siscop1234</v>
      </c>
      <c r="K850" s="104" t="s">
        <v>4536</v>
      </c>
      <c r="L850" s="104" t="s">
        <v>26</v>
      </c>
      <c r="M850" s="104" t="s">
        <v>27</v>
      </c>
      <c r="N850" s="108" t="str">
        <f t="shared" si="1"/>
        <v>CAMPINA GRANDE DO SUL</v>
      </c>
      <c r="O850" s="109" t="str">
        <f>Cadastro!$O782</f>
        <v>https://monitoramento.pm.pr.gov.br/proxy_image_7/Interface/Cameras/GetJPEGStream?Camera=P042.1_Cxt&amp;AuthUser=siscop&amp;AuthPass=Siscop1234&amp;Width=1024&amp;Height=768&amp;Quality=70&amp;FPS=10&amp;ResponseFormat=Text</v>
      </c>
      <c r="P850" s="106">
        <f>Cadastro!$P782</f>
        <v>1</v>
      </c>
    </row>
    <row r="851">
      <c r="A851" s="104" t="str">
        <f>Cadastro!$A783</f>
        <v>CAMPINA GRANDE DO SUL</v>
      </c>
      <c r="B851" s="104" t="str">
        <f>Cadastro!$B783</f>
        <v>CAMPINA GRANDE DO SUL</v>
      </c>
      <c r="C851" s="107" t="str">
        <f>Cadastro!$C783</f>
        <v>https://monitoramento.pm.pr.gov.br/proxy_image_7/</v>
      </c>
      <c r="D851" s="105">
        <f>Cadastro!$D783</f>
        <v>8601</v>
      </c>
      <c r="E851" s="104" t="str">
        <f>Cadastro!$E783</f>
        <v>P042.2_Cxt</v>
      </c>
      <c r="F851" s="104" t="str">
        <f>Cadastro!$F783</f>
        <v>Av. São João, 200 - Pista de Caminha da Sede</v>
      </c>
      <c r="G851" s="104" t="str">
        <f>Cadastro!$G783</f>
        <v>-25.110418</v>
      </c>
      <c r="H851" s="104" t="str">
        <f>Cadastro!$H783</f>
        <v>-48.816235</v>
      </c>
      <c r="I851" s="104" t="str">
        <f>Cadastro!$I783</f>
        <v>siscop</v>
      </c>
      <c r="J851" s="104" t="str">
        <f>Cadastro!$J783</f>
        <v>Siscop1234</v>
      </c>
      <c r="K851" s="104" t="s">
        <v>4536</v>
      </c>
      <c r="L851" s="104" t="s">
        <v>26</v>
      </c>
      <c r="M851" s="104" t="s">
        <v>27</v>
      </c>
      <c r="N851" s="108" t="str">
        <f t="shared" si="1"/>
        <v>CAMPINA GRANDE DO SUL</v>
      </c>
      <c r="O851" s="109" t="str">
        <f>Cadastro!$O783</f>
        <v>https://monitoramento.pm.pr.gov.br/proxy_image_7/Interface/Cameras/GetJPEGStream?Camera=P042.2_Cxt&amp;AuthUser=siscop&amp;AuthPass=Siscop1234&amp;Width=1024&amp;Height=768&amp;Quality=70&amp;FPS=10&amp;ResponseFormat=Text</v>
      </c>
      <c r="P851" s="106">
        <f>Cadastro!$P783</f>
        <v>1</v>
      </c>
    </row>
    <row r="852">
      <c r="A852" s="104" t="str">
        <f>Cadastro!$A784</f>
        <v>CAMPINA GRANDE DO SUL</v>
      </c>
      <c r="B852" s="104" t="str">
        <f>Cadastro!$B784</f>
        <v>CAMPINA GRANDE DO SUL</v>
      </c>
      <c r="C852" s="107" t="str">
        <f>Cadastro!$C784</f>
        <v>https://monitoramento.pm.pr.gov.br/proxy_image_7/</v>
      </c>
      <c r="D852" s="105">
        <f>Cadastro!$D784</f>
        <v>8601</v>
      </c>
      <c r="E852" s="104" t="str">
        <f>Cadastro!$E784</f>
        <v>P043.1_Cxt</v>
      </c>
      <c r="F852" s="104" t="str">
        <f>Cadastro!$F784</f>
        <v>Terminal de onibus Jd. Paulista</v>
      </c>
      <c r="G852" s="104" t="str">
        <f>Cadastro!$G784</f>
        <v>-25.362972</v>
      </c>
      <c r="H852" s="104" t="str">
        <f>Cadastro!$H784</f>
        <v>-49.100769</v>
      </c>
      <c r="I852" s="104" t="str">
        <f>Cadastro!$I784</f>
        <v>siscop</v>
      </c>
      <c r="J852" s="104" t="str">
        <f>Cadastro!$J784</f>
        <v>Siscop1234</v>
      </c>
      <c r="K852" s="104" t="s">
        <v>4536</v>
      </c>
      <c r="L852" s="104" t="s">
        <v>26</v>
      </c>
      <c r="M852" s="104" t="s">
        <v>27</v>
      </c>
      <c r="N852" s="108" t="str">
        <f t="shared" si="1"/>
        <v>CAMPINA GRANDE DO SUL</v>
      </c>
      <c r="O852" s="109" t="str">
        <f>Cadastro!$O784</f>
        <v>https://monitoramento.pm.pr.gov.br/proxy_image_7/Interface/Cameras/GetJPEGStream?Camera=P043.1_Cxt&amp;AuthUser=siscop&amp;AuthPass=Siscop1234&amp;Width=1024&amp;Height=768&amp;Quality=70&amp;FPS=10&amp;ResponseFormat=Text</v>
      </c>
      <c r="P852" s="106">
        <f>Cadastro!$P784</f>
        <v>1</v>
      </c>
    </row>
    <row r="853">
      <c r="A853" s="104" t="str">
        <f>Cadastro!$A785</f>
        <v>CAMPINA GRANDE DO SUL</v>
      </c>
      <c r="B853" s="104" t="str">
        <f>Cadastro!$B785</f>
        <v>CAMPINA GRANDE DO SUL</v>
      </c>
      <c r="C853" s="107" t="str">
        <f>Cadastro!$C785</f>
        <v>https://monitoramento.pm.pr.gov.br/proxy_image_7/</v>
      </c>
      <c r="D853" s="105">
        <f>Cadastro!$D785</f>
        <v>8601</v>
      </c>
      <c r="E853" s="104" t="str">
        <f>Cadastro!$E785</f>
        <v>P043.2_Cxt</v>
      </c>
      <c r="F853" s="104" t="str">
        <f>Cadastro!$F785</f>
        <v>TerOnibus Jd. Pauli Catraca Entrada RF</v>
      </c>
      <c r="G853" s="104" t="str">
        <f>Cadastro!$G785</f>
        <v>-25.362972</v>
      </c>
      <c r="H853" s="104" t="str">
        <f>Cadastro!$H785</f>
        <v>-49.100769</v>
      </c>
      <c r="I853" s="104" t="str">
        <f>Cadastro!$I785</f>
        <v>siscop</v>
      </c>
      <c r="J853" s="104" t="str">
        <f>Cadastro!$J785</f>
        <v>Siscop1234</v>
      </c>
      <c r="K853" s="104" t="s">
        <v>4536</v>
      </c>
      <c r="L853" s="104" t="s">
        <v>26</v>
      </c>
      <c r="M853" s="104" t="s">
        <v>27</v>
      </c>
      <c r="N853" s="108" t="str">
        <f t="shared" si="1"/>
        <v>CAMPINA GRANDE DO SUL</v>
      </c>
      <c r="O853" s="109" t="str">
        <f>Cadastro!$O785</f>
        <v>https://monitoramento.pm.pr.gov.br/proxy_image_7/Interface/Cameras/GetJPEGStream?Camera=P043.2_Cxt&amp;AuthUser=siscop&amp;AuthPass=Siscop1234&amp;Width=1024&amp;Height=768&amp;Quality=70&amp;FPS=10&amp;ResponseFormat=Text</v>
      </c>
      <c r="P853" s="106">
        <f>Cadastro!$P785</f>
        <v>1</v>
      </c>
    </row>
    <row r="854">
      <c r="A854" s="104" t="str">
        <f>Cadastro!$A786</f>
        <v>CAMPINA GRANDE DO SUL</v>
      </c>
      <c r="B854" s="104" t="str">
        <f>Cadastro!$B786</f>
        <v>CAMPINA GRANDE DO SUL</v>
      </c>
      <c r="C854" s="107" t="str">
        <f>Cadastro!$C786</f>
        <v>https://monitoramento.pm.pr.gov.br/proxy_image_7/</v>
      </c>
      <c r="D854" s="105">
        <f>Cadastro!$D786</f>
        <v>8601</v>
      </c>
      <c r="E854" s="104" t="str">
        <f>Cadastro!$E786</f>
        <v>P043.3_Cxt</v>
      </c>
      <c r="F854" s="104" t="str">
        <f>Cadastro!$F786</f>
        <v>TerOnibuJD.PaulistaCatracaSaida RF</v>
      </c>
      <c r="G854" s="104" t="str">
        <f>Cadastro!$G786</f>
        <v>-25.362972</v>
      </c>
      <c r="H854" s="104" t="str">
        <f>Cadastro!$H786</f>
        <v>-49.100769</v>
      </c>
      <c r="I854" s="104" t="str">
        <f>Cadastro!$I786</f>
        <v>siscop</v>
      </c>
      <c r="J854" s="104" t="str">
        <f>Cadastro!$J786</f>
        <v>Siscop1234</v>
      </c>
      <c r="K854" s="104" t="s">
        <v>4536</v>
      </c>
      <c r="L854" s="104" t="s">
        <v>26</v>
      </c>
      <c r="M854" s="104" t="s">
        <v>27</v>
      </c>
      <c r="N854" s="108" t="str">
        <f t="shared" si="1"/>
        <v>CAMPINA GRANDE DO SUL</v>
      </c>
      <c r="O854" s="109" t="str">
        <f>Cadastro!$O786</f>
        <v>https://monitoramento.pm.pr.gov.br/proxy_image_7/Interface/Cameras/GetJPEGStream?Camera=P043.3_Cxt&amp;AuthUser=siscop&amp;AuthPass=Siscop1234&amp;Width=1024&amp;Height=768&amp;Quality=70&amp;FPS=10&amp;ResponseFormat=Text</v>
      </c>
      <c r="P854" s="106">
        <f>Cadastro!$P786</f>
        <v>1</v>
      </c>
    </row>
    <row r="855">
      <c r="A855" s="104" t="str">
        <f>Cadastro!$A787</f>
        <v>CAMPINA GRANDE DO SUL</v>
      </c>
      <c r="B855" s="104" t="str">
        <f>Cadastro!$B787</f>
        <v>CAMPINA GRANDE DO SUL</v>
      </c>
      <c r="C855" s="107" t="str">
        <f>Cadastro!$C787</f>
        <v>https://monitoramento.pm.pr.gov.br/proxy_image_7/</v>
      </c>
      <c r="D855" s="105">
        <f>Cadastro!$D787</f>
        <v>8601</v>
      </c>
      <c r="E855" s="104" t="str">
        <f>Cadastro!$E787</f>
        <v>P043.4_Cxt</v>
      </c>
      <c r="F855" s="104" t="str">
        <f>Cadastro!$F787</f>
        <v>Terminal de onibus Jd. Paulista</v>
      </c>
      <c r="G855" s="104" t="str">
        <f>Cadastro!$G787</f>
        <v>-25.362972</v>
      </c>
      <c r="H855" s="104" t="str">
        <f>Cadastro!$H787</f>
        <v>-49.100769</v>
      </c>
      <c r="I855" s="104" t="str">
        <f>Cadastro!$I787</f>
        <v>siscop</v>
      </c>
      <c r="J855" s="104" t="str">
        <f>Cadastro!$J787</f>
        <v>Siscop1234</v>
      </c>
      <c r="K855" s="104" t="s">
        <v>4536</v>
      </c>
      <c r="L855" s="104" t="s">
        <v>26</v>
      </c>
      <c r="M855" s="104" t="s">
        <v>27</v>
      </c>
      <c r="N855" s="108" t="str">
        <f t="shared" si="1"/>
        <v>CAMPINA GRANDE DO SUL</v>
      </c>
      <c r="O855" s="109" t="str">
        <f>Cadastro!$O787</f>
        <v>https://monitoramento.pm.pr.gov.br/proxy_image_7/Interface/Cameras/GetJPEGStream?Camera=P043.4_Cxt&amp;AuthUser=siscop&amp;AuthPass=Siscop1234&amp;Width=1024&amp;Height=768&amp;Quality=70&amp;FPS=10&amp;ResponseFormat=Text</v>
      </c>
      <c r="P855" s="106">
        <f>Cadastro!$P787</f>
        <v>1</v>
      </c>
    </row>
    <row r="856">
      <c r="A856" s="104" t="str">
        <f>Cadastro!$A788</f>
        <v>CAMPINA GRANDE DO SUL</v>
      </c>
      <c r="B856" s="104" t="str">
        <f>Cadastro!$B788</f>
        <v>CAMPINA GRANDE DO SUL</v>
      </c>
      <c r="C856" s="107" t="str">
        <f>Cadastro!$C788</f>
        <v>https://monitoramento.pm.pr.gov.br/proxy_image_7/</v>
      </c>
      <c r="D856" s="105">
        <f>Cadastro!$D788</f>
        <v>8601</v>
      </c>
      <c r="E856" s="104" t="str">
        <f>Cadastro!$E788</f>
        <v>P044.1_LPR</v>
      </c>
      <c r="F856" s="104" t="str">
        <f>Cadastro!$F788</f>
        <v>Rua Darvil José Caron, Campina Grande do Sul - PR</v>
      </c>
      <c r="G856" s="104" t="str">
        <f>Cadastro!$G788</f>
        <v>-25.346741</v>
      </c>
      <c r="H856" s="104" t="str">
        <f>Cadastro!$H788</f>
        <v>-49.075741</v>
      </c>
      <c r="I856" s="104" t="str">
        <f>Cadastro!$I788</f>
        <v>siscop</v>
      </c>
      <c r="J856" s="104" t="str">
        <f>Cadastro!$J788</f>
        <v>Siscop1234</v>
      </c>
      <c r="K856" s="104" t="s">
        <v>4536</v>
      </c>
      <c r="L856" s="104" t="s">
        <v>26</v>
      </c>
      <c r="M856" s="104" t="s">
        <v>27</v>
      </c>
      <c r="N856" s="108" t="str">
        <f t="shared" si="1"/>
        <v>CAMPINA GRANDE DO SUL</v>
      </c>
      <c r="O856" s="109" t="str">
        <f>Cadastro!$O788</f>
        <v>https://monitoramento.pm.pr.gov.br/proxy_image_7/Interface/Cameras/GetJPEGStream?Camera=P044.1_LPR&amp;AuthUser=siscop&amp;AuthPass=Siscop1234&amp;Width=1024&amp;Height=768&amp;Quality=70&amp;FPS=10&amp;ResponseFormat=Text</v>
      </c>
      <c r="P856" s="106">
        <f>Cadastro!$P788</f>
        <v>1</v>
      </c>
    </row>
    <row r="857">
      <c r="A857" s="104" t="str">
        <f>Cadastro!$A789</f>
        <v>CAMPINA GRANDE DO SUL</v>
      </c>
      <c r="B857" s="104" t="str">
        <f>Cadastro!$B789</f>
        <v>CAMPINA GRANDE DO SUL</v>
      </c>
      <c r="C857" s="107" t="str">
        <f>Cadastro!$C789</f>
        <v>https://monitoramento.pm.pr.gov.br/proxy_image_7/</v>
      </c>
      <c r="D857" s="105">
        <f>Cadastro!$D789</f>
        <v>8601</v>
      </c>
      <c r="E857" s="104" t="str">
        <f>Cadastro!$E789</f>
        <v>P045.1_LPR</v>
      </c>
      <c r="F857" s="104" t="str">
        <f>Cadastro!$F789</f>
        <v>Rua Marcos Nicolau Strapassoni, Campina Grande do Sul - PR</v>
      </c>
      <c r="G857" s="104" t="str">
        <f>Cadastro!$G789</f>
        <v>-25.356291</v>
      </c>
      <c r="H857" s="104" t="str">
        <f>Cadastro!$H789</f>
        <v>-49.082882</v>
      </c>
      <c r="I857" s="104" t="str">
        <f>Cadastro!$I789</f>
        <v>siscop</v>
      </c>
      <c r="J857" s="104" t="str">
        <f>Cadastro!$J789</f>
        <v>Siscop1234</v>
      </c>
      <c r="K857" s="104" t="s">
        <v>4536</v>
      </c>
      <c r="L857" s="104" t="s">
        <v>26</v>
      </c>
      <c r="M857" s="104" t="s">
        <v>27</v>
      </c>
      <c r="N857" s="108" t="str">
        <f t="shared" si="1"/>
        <v>CAMPINA GRANDE DO SUL</v>
      </c>
      <c r="O857" s="109" t="str">
        <f>Cadastro!$O789</f>
        <v>https://monitoramento.pm.pr.gov.br/proxy_image_7/Interface/Cameras/GetJPEGStream?Camera=P045.1_LPR&amp;AuthUser=siscop&amp;AuthPass=Siscop1234&amp;Width=1024&amp;Height=768&amp;Quality=70&amp;FPS=10&amp;ResponseFormat=Text</v>
      </c>
      <c r="P857" s="106">
        <f>Cadastro!$P789</f>
        <v>1</v>
      </c>
    </row>
    <row r="858">
      <c r="A858" s="104" t="str">
        <f>Cadastro!$A790</f>
        <v>CAMPINA GRANDE DO SUL</v>
      </c>
      <c r="B858" s="104" t="str">
        <f>Cadastro!$B790</f>
        <v>CAMPINA GRANDE DO SUL</v>
      </c>
      <c r="C858" s="107" t="str">
        <f>Cadastro!$C790</f>
        <v>https://monitoramento.pm.pr.gov.br/proxy_image_7/</v>
      </c>
      <c r="D858" s="105">
        <f>Cadastro!$D790</f>
        <v>8601</v>
      </c>
      <c r="E858" s="104" t="str">
        <f>Cadastro!$E790</f>
        <v>P046.1_LPR</v>
      </c>
      <c r="F858" s="104" t="str">
        <f>Cadastro!$F790</f>
        <v>Rua Estrada Gengiro Abe, 3794, Campina Grande do Sul - PR</v>
      </c>
      <c r="G858" s="104" t="str">
        <f>Cadastro!$G790</f>
        <v>-25.356291</v>
      </c>
      <c r="H858" s="104" t="str">
        <f>Cadastro!$H790</f>
        <v>-49.082882</v>
      </c>
      <c r="I858" s="104" t="str">
        <f>Cadastro!$I790</f>
        <v>siscop</v>
      </c>
      <c r="J858" s="104" t="str">
        <f>Cadastro!$J790</f>
        <v>Siscop1234</v>
      </c>
      <c r="K858" s="104" t="s">
        <v>4536</v>
      </c>
      <c r="L858" s="104" t="s">
        <v>26</v>
      </c>
      <c r="M858" s="104" t="s">
        <v>27</v>
      </c>
      <c r="N858" s="108" t="str">
        <f t="shared" si="1"/>
        <v>CAMPINA GRANDE DO SUL</v>
      </c>
      <c r="O858" s="109" t="str">
        <f>Cadastro!$O790</f>
        <v>https://monitoramento.pm.pr.gov.br/proxy_image_7/Interface/Cameras/GetJPEGStream?Camera=P046.1_LPR&amp;AuthUser=siscop&amp;AuthPass=Siscop1234&amp;Width=1024&amp;Height=768&amp;Quality=70&amp;FPS=10&amp;ResponseFormat=Text</v>
      </c>
      <c r="P858" s="106">
        <f>Cadastro!$P790</f>
        <v>1</v>
      </c>
    </row>
    <row r="859">
      <c r="A859" s="104" t="str">
        <f>Cadastro!$A791</f>
        <v>CAMPINA GRANDE DO SUL</v>
      </c>
      <c r="B859" s="104" t="str">
        <f>Cadastro!$B791</f>
        <v>CAMPINA GRANDE DO SUL</v>
      </c>
      <c r="C859" s="107" t="str">
        <f>Cadastro!$C791</f>
        <v>https://monitoramento.pm.pr.gov.br/proxy_image_7/</v>
      </c>
      <c r="D859" s="105">
        <f>Cadastro!$D791</f>
        <v>8601</v>
      </c>
      <c r="E859" s="104" t="str">
        <f>Cadastro!$E791</f>
        <v>P046.2_Cxt</v>
      </c>
      <c r="F859" s="104" t="str">
        <f>Cadastro!$F791</f>
        <v>Rua Estrada Gengiro Abe, 3794, Campina Grande do Sul - PR</v>
      </c>
      <c r="G859" s="104" t="str">
        <f>Cadastro!$G791</f>
        <v>-25.356291</v>
      </c>
      <c r="H859" s="104" t="str">
        <f>Cadastro!$H791</f>
        <v>-49.082882</v>
      </c>
      <c r="I859" s="104" t="str">
        <f>Cadastro!$I791</f>
        <v>siscop</v>
      </c>
      <c r="J859" s="104" t="str">
        <f>Cadastro!$J791</f>
        <v>Siscop1234</v>
      </c>
      <c r="K859" s="104" t="s">
        <v>4536</v>
      </c>
      <c r="L859" s="104" t="s">
        <v>26</v>
      </c>
      <c r="M859" s="104" t="s">
        <v>27</v>
      </c>
      <c r="N859" s="108" t="str">
        <f t="shared" si="1"/>
        <v>CAMPINA GRANDE DO SUL</v>
      </c>
      <c r="O859" s="109" t="str">
        <f>Cadastro!$O791</f>
        <v>https://monitoramento.pm.pr.gov.br/proxy_image_7/Interface/Cameras/GetJPEGStream?Camera=P046.2_Cxt&amp;AuthUser=siscop&amp;AuthPass=Siscop1234&amp;Width=1024&amp;Height=768&amp;Quality=70&amp;FPS=10&amp;ResponseFormat=Text</v>
      </c>
      <c r="P859" s="106">
        <f>Cadastro!$P791</f>
        <v>1</v>
      </c>
    </row>
    <row r="860">
      <c r="A860" s="104" t="str">
        <f>Cadastro!$A792</f>
        <v>CAMPINA GRANDE DO SUL</v>
      </c>
      <c r="B860" s="104" t="str">
        <f>Cadastro!$B792</f>
        <v>CAMPINA GRANDE DO SUL</v>
      </c>
      <c r="C860" s="107" t="str">
        <f>Cadastro!$C792</f>
        <v>https://monitoramento.pm.pr.gov.br/proxy_image_7/</v>
      </c>
      <c r="D860" s="105">
        <f>Cadastro!$D792</f>
        <v>8601</v>
      </c>
      <c r="E860" s="104" t="str">
        <f>Cadastro!$E792</f>
        <v>P047.1_LPR</v>
      </c>
      <c r="F860" s="104" t="str">
        <f>Cadastro!$F792</f>
        <v>Rua Estrada da Barra da Cruz, Campina Grande do Sul - PR</v>
      </c>
      <c r="G860" s="104" t="str">
        <f>Cadastro!$G792</f>
        <v>-25.356291</v>
      </c>
      <c r="H860" s="104" t="str">
        <f>Cadastro!$H792</f>
        <v>-49.082882</v>
      </c>
      <c r="I860" s="104" t="str">
        <f>Cadastro!$I792</f>
        <v>siscop</v>
      </c>
      <c r="J860" s="104" t="str">
        <f>Cadastro!$J792</f>
        <v>Siscop1234</v>
      </c>
      <c r="K860" s="104" t="s">
        <v>4536</v>
      </c>
      <c r="L860" s="104" t="s">
        <v>26</v>
      </c>
      <c r="M860" s="104" t="s">
        <v>27</v>
      </c>
      <c r="N860" s="108" t="str">
        <f t="shared" si="1"/>
        <v>CAMPINA GRANDE DO SUL</v>
      </c>
      <c r="O860" s="109" t="str">
        <f>Cadastro!$O792</f>
        <v>https://monitoramento.pm.pr.gov.br/proxy_image_7/Interface/Cameras/GetJPEGStream?Camera=P047.1_LPR&amp;AuthUser=siscop&amp;AuthPass=Siscop1234&amp;Width=1024&amp;Height=768&amp;Quality=70&amp;FPS=10&amp;ResponseFormat=Text</v>
      </c>
      <c r="P860" s="106">
        <f>Cadastro!$P792</f>
        <v>1</v>
      </c>
    </row>
    <row r="861">
      <c r="A861" s="104" t="str">
        <f>Cadastro!$A793</f>
        <v>CAMPINA GRANDE DO SUL</v>
      </c>
      <c r="B861" s="104" t="str">
        <f>Cadastro!$B793</f>
        <v>CAMPINA GRANDE DO SUL</v>
      </c>
      <c r="C861" s="107" t="str">
        <f>Cadastro!$C793</f>
        <v>https://monitoramento.pm.pr.gov.br/proxy_image_7/</v>
      </c>
      <c r="D861" s="105">
        <f>Cadastro!$D793</f>
        <v>8601</v>
      </c>
      <c r="E861" s="104" t="str">
        <f>Cadastro!$E793</f>
        <v>P049.1_LPR</v>
      </c>
      <c r="F861" s="104" t="str">
        <f>Cadastro!$F793</f>
        <v>Rua Marcos Nicolau Strapassoni, Campina Grande do Sul - PR</v>
      </c>
      <c r="G861" s="104" t="str">
        <f>Cadastro!$G793</f>
        <v>-25.120686</v>
      </c>
      <c r="H861" s="104" t="str">
        <f>Cadastro!$H793</f>
        <v>-48.855412</v>
      </c>
      <c r="I861" s="104" t="str">
        <f>Cadastro!$I793</f>
        <v>siscop</v>
      </c>
      <c r="J861" s="104" t="str">
        <f>Cadastro!$J793</f>
        <v>Siscop1234</v>
      </c>
      <c r="K861" s="104" t="s">
        <v>4536</v>
      </c>
      <c r="L861" s="104" t="s">
        <v>26</v>
      </c>
      <c r="M861" s="104" t="s">
        <v>27</v>
      </c>
      <c r="N861" s="108" t="str">
        <f t="shared" si="1"/>
        <v>CAMPINA GRANDE DO SUL</v>
      </c>
      <c r="O861" s="109" t="str">
        <f>Cadastro!$O793</f>
        <v>https://monitoramento.pm.pr.gov.br/proxy_image_7/Interface/Cameras/GetJPEGStream?Camera=P049.1_LPR&amp;AuthUser=siscop&amp;AuthPass=Siscop1234&amp;Width=1024&amp;Height=768&amp;Quality=70&amp;FPS=10&amp;ResponseFormat=Text</v>
      </c>
      <c r="P861" s="106">
        <f>Cadastro!$P793</f>
        <v>1</v>
      </c>
    </row>
    <row r="862">
      <c r="A862" s="104" t="str">
        <f>Cadastro!$A794</f>
        <v>CAMPINA GRANDE DO SUL</v>
      </c>
      <c r="B862" s="104" t="str">
        <f>Cadastro!$B794</f>
        <v>CAMPINA GRANDE DO SUL</v>
      </c>
      <c r="C862" s="107" t="str">
        <f>Cadastro!$C794</f>
        <v>https://monitoramento.pm.pr.gov.br/proxy_image_7/</v>
      </c>
      <c r="D862" s="105">
        <f>Cadastro!$D794</f>
        <v>8601</v>
      </c>
      <c r="E862" s="104" t="str">
        <f>Cadastro!$E794</f>
        <v>P049.2_CXT</v>
      </c>
      <c r="F862" s="104" t="str">
        <f>Cadastro!$F794</f>
        <v>BR 116 KM 34 SUL SAIDA</v>
      </c>
      <c r="G862" s="104" t="str">
        <f>Cadastro!$G794</f>
        <v>-25.120686</v>
      </c>
      <c r="H862" s="104" t="str">
        <f>Cadastro!$H794</f>
        <v>-48.855412</v>
      </c>
      <c r="I862" s="104" t="str">
        <f>Cadastro!$I794</f>
        <v>siscop</v>
      </c>
      <c r="J862" s="104" t="str">
        <f>Cadastro!$J794</f>
        <v>Siscop1234</v>
      </c>
      <c r="K862" s="104" t="s">
        <v>4536</v>
      </c>
      <c r="L862" s="104" t="s">
        <v>26</v>
      </c>
      <c r="M862" s="104" t="s">
        <v>27</v>
      </c>
      <c r="N862" s="108" t="str">
        <f t="shared" si="1"/>
        <v>CAMPINA GRANDE DO SUL</v>
      </c>
      <c r="O862" s="109" t="str">
        <f>Cadastro!$O794</f>
        <v>https://monitoramento.pm.pr.gov.br/proxy_image_7/Interface/Cameras/GetJPEGStream?Camera=P049.2_CXT&amp;AuthUser=siscop&amp;AuthPass=Siscop1234&amp;Width=1024&amp;Height=768&amp;Quality=70&amp;FPS=10&amp;ResponseFormat=Text</v>
      </c>
      <c r="P862" s="106">
        <f>Cadastro!$P794</f>
        <v>1</v>
      </c>
    </row>
    <row r="863">
      <c r="A863" s="104" t="str">
        <f>Cadastro!$A795</f>
        <v>CAMPINA GRANDE DO SUL</v>
      </c>
      <c r="B863" s="104" t="str">
        <f>Cadastro!$B795</f>
        <v>CAMPINA GRANDE DO SUL</v>
      </c>
      <c r="C863" s="107" t="str">
        <f>Cadastro!$C795</f>
        <v>https://monitoramento.pm.pr.gov.br/proxy_image_7/</v>
      </c>
      <c r="D863" s="105">
        <f>Cadastro!$D795</f>
        <v>8601</v>
      </c>
      <c r="E863" s="104" t="str">
        <f>Cadastro!$E795</f>
        <v>P049.3_CXT</v>
      </c>
      <c r="F863" s="104" t="str">
        <f>Cadastro!$F795</f>
        <v>BR 116 KM 34 SUL ENTRADA</v>
      </c>
      <c r="G863" s="104" t="str">
        <f>Cadastro!$G795</f>
        <v>-25.120686</v>
      </c>
      <c r="H863" s="104" t="str">
        <f>Cadastro!$H795</f>
        <v>-48.855412</v>
      </c>
      <c r="I863" s="104" t="str">
        <f>Cadastro!$I795</f>
        <v>siscop</v>
      </c>
      <c r="J863" s="104" t="str">
        <f>Cadastro!$J795</f>
        <v>Siscop1234</v>
      </c>
      <c r="K863" s="104" t="s">
        <v>4536</v>
      </c>
      <c r="L863" s="104" t="s">
        <v>26</v>
      </c>
      <c r="M863" s="104" t="s">
        <v>27</v>
      </c>
      <c r="N863" s="108" t="str">
        <f t="shared" si="1"/>
        <v>CAMPINA GRANDE DO SUL</v>
      </c>
      <c r="O863" s="109" t="str">
        <f>Cadastro!$O795</f>
        <v>https://monitoramento.pm.pr.gov.br/proxy_image_7/Interface/Cameras/GetJPEGStream?Camera=P049.3_CXT&amp;AuthUser=siscop&amp;AuthPass=Siscop1234&amp;Width=1024&amp;Height=768&amp;Quality=70&amp;FPS=10&amp;ResponseFormat=Text</v>
      </c>
      <c r="P863" s="106">
        <f>Cadastro!$P795</f>
        <v>1</v>
      </c>
    </row>
    <row r="864">
      <c r="A864" s="104" t="str">
        <f>Cadastro!$A796</f>
        <v>PMPR-CASCAVEL</v>
      </c>
      <c r="B864" s="104" t="str">
        <f>Cadastro!$B796</f>
        <v>CASCAVEL</v>
      </c>
      <c r="C864" s="107" t="str">
        <f>Cadastro!$C796</f>
        <v>https://monitoramento.pm.pr.gov.br/proxy_image_8/</v>
      </c>
      <c r="D864" s="105">
        <f>Cadastro!$D796</f>
        <v>8601</v>
      </c>
      <c r="E864" s="104" t="str">
        <f>Cadastro!$E796</f>
        <v>Av. Brasil - ptz</v>
      </c>
      <c r="F864" s="104" t="str">
        <f>Cadastro!$F796</f>
        <v>Câmera situada no Totem em frente a Catedral da Av. Brasil.</v>
      </c>
      <c r="G864" s="104" t="str">
        <f>Cadastro!$G796</f>
        <v>-24.955454</v>
      </c>
      <c r="H864" s="104" t="str">
        <f>Cadastro!$H796</f>
        <v>-53.455811</v>
      </c>
      <c r="I864" s="104" t="str">
        <f>Cadastro!$I796</f>
        <v>siscop</v>
      </c>
      <c r="J864" s="104" t="str">
        <f>Cadastro!$J796</f>
        <v>Siscop1234</v>
      </c>
      <c r="K864" s="104" t="s">
        <v>4536</v>
      </c>
      <c r="L864" s="104" t="s">
        <v>26</v>
      </c>
      <c r="M864" s="104" t="s">
        <v>27</v>
      </c>
      <c r="N864" s="108" t="str">
        <f t="shared" si="1"/>
        <v>PMPR-CASCAVEL</v>
      </c>
      <c r="O864" s="112" t="str">
        <f>Cadastro!$O796</f>
        <v>https://monitoramento.pm.pr.gov.br/proxy_image_8/Interface/Cameras/GetJPEGStream?Camera=Av. Brasil - ptz&amp;AuthUser=siscop&amp;AuthPass=Siscop1234&amp;Width=1024&amp;Height=768&amp;Quality=70&amp;FPS=10&amp;ResponseFormat=Text</v>
      </c>
      <c r="P864" s="106">
        <f>Cadastro!$P796</f>
        <v>1</v>
      </c>
    </row>
    <row r="865">
      <c r="A865" s="104" t="str">
        <f>Cadastro!$A797</f>
        <v>PMPR-CASCAVEL</v>
      </c>
      <c r="B865" s="104" t="str">
        <f>Cadastro!$B797</f>
        <v>CASCAVEL</v>
      </c>
      <c r="C865" s="107" t="str">
        <f>Cadastro!$C797</f>
        <v>https://monitoramento.pm.pr.gov.br/proxy_image_8/</v>
      </c>
      <c r="D865" s="105">
        <f>Cadastro!$D797</f>
        <v>8601</v>
      </c>
      <c r="E865" s="104" t="str">
        <f>Cadastro!$E797</f>
        <v>Av. Brasil - Totem 01</v>
      </c>
      <c r="F865" s="104" t="str">
        <f>Cadastro!$F797</f>
        <v>Câmera situada no Totem em frente a Catedral da Av. Brasil.</v>
      </c>
      <c r="G865" s="104" t="str">
        <f>Cadastro!$G797</f>
        <v>-24.955446</v>
      </c>
      <c r="H865" s="104" t="str">
        <f>Cadastro!$H797</f>
        <v>-53.455856</v>
      </c>
      <c r="I865" s="104" t="str">
        <f>Cadastro!$I797</f>
        <v>siscop</v>
      </c>
      <c r="J865" s="104" t="str">
        <f>Cadastro!$J797</f>
        <v>Siscop1234</v>
      </c>
      <c r="K865" s="104" t="s">
        <v>4536</v>
      </c>
      <c r="L865" s="104" t="s">
        <v>26</v>
      </c>
      <c r="M865" s="104" t="s">
        <v>27</v>
      </c>
      <c r="N865" s="108" t="str">
        <f t="shared" si="1"/>
        <v>PMPR-CASCAVEL</v>
      </c>
      <c r="O865" s="112" t="str">
        <f>Cadastro!$O797</f>
        <v>https://monitoramento.pm.pr.gov.br/proxy_image_8/Interface/Cameras/GetJPEGStream?Camera=Av. Brasil - Totem 01&amp;AuthUser=siscop&amp;AuthPass=Siscop1234&amp;Width=1024&amp;Height=768&amp;Quality=70&amp;FPS=10&amp;ResponseFormat=Text</v>
      </c>
      <c r="P865" s="106">
        <f>Cadastro!$P797</f>
        <v>1</v>
      </c>
    </row>
    <row r="866">
      <c r="A866" s="104" t="str">
        <f>Cadastro!$A798</f>
        <v>PMPR-CASCAVEL</v>
      </c>
      <c r="B866" s="104" t="str">
        <f>Cadastro!$B798</f>
        <v>CASCAVEL</v>
      </c>
      <c r="C866" s="107" t="str">
        <f>Cadastro!$C798</f>
        <v>https://monitoramento.pm.pr.gov.br/proxy_image_8/</v>
      </c>
      <c r="D866" s="105">
        <f>Cadastro!$D798</f>
        <v>8601</v>
      </c>
      <c r="E866" s="104" t="str">
        <f>Cadastro!$E798</f>
        <v>Av. Brasil - Totem 02</v>
      </c>
      <c r="F866" s="104" t="str">
        <f>Cadastro!$F798</f>
        <v>Câmera situada no Totem em frente a Catedral da Av. Brasil.</v>
      </c>
      <c r="G866" s="104" t="str">
        <f>Cadastro!$G798</f>
        <v>-24.955450</v>
      </c>
      <c r="H866" s="104" t="str">
        <f>Cadastro!$H798</f>
        <v>-53.455849</v>
      </c>
      <c r="I866" s="104" t="str">
        <f>Cadastro!$I798</f>
        <v>siscop</v>
      </c>
      <c r="J866" s="104" t="str">
        <f>Cadastro!$J798</f>
        <v>Siscop1234</v>
      </c>
      <c r="K866" s="104" t="s">
        <v>4536</v>
      </c>
      <c r="L866" s="104" t="s">
        <v>26</v>
      </c>
      <c r="M866" s="104" t="s">
        <v>27</v>
      </c>
      <c r="N866" s="108" t="str">
        <f t="shared" si="1"/>
        <v>PMPR-CASCAVEL</v>
      </c>
      <c r="O866" s="112" t="str">
        <f>Cadastro!$O798</f>
        <v>https://monitoramento.pm.pr.gov.br/proxy_image_8/Interface/Cameras/GetJPEGStream?Camera=Av. Brasil - Totem 02&amp;AuthUser=siscop&amp;AuthPass=Siscop1234&amp;Width=1024&amp;Height=768&amp;Quality=70&amp;FPS=10&amp;ResponseFormat=Text</v>
      </c>
      <c r="P866" s="106">
        <f>Cadastro!$P798</f>
        <v>1</v>
      </c>
    </row>
    <row r="867">
      <c r="A867" s="104" t="str">
        <f>Cadastro!$A799</f>
        <v>PMPR-CASCAVEL</v>
      </c>
      <c r="B867" s="104" t="str">
        <f>Cadastro!$B799</f>
        <v>CASCAVEL</v>
      </c>
      <c r="C867" s="107" t="str">
        <f>Cadastro!$C799</f>
        <v>https://monitoramento.pm.pr.gov.br/proxy_image_8/</v>
      </c>
      <c r="D867" s="105">
        <f>Cadastro!$D799</f>
        <v>8601</v>
      </c>
      <c r="E867" s="104" t="str">
        <f>Cadastro!$E799</f>
        <v>Av. Brasil x Av. Rocha Pombo</v>
      </c>
      <c r="F867" s="104" t="str">
        <f>Cadastro!$F799</f>
        <v>Câmera situada na Praça Itália no cruzamento da Av. Brasil x Rocha Pombo.</v>
      </c>
      <c r="G867" s="104" t="str">
        <f>Cadastro!$G799</f>
        <v>-24.952526</v>
      </c>
      <c r="H867" s="104" t="str">
        <f>Cadastro!$H799</f>
        <v>-53.421471</v>
      </c>
      <c r="I867" s="104" t="str">
        <f>Cadastro!$I799</f>
        <v>siscop</v>
      </c>
      <c r="J867" s="104" t="str">
        <f>Cadastro!$J799</f>
        <v>Siscop1234</v>
      </c>
      <c r="K867" s="104" t="s">
        <v>4536</v>
      </c>
      <c r="L867" s="104" t="s">
        <v>26</v>
      </c>
      <c r="M867" s="104" t="s">
        <v>27</v>
      </c>
      <c r="N867" s="108" t="str">
        <f t="shared" si="1"/>
        <v>PMPR-CASCAVEL</v>
      </c>
      <c r="O867" s="112" t="str">
        <f>Cadastro!$O799</f>
        <v>#</v>
      </c>
      <c r="P867" s="106">
        <f>Cadastro!$P799</f>
        <v>0</v>
      </c>
    </row>
    <row r="868">
      <c r="A868" s="104" t="str">
        <f>Cadastro!$A800</f>
        <v>PMPR-CASCAVEL</v>
      </c>
      <c r="B868" s="104" t="str">
        <f>Cadastro!$B800</f>
        <v>CASCAVEL</v>
      </c>
      <c r="C868" s="107" t="str">
        <f>Cadastro!$C800</f>
        <v>https://monitoramento.pm.pr.gov.br/proxy_image_8/</v>
      </c>
      <c r="D868" s="105">
        <f>Cadastro!$D800</f>
        <v>8601</v>
      </c>
      <c r="E868" s="104" t="str">
        <f>Cadastro!$E800</f>
        <v>Av. Brasil x Bartinik</v>
      </c>
      <c r="F868" s="104" t="str">
        <f>Cadastro!$F800</f>
        <v>Câmera situada no cruzamento da Av. Brasil x Bartinik.</v>
      </c>
      <c r="G868" s="104" t="str">
        <f>Cadastro!$G800</f>
        <v>-24.953575</v>
      </c>
      <c r="H868" s="104" t="str">
        <f>Cadastro!$H800</f>
        <v>-53.490833</v>
      </c>
      <c r="I868" s="104" t="str">
        <f>Cadastro!$I800</f>
        <v>siscop</v>
      </c>
      <c r="J868" s="104" t="str">
        <f>Cadastro!$J800</f>
        <v>Siscop1234</v>
      </c>
      <c r="K868" s="104" t="s">
        <v>4536</v>
      </c>
      <c r="L868" s="104" t="s">
        <v>26</v>
      </c>
      <c r="M868" s="104" t="s">
        <v>27</v>
      </c>
      <c r="N868" s="108" t="str">
        <f t="shared" si="1"/>
        <v>PMPR-CASCAVEL</v>
      </c>
      <c r="O868" s="112" t="str">
        <f>Cadastro!$O800</f>
        <v>https://monitoramento.pm.pr.gov.br/proxy_image_8/Interface/Cameras/GetJPEGStream?Camera=Av. Brasil x Bartinik&amp;AuthUser=siscop&amp;AuthPass=Siscop1234&amp;Width=1024&amp;Height=768&amp;Quality=70&amp;FPS=10&amp;ResponseFormat=Text</v>
      </c>
      <c r="P868" s="106">
        <f>Cadastro!$P800</f>
        <v>1</v>
      </c>
    </row>
    <row r="869">
      <c r="A869" s="104" t="str">
        <f>Cadastro!$A801</f>
        <v>PMPR-CASCAVEL</v>
      </c>
      <c r="B869" s="104" t="str">
        <f>Cadastro!$B801</f>
        <v>CASCAVEL</v>
      </c>
      <c r="C869" s="107" t="str">
        <f>Cadastro!$C801</f>
        <v>https://monitoramento.pm.pr.gov.br/proxy_image_8/</v>
      </c>
      <c r="D869" s="105">
        <f>Cadastro!$D801</f>
        <v>8601</v>
      </c>
      <c r="E869" s="104" t="str">
        <f>Cadastro!$E801</f>
        <v>Av. Papagaios - Totem 01</v>
      </c>
      <c r="F869" s="104" t="str">
        <f>Cadastro!$F801</f>
        <v>Câmera situada em frente a Sala do Empreendedor na Região Norte.</v>
      </c>
      <c r="G869" s="104" t="str">
        <f>Cadastro!$G801</f>
        <v>-24.924780</v>
      </c>
      <c r="H869" s="104" t="str">
        <f>Cadastro!$H801</f>
        <v>-53.421688</v>
      </c>
      <c r="I869" s="104" t="str">
        <f>Cadastro!$I801</f>
        <v>siscop</v>
      </c>
      <c r="J869" s="104" t="str">
        <f>Cadastro!$J801</f>
        <v>Siscop1234</v>
      </c>
      <c r="K869" s="104" t="s">
        <v>4536</v>
      </c>
      <c r="L869" s="104" t="s">
        <v>26</v>
      </c>
      <c r="M869" s="104" t="s">
        <v>27</v>
      </c>
      <c r="N869" s="108" t="str">
        <f t="shared" si="1"/>
        <v>PMPR-CASCAVEL</v>
      </c>
      <c r="O869" s="112" t="str">
        <f>Cadastro!$O801</f>
        <v>#</v>
      </c>
      <c r="P869" s="106">
        <f>Cadastro!$P801</f>
        <v>0</v>
      </c>
    </row>
    <row r="870">
      <c r="A870" s="104" t="str">
        <f>Cadastro!$A802</f>
        <v>PMPR-CASCAVEL</v>
      </c>
      <c r="B870" s="104" t="str">
        <f>Cadastro!$B802</f>
        <v>CASCAVEL</v>
      </c>
      <c r="C870" s="107" t="str">
        <f>Cadastro!$C802</f>
        <v>https://monitoramento.pm.pr.gov.br/proxy_image_8/</v>
      </c>
      <c r="D870" s="105">
        <f>Cadastro!$D802</f>
        <v>8601</v>
      </c>
      <c r="E870" s="104" t="str">
        <f>Cadastro!$E802</f>
        <v>Av. Papagaios - Totem 02</v>
      </c>
      <c r="F870" s="104" t="str">
        <f>Cadastro!$F802</f>
        <v>Câmera situada em frente a Sala do Empreendedor na Região Norte.</v>
      </c>
      <c r="G870" s="104" t="str">
        <f>Cadastro!$G802</f>
        <v>-24.924780</v>
      </c>
      <c r="H870" s="104" t="str">
        <f>Cadastro!$H802</f>
        <v>-53.421696</v>
      </c>
      <c r="I870" s="104" t="str">
        <f>Cadastro!$I802</f>
        <v>siscop</v>
      </c>
      <c r="J870" s="104" t="str">
        <f>Cadastro!$J802</f>
        <v>Siscop1234</v>
      </c>
      <c r="K870" s="104" t="s">
        <v>4536</v>
      </c>
      <c r="L870" s="104" t="s">
        <v>26</v>
      </c>
      <c r="M870" s="104" t="s">
        <v>27</v>
      </c>
      <c r="N870" s="108" t="str">
        <f t="shared" si="1"/>
        <v>PMPR-CASCAVEL</v>
      </c>
      <c r="O870" s="112" t="str">
        <f>Cadastro!$O802</f>
        <v>#</v>
      </c>
      <c r="P870" s="106">
        <f>Cadastro!$P802</f>
        <v>0</v>
      </c>
    </row>
    <row r="871">
      <c r="A871" s="104" t="str">
        <f>Cadastro!$A803</f>
        <v>PMPR-CASCAVEL</v>
      </c>
      <c r="B871" s="104" t="str">
        <f>Cadastro!$B803</f>
        <v>CASCAVEL</v>
      </c>
      <c r="C871" s="107" t="str">
        <f>Cadastro!$C803</f>
        <v>https://monitoramento.pm.pr.gov.br/proxy_image_8/</v>
      </c>
      <c r="D871" s="105">
        <f>Cadastro!$D803</f>
        <v>8601</v>
      </c>
      <c r="E871" s="104" t="str">
        <f>Cadastro!$E803</f>
        <v>EcoPark - Santa Cruz 01</v>
      </c>
      <c r="F871" s="104" t="str">
        <f>Cadastro!$F803</f>
        <v>Câmera situada no EcoPark do bairro Santa Cruz.</v>
      </c>
      <c r="G871" s="104" t="str">
        <f>Cadastro!$G803</f>
        <v>-24.955631</v>
      </c>
      <c r="H871" s="104" t="str">
        <f>Cadastro!$H803</f>
        <v>-53.498425</v>
      </c>
      <c r="I871" s="104" t="str">
        <f>Cadastro!$I803</f>
        <v>siscop</v>
      </c>
      <c r="J871" s="104" t="str">
        <f>Cadastro!$J803</f>
        <v>Siscop1234</v>
      </c>
      <c r="K871" s="104" t="s">
        <v>4536</v>
      </c>
      <c r="L871" s="104" t="s">
        <v>26</v>
      </c>
      <c r="M871" s="104" t="s">
        <v>27</v>
      </c>
      <c r="N871" s="108" t="str">
        <f t="shared" si="1"/>
        <v>PMPR-CASCAVEL</v>
      </c>
      <c r="O871" s="112" t="str">
        <f>Cadastro!$O803</f>
        <v>https://monitoramento.pm.pr.gov.br/proxy_image_8/Interface/Cameras/GetJPEGStream?Camera=EcoPark - Santa Cruz 01&amp;AuthUser=siscop&amp;AuthPass=Siscop1234&amp;Width=1024&amp;Height=768&amp;Quality=70&amp;FPS=10&amp;ResponseFormat=Text</v>
      </c>
      <c r="P871" s="106">
        <f>Cadastro!$P803</f>
        <v>1</v>
      </c>
    </row>
    <row r="872">
      <c r="A872" s="104" t="str">
        <f>Cadastro!$A804</f>
        <v>PMPR-CASCAVEL</v>
      </c>
      <c r="B872" s="104" t="str">
        <f>Cadastro!$B804</f>
        <v>CASCAVEL</v>
      </c>
      <c r="C872" s="107" t="str">
        <f>Cadastro!$C804</f>
        <v>https://monitoramento.pm.pr.gov.br/proxy_image_8/</v>
      </c>
      <c r="D872" s="105">
        <f>Cadastro!$D804</f>
        <v>8601</v>
      </c>
      <c r="E872" s="104" t="str">
        <f>Cadastro!$E804</f>
        <v>EcoPark - Santa Cruz 02</v>
      </c>
      <c r="F872" s="104" t="str">
        <f>Cadastro!$F804</f>
        <v>Câmera situada no EcoPark do bairro Santa Cruz.</v>
      </c>
      <c r="G872" s="104" t="str">
        <f>Cadastro!$G804</f>
        <v>-24.953106</v>
      </c>
      <c r="H872" s="104" t="str">
        <f>Cadastro!$H804</f>
        <v>-53.498959</v>
      </c>
      <c r="I872" s="104" t="str">
        <f>Cadastro!$I804</f>
        <v>siscop</v>
      </c>
      <c r="J872" s="104" t="str">
        <f>Cadastro!$J804</f>
        <v>Siscop1234</v>
      </c>
      <c r="K872" s="104" t="s">
        <v>4536</v>
      </c>
      <c r="L872" s="104" t="s">
        <v>26</v>
      </c>
      <c r="M872" s="104" t="s">
        <v>27</v>
      </c>
      <c r="N872" s="108" t="str">
        <f t="shared" si="1"/>
        <v>PMPR-CASCAVEL</v>
      </c>
      <c r="O872" s="112" t="str">
        <f>Cadastro!$O804</f>
        <v>https://monitoramento.pm.pr.gov.br/proxy_image_8/Interface/Cameras/GetJPEGStream?Camera=EcoPark - Santa Cruz 02&amp;AuthUser=siscop&amp;AuthPass=Siscop1234&amp;Width=1024&amp;Height=768&amp;Quality=70&amp;FPS=10&amp;ResponseFormat=Text</v>
      </c>
      <c r="P872" s="106">
        <f>Cadastro!$P804</f>
        <v>1</v>
      </c>
    </row>
    <row r="873">
      <c r="A873" s="104" t="str">
        <f>Cadastro!$A805</f>
        <v>PMPR-CASCAVEL</v>
      </c>
      <c r="B873" s="104" t="str">
        <f>Cadastro!$B805</f>
        <v>CASCAVEL</v>
      </c>
      <c r="C873" s="107" t="str">
        <f>Cadastro!$C805</f>
        <v>https://monitoramento.pm.pr.gov.br/proxy_image_8/</v>
      </c>
      <c r="D873" s="105">
        <f>Cadastro!$D805</f>
        <v>8601</v>
      </c>
      <c r="E873" s="104" t="str">
        <f>Cadastro!$E805</f>
        <v>EcoPark - Santa Cruz 03</v>
      </c>
      <c r="F873" s="104" t="str">
        <f>Cadastro!$F805</f>
        <v>Câmera situada no EcoPark do bairro Santa Cruz.</v>
      </c>
      <c r="G873" s="104" t="str">
        <f>Cadastro!$G805</f>
        <v>-24.946451</v>
      </c>
      <c r="H873" s="104" t="str">
        <f>Cadastro!$H805</f>
        <v>-53.501297</v>
      </c>
      <c r="I873" s="104" t="str">
        <f>Cadastro!$I805</f>
        <v>siscop</v>
      </c>
      <c r="J873" s="104" t="str">
        <f>Cadastro!$J805</f>
        <v>Siscop1234</v>
      </c>
      <c r="K873" s="104" t="s">
        <v>4536</v>
      </c>
      <c r="L873" s="104" t="s">
        <v>26</v>
      </c>
      <c r="M873" s="104" t="s">
        <v>27</v>
      </c>
      <c r="N873" s="108" t="str">
        <f t="shared" si="1"/>
        <v>PMPR-CASCAVEL</v>
      </c>
      <c r="O873" s="112" t="str">
        <f>Cadastro!$O805</f>
        <v>#</v>
      </c>
      <c r="P873" s="106">
        <f>Cadastro!$P805</f>
        <v>0</v>
      </c>
    </row>
    <row r="874">
      <c r="A874" s="104" t="str">
        <f>Cadastro!$A806</f>
        <v>PMPR-CASCAVEL</v>
      </c>
      <c r="B874" s="104" t="str">
        <f>Cadastro!$B806</f>
        <v>CASCAVEL</v>
      </c>
      <c r="C874" s="107" t="str">
        <f>Cadastro!$C806</f>
        <v>https://monitoramento.pm.pr.gov.br/proxy_image_8/</v>
      </c>
      <c r="D874" s="105">
        <f>Cadastro!$D806</f>
        <v>8601</v>
      </c>
      <c r="E874" s="104" t="str">
        <f>Cadastro!$E806</f>
        <v>Estacao Cidadania 01</v>
      </c>
      <c r="F874" s="104" t="str">
        <f>Cadastro!$F806</f>
        <v>Câmera situada na Estação Cidadania na Av. Brasil x Jacarezinho.</v>
      </c>
      <c r="G874" s="104" t="str">
        <f>Cadastro!$G806</f>
        <v>-24.946615</v>
      </c>
      <c r="H874" s="104" t="str">
        <f>Cadastro!$H806</f>
        <v>-53.433559</v>
      </c>
      <c r="I874" s="104" t="str">
        <f>Cadastro!$I806</f>
        <v>siscop</v>
      </c>
      <c r="J874" s="104" t="str">
        <f>Cadastro!$J806</f>
        <v>Siscop1234</v>
      </c>
      <c r="K874" s="104" t="s">
        <v>4536</v>
      </c>
      <c r="L874" s="104" t="s">
        <v>26</v>
      </c>
      <c r="M874" s="104" t="s">
        <v>27</v>
      </c>
      <c r="N874" s="108" t="str">
        <f t="shared" si="1"/>
        <v>PMPR-CASCAVEL</v>
      </c>
      <c r="O874" s="112" t="str">
        <f>Cadastro!$O806</f>
        <v>#</v>
      </c>
      <c r="P874" s="106">
        <f>Cadastro!$P806</f>
        <v>0</v>
      </c>
    </row>
    <row r="875">
      <c r="A875" s="104" t="str">
        <f>Cadastro!$A807</f>
        <v>PMPR-CASCAVEL</v>
      </c>
      <c r="B875" s="104" t="str">
        <f>Cadastro!$B807</f>
        <v>CASCAVEL</v>
      </c>
      <c r="C875" s="107" t="str">
        <f>Cadastro!$C807</f>
        <v>https://monitoramento.pm.pr.gov.br/proxy_image_8/</v>
      </c>
      <c r="D875" s="105">
        <f>Cadastro!$D807</f>
        <v>8601</v>
      </c>
      <c r="E875" s="104" t="str">
        <f>Cadastro!$E807</f>
        <v>Estacao Cidadania 02</v>
      </c>
      <c r="F875" s="104" t="str">
        <f>Cadastro!$F807</f>
        <v>Câmera situada na Estação Cidadania na Av. Brasil x Jacarezinho.</v>
      </c>
      <c r="G875" s="104" t="str">
        <f>Cadastro!$G807</f>
        <v>-24.946880</v>
      </c>
      <c r="H875" s="104" t="str">
        <f>Cadastro!$H807</f>
        <v>-53.433132</v>
      </c>
      <c r="I875" s="104" t="str">
        <f>Cadastro!$I807</f>
        <v>siscop</v>
      </c>
      <c r="J875" s="104" t="str">
        <f>Cadastro!$J807</f>
        <v>Siscop1234</v>
      </c>
      <c r="K875" s="104" t="s">
        <v>4536</v>
      </c>
      <c r="L875" s="104" t="s">
        <v>26</v>
      </c>
      <c r="M875" s="104" t="s">
        <v>27</v>
      </c>
      <c r="N875" s="108" t="str">
        <f t="shared" si="1"/>
        <v>PMPR-CASCAVEL</v>
      </c>
      <c r="O875" s="112" t="str">
        <f>Cadastro!$O807</f>
        <v>https://monitoramento.pm.pr.gov.br/proxy_image_8/Interface/Cameras/GetJPEGStream?Camera=Estacao Cidadania 02&amp;AuthUser=siscop&amp;AuthPass=Siscop1234&amp;Width=1024&amp;Height=768&amp;Quality=70&amp;FPS=10&amp;ResponseFormat=Text</v>
      </c>
      <c r="P875" s="106">
        <f>Cadastro!$P807</f>
        <v>1</v>
      </c>
    </row>
    <row r="876">
      <c r="A876" s="104" t="str">
        <f>Cadastro!$A808</f>
        <v>PMPR-CASCAVEL</v>
      </c>
      <c r="B876" s="104" t="str">
        <f>Cadastro!$B808</f>
        <v>CASCAVEL</v>
      </c>
      <c r="C876" s="107" t="str">
        <f>Cadastro!$C808</f>
        <v>https://monitoramento.pm.pr.gov.br/proxy_image_8/</v>
      </c>
      <c r="D876" s="105">
        <f>Cadastro!$D808</f>
        <v>8601</v>
      </c>
      <c r="E876" s="104" t="str">
        <f>Cadastro!$E808</f>
        <v>Farmacia Basica</v>
      </c>
      <c r="F876" s="104" t="str">
        <f>Cadastro!$F808</f>
        <v>Câmera situada na farmácia básica.</v>
      </c>
      <c r="G876" s="104" t="str">
        <f>Cadastro!$G808</f>
        <v>-24.960117</v>
      </c>
      <c r="H876" s="104" t="str">
        <f>Cadastro!$H808</f>
        <v>-53.476334</v>
      </c>
      <c r="I876" s="104" t="str">
        <f>Cadastro!$I808</f>
        <v>siscop</v>
      </c>
      <c r="J876" s="104" t="str">
        <f>Cadastro!$J808</f>
        <v>Siscop1234</v>
      </c>
      <c r="K876" s="104" t="s">
        <v>4536</v>
      </c>
      <c r="L876" s="104" t="s">
        <v>26</v>
      </c>
      <c r="M876" s="104" t="s">
        <v>27</v>
      </c>
      <c r="N876" s="108" t="str">
        <f t="shared" si="1"/>
        <v>PMPR-CASCAVEL</v>
      </c>
      <c r="O876" s="112" t="str">
        <f>Cadastro!$O808</f>
        <v>https://monitoramento.pm.pr.gov.br/proxy_image_8/Interface/Cameras/GetJPEGStream?Camera=Farmacia Basica&amp;AuthUser=siscop&amp;AuthPass=Siscop1234&amp;Width=1024&amp;Height=768&amp;Quality=70&amp;FPS=10&amp;ResponseFormat=Text</v>
      </c>
      <c r="P876" s="106">
        <f>Cadastro!$P808</f>
        <v>1</v>
      </c>
    </row>
    <row r="877">
      <c r="A877" s="104" t="str">
        <f>Cadastro!$A809</f>
        <v>PMPR-CASCAVEL</v>
      </c>
      <c r="B877" s="104" t="str">
        <f>Cadastro!$B809</f>
        <v>CASCAVEL</v>
      </c>
      <c r="C877" s="107" t="str">
        <f>Cadastro!$C809</f>
        <v>https://monitoramento.pm.pr.gov.br/proxy_image_8/</v>
      </c>
      <c r="D877" s="105">
        <f>Cadastro!$D809</f>
        <v>8601</v>
      </c>
      <c r="E877" s="104" t="str">
        <f>Cadastro!$E809</f>
        <v>Gralha-Azul - Guaruja</v>
      </c>
      <c r="F877" s="104" t="str">
        <f>Cadastro!$F809</f>
        <v>Câmera situada na R. Gralha-Azul no bairro Guarujá.</v>
      </c>
      <c r="G877" s="104" t="str">
        <f>Cadastro!$G809</f>
        <v>-24.987011</v>
      </c>
      <c r="H877" s="104" t="str">
        <f>Cadastro!$H809</f>
        <v>-53.493313</v>
      </c>
      <c r="I877" s="104" t="str">
        <f>Cadastro!$I809</f>
        <v>siscop</v>
      </c>
      <c r="J877" s="104" t="str">
        <f>Cadastro!$J809</f>
        <v>Siscop1234</v>
      </c>
      <c r="K877" s="104" t="s">
        <v>4536</v>
      </c>
      <c r="L877" s="104" t="s">
        <v>26</v>
      </c>
      <c r="M877" s="104" t="s">
        <v>27</v>
      </c>
      <c r="N877" s="108" t="str">
        <f t="shared" si="1"/>
        <v>PMPR-CASCAVEL</v>
      </c>
      <c r="O877" s="112" t="str">
        <f>Cadastro!$O809</f>
        <v>https://monitoramento.pm.pr.gov.br/proxy_image_8/Interface/Cameras/GetJPEGStream?Camera=Gralha-Azul - Guaruja&amp;AuthUser=siscop&amp;AuthPass=Siscop1234&amp;Width=1024&amp;Height=768&amp;Quality=70&amp;FPS=10&amp;ResponseFormat=Text</v>
      </c>
      <c r="P877" s="106">
        <f>Cadastro!$P809</f>
        <v>1</v>
      </c>
    </row>
    <row r="878">
      <c r="A878" s="104" t="str">
        <f>Cadastro!$A810</f>
        <v>PMPR-CASCAVEL</v>
      </c>
      <c r="B878" s="104" t="str">
        <f>Cadastro!$B810</f>
        <v>CASCAVEL</v>
      </c>
      <c r="C878" s="107" t="str">
        <f>Cadastro!$C810</f>
        <v>https://monitoramento.pm.pr.gov.br/proxy_image_8/</v>
      </c>
      <c r="D878" s="105">
        <f>Cadastro!$D810</f>
        <v>8601</v>
      </c>
      <c r="E878" s="104" t="str">
        <f>Cadastro!$E810</f>
        <v>Interlagos - 01</v>
      </c>
      <c r="F878" s="104" t="str">
        <f>Cadastro!$F810</f>
        <v>Câmera situada no DIS localizado na Av. Interlagos.</v>
      </c>
      <c r="G878" s="104" t="str">
        <f>Cadastro!$G810</f>
        <v>-24.916399</v>
      </c>
      <c r="H878" s="104" t="str">
        <f>Cadastro!$H810</f>
        <v>-53.437981</v>
      </c>
      <c r="I878" s="104" t="str">
        <f>Cadastro!$I810</f>
        <v>siscop</v>
      </c>
      <c r="J878" s="104" t="str">
        <f>Cadastro!$J810</f>
        <v>Siscop1234</v>
      </c>
      <c r="K878" s="104" t="s">
        <v>4536</v>
      </c>
      <c r="L878" s="104" t="s">
        <v>26</v>
      </c>
      <c r="M878" s="104" t="s">
        <v>27</v>
      </c>
      <c r="N878" s="108" t="str">
        <f t="shared" si="1"/>
        <v>PMPR-CASCAVEL</v>
      </c>
      <c r="O878" s="112" t="str">
        <f>Cadastro!$O810</f>
        <v>#</v>
      </c>
      <c r="P878" s="106">
        <f>Cadastro!$P810</f>
        <v>0</v>
      </c>
    </row>
    <row r="879">
      <c r="A879" s="104" t="str">
        <f>Cadastro!$A811</f>
        <v>PMPR-CASCAVEL</v>
      </c>
      <c r="B879" s="104" t="str">
        <f>Cadastro!$B811</f>
        <v>CASCAVEL</v>
      </c>
      <c r="C879" s="107" t="str">
        <f>Cadastro!$C811</f>
        <v>https://monitoramento.pm.pr.gov.br/proxy_image_8/</v>
      </c>
      <c r="D879" s="105">
        <f>Cadastro!$D811</f>
        <v>8601</v>
      </c>
      <c r="E879" s="104" t="str">
        <f>Cadastro!$E811</f>
        <v>Interlagos - 02</v>
      </c>
      <c r="F879" s="104" t="str">
        <f>Cadastro!$F811</f>
        <v>Câmera situada no DIS localizado na Av. Interlagos.</v>
      </c>
      <c r="G879" s="104" t="str">
        <f>Cadastro!$G811</f>
        <v>-24.916405</v>
      </c>
      <c r="H879" s="104" t="str">
        <f>Cadastro!$H811</f>
        <v>-53.437981</v>
      </c>
      <c r="I879" s="104" t="str">
        <f>Cadastro!$I811</f>
        <v>siscop</v>
      </c>
      <c r="J879" s="104" t="str">
        <f>Cadastro!$J811</f>
        <v>Siscop1234</v>
      </c>
      <c r="K879" s="104" t="s">
        <v>4536</v>
      </c>
      <c r="L879" s="104" t="s">
        <v>26</v>
      </c>
      <c r="M879" s="104" t="s">
        <v>27</v>
      </c>
      <c r="N879" s="108" t="str">
        <f t="shared" si="1"/>
        <v>PMPR-CASCAVEL</v>
      </c>
      <c r="O879" s="112" t="str">
        <f>Cadastro!$O811</f>
        <v>#</v>
      </c>
      <c r="P879" s="106">
        <f>Cadastro!$P811</f>
        <v>0</v>
      </c>
    </row>
    <row r="880">
      <c r="A880" s="104" t="str">
        <f>Cadastro!$A812</f>
        <v>PMPR-CASCAVEL</v>
      </c>
      <c r="B880" s="104" t="str">
        <f>Cadastro!$B812</f>
        <v>CASCAVEL</v>
      </c>
      <c r="C880" s="107" t="str">
        <f>Cadastro!$C812</f>
        <v>https://monitoramento.pm.pr.gov.br/proxy_image_8/</v>
      </c>
      <c r="D880" s="105">
        <f>Cadastro!$D812</f>
        <v>8601</v>
      </c>
      <c r="E880" s="104" t="str">
        <f>Cadastro!$E812</f>
        <v>Interlagos - 03</v>
      </c>
      <c r="F880" s="104" t="str">
        <f>Cadastro!$F812</f>
        <v>Câmera situada no DIS localizado na Av. Interlagos.</v>
      </c>
      <c r="G880" s="104" t="str">
        <f>Cadastro!$G812</f>
        <v>-24.916401</v>
      </c>
      <c r="H880" s="104" t="str">
        <f>Cadastro!$H812</f>
        <v>-53.437977</v>
      </c>
      <c r="I880" s="104" t="str">
        <f>Cadastro!$I812</f>
        <v>siscop</v>
      </c>
      <c r="J880" s="104" t="str">
        <f>Cadastro!$J812</f>
        <v>Siscop1234</v>
      </c>
      <c r="K880" s="104" t="s">
        <v>4536</v>
      </c>
      <c r="L880" s="104" t="s">
        <v>26</v>
      </c>
      <c r="M880" s="104" t="s">
        <v>27</v>
      </c>
      <c r="N880" s="108" t="str">
        <f t="shared" si="1"/>
        <v>PMPR-CASCAVEL</v>
      </c>
      <c r="O880" s="112" t="str">
        <f>Cadastro!$O812</f>
        <v>#</v>
      </c>
      <c r="P880" s="106">
        <f>Cadastro!$P812</f>
        <v>0</v>
      </c>
    </row>
    <row r="881">
      <c r="A881" s="104" t="str">
        <f>Cadastro!$A813</f>
        <v>PMPR-CASCAVEL</v>
      </c>
      <c r="B881" s="104" t="str">
        <f>Cadastro!$B813</f>
        <v>CASCAVEL</v>
      </c>
      <c r="C881" s="107" t="str">
        <f>Cadastro!$C813</f>
        <v>https://monitoramento.pm.pr.gov.br/proxy_image_8/</v>
      </c>
      <c r="D881" s="105">
        <f>Cadastro!$D813</f>
        <v>8601</v>
      </c>
      <c r="E881" s="104" t="str">
        <f>Cadastro!$E813</f>
        <v>Interlagos - PTZ</v>
      </c>
      <c r="F881" s="104" t="str">
        <f>Cadastro!$F813</f>
        <v>Câmera situada no DIS localizado na Av. Interlagos.</v>
      </c>
      <c r="G881" s="104" t="str">
        <f>Cadastro!$G813</f>
        <v>-24.916410</v>
      </c>
      <c r="H881" s="104" t="str">
        <f>Cadastro!$H813</f>
        <v>-53.437981</v>
      </c>
      <c r="I881" s="104" t="str">
        <f>Cadastro!$I813</f>
        <v>siscop</v>
      </c>
      <c r="J881" s="104" t="str">
        <f>Cadastro!$J813</f>
        <v>Siscop1234</v>
      </c>
      <c r="K881" s="104" t="s">
        <v>4536</v>
      </c>
      <c r="L881" s="104" t="s">
        <v>26</v>
      </c>
      <c r="M881" s="104" t="s">
        <v>27</v>
      </c>
      <c r="N881" s="108" t="str">
        <f t="shared" si="1"/>
        <v>PMPR-CASCAVEL</v>
      </c>
      <c r="O881" s="112" t="str">
        <f>Cadastro!$O813</f>
        <v>#</v>
      </c>
      <c r="P881" s="106">
        <f>Cadastro!$P813</f>
        <v>0</v>
      </c>
    </row>
    <row r="882">
      <c r="A882" s="104" t="str">
        <f>Cadastro!$A814</f>
        <v>PMPR-CASCAVEL</v>
      </c>
      <c r="B882" s="104" t="str">
        <f>Cadastro!$B814</f>
        <v>CASCAVEL</v>
      </c>
      <c r="C882" s="107" t="str">
        <f>Cadastro!$C814</f>
        <v>https://monitoramento.pm.pr.gov.br/proxy_image_8/</v>
      </c>
      <c r="D882" s="105">
        <f>Cadastro!$D814</f>
        <v>8601</v>
      </c>
      <c r="E882" s="104" t="str">
        <f>Cadastro!$E814</f>
        <v>Lago Municipal</v>
      </c>
      <c r="F882" s="104" t="str">
        <f>Cadastro!$F814</f>
        <v>Câmera situada no chafariz do lago municipal.</v>
      </c>
      <c r="G882" s="104" t="str">
        <f>Cadastro!$G814</f>
        <v>-24.965275</v>
      </c>
      <c r="H882" s="104" t="str">
        <f>Cadastro!$H814</f>
        <v>-53.437099</v>
      </c>
      <c r="I882" s="104" t="str">
        <f>Cadastro!$I814</f>
        <v>siscop</v>
      </c>
      <c r="J882" s="104" t="str">
        <f>Cadastro!$J814</f>
        <v>Siscop1234</v>
      </c>
      <c r="K882" s="104" t="s">
        <v>4536</v>
      </c>
      <c r="L882" s="104" t="s">
        <v>26</v>
      </c>
      <c r="M882" s="104" t="s">
        <v>27</v>
      </c>
      <c r="N882" s="108" t="str">
        <f t="shared" si="1"/>
        <v>PMPR-CASCAVEL</v>
      </c>
      <c r="O882" s="112" t="str">
        <f>Cadastro!$O814</f>
        <v>https://monitoramento.pm.pr.gov.br/proxy_image_8/Interface/Cameras/GetJPEGStream?Camera=Lago Municipal&amp;AuthUser=siscop&amp;AuthPass=Siscop1234&amp;Width=1024&amp;Height=768&amp;Quality=70&amp;FPS=10&amp;ResponseFormat=Text</v>
      </c>
      <c r="P882" s="106">
        <f>Cadastro!$P814</f>
        <v>1</v>
      </c>
    </row>
    <row r="883">
      <c r="A883" s="104" t="str">
        <f>Cadastro!$A815</f>
        <v>PMPR-CASCAVEL</v>
      </c>
      <c r="B883" s="104" t="str">
        <f>Cadastro!$B815</f>
        <v>CASCAVEL</v>
      </c>
      <c r="C883" s="107" t="str">
        <f>Cadastro!$C815</f>
        <v>https://monitoramento.pm.pr.gov.br/proxy_image_8/</v>
      </c>
      <c r="D883" s="105">
        <f>Cadastro!$D815</f>
        <v>8601</v>
      </c>
      <c r="E883" s="104" t="str">
        <f>Cadastro!$E815</f>
        <v>Parana x Av. Piquiri</v>
      </c>
      <c r="F883" s="104" t="str">
        <f>Cadastro!$F815</f>
        <v>Câmera situada no cruzamento da Paraná x Av. Piquiri.</v>
      </c>
      <c r="G883" s="104" t="str">
        <f>Cadastro!$G815</f>
        <v>-24.946079</v>
      </c>
      <c r="H883" s="104" t="str">
        <f>Cadastro!$H815</f>
        <v>-53.440968</v>
      </c>
      <c r="I883" s="104" t="str">
        <f>Cadastro!$I815</f>
        <v>siscop</v>
      </c>
      <c r="J883" s="104" t="str">
        <f>Cadastro!$J815</f>
        <v>Siscop1234</v>
      </c>
      <c r="K883" s="104" t="s">
        <v>4536</v>
      </c>
      <c r="L883" s="104" t="s">
        <v>26</v>
      </c>
      <c r="M883" s="104" t="s">
        <v>27</v>
      </c>
      <c r="N883" s="108" t="str">
        <f t="shared" si="1"/>
        <v>PMPR-CASCAVEL</v>
      </c>
      <c r="O883" s="112" t="str">
        <f>Cadastro!$O815</f>
        <v>https://monitoramento.pm.pr.gov.br/proxy_image_8/Interface/Cameras/GetJPEGStream?Camera=Parana x Av. Piquiri&amp;AuthUser=siscop&amp;AuthPass=Siscop1234&amp;Width=1024&amp;Height=768&amp;Quality=70&amp;FPS=10&amp;ResponseFormat=Text</v>
      </c>
      <c r="P883" s="106">
        <f>Cadastro!$P815</f>
        <v>1</v>
      </c>
    </row>
    <row r="884">
      <c r="A884" s="104" t="str">
        <f>Cadastro!$A816</f>
        <v>PMPR-CASCAVEL</v>
      </c>
      <c r="B884" s="104" t="str">
        <f>Cadastro!$B816</f>
        <v>CASCAVEL</v>
      </c>
      <c r="C884" s="107" t="str">
        <f>Cadastro!$C816</f>
        <v>https://monitoramento.pm.pr.gov.br/proxy_image_8/</v>
      </c>
      <c r="D884" s="105">
        <f>Cadastro!$D816</f>
        <v>8601</v>
      </c>
      <c r="E884" s="104" t="str">
        <f>Cadastro!$E816</f>
        <v>Parana x Manoel Ribas</v>
      </c>
      <c r="F884" s="104" t="str">
        <f>Cadastro!$F816</f>
        <v>Câmera situada na Paraná x Manoel Ribas.</v>
      </c>
      <c r="G884" s="104" t="str">
        <f>Cadastro!$G816</f>
        <v>-24.953783</v>
      </c>
      <c r="H884" s="104" t="str">
        <f>Cadastro!$H816</f>
        <v>-53.470207</v>
      </c>
      <c r="I884" s="104" t="str">
        <f>Cadastro!$I816</f>
        <v>siscop</v>
      </c>
      <c r="J884" s="104" t="str">
        <f>Cadastro!$J816</f>
        <v>Siscop1234</v>
      </c>
      <c r="K884" s="104" t="s">
        <v>4536</v>
      </c>
      <c r="L884" s="104" t="s">
        <v>26</v>
      </c>
      <c r="M884" s="104" t="s">
        <v>27</v>
      </c>
      <c r="N884" s="108" t="str">
        <f t="shared" si="1"/>
        <v>PMPR-CASCAVEL</v>
      </c>
      <c r="O884" s="112" t="str">
        <f>Cadastro!$O816</f>
        <v>https://monitoramento.pm.pr.gov.br/proxy_image_8/Interface/Cameras/GetJPEGStream?Camera=Parana x Manoel Ribas&amp;AuthUser=siscop&amp;AuthPass=Siscop1234&amp;Width=1024&amp;Height=768&amp;Quality=70&amp;FPS=10&amp;ResponseFormat=Text</v>
      </c>
      <c r="P884" s="106">
        <f>Cadastro!$P816</f>
        <v>1</v>
      </c>
    </row>
    <row r="885">
      <c r="A885" s="104" t="str">
        <f>Cadastro!$A817</f>
        <v>PMPR-CASCAVEL</v>
      </c>
      <c r="B885" s="104" t="str">
        <f>Cadastro!$B817</f>
        <v>CASCAVEL</v>
      </c>
      <c r="C885" s="107" t="str">
        <f>Cadastro!$C817</f>
        <v>https://monitoramento.pm.pr.gov.br/proxy_image_8/</v>
      </c>
      <c r="D885" s="105">
        <f>Cadastro!$D817</f>
        <v>8601</v>
      </c>
      <c r="E885" s="104" t="str">
        <f>Cadastro!$E817</f>
        <v>Parana x Pio XII</v>
      </c>
      <c r="F885" s="104" t="str">
        <f>Cadastro!$F817</f>
        <v>Câmera situada na Paraná x Pio XII.</v>
      </c>
      <c r="G885" s="104" t="str">
        <f>Cadastro!$G817</f>
        <v>-24.953705</v>
      </c>
      <c r="H885" s="104" t="str">
        <f>Cadastro!$H817</f>
        <v>-53.469162</v>
      </c>
      <c r="I885" s="104" t="str">
        <f>Cadastro!$I817</f>
        <v>siscop</v>
      </c>
      <c r="J885" s="104" t="str">
        <f>Cadastro!$J817</f>
        <v>Siscop1234</v>
      </c>
      <c r="K885" s="104" t="s">
        <v>4536</v>
      </c>
      <c r="L885" s="104" t="s">
        <v>26</v>
      </c>
      <c r="M885" s="104" t="s">
        <v>27</v>
      </c>
      <c r="N885" s="108" t="str">
        <f t="shared" si="1"/>
        <v>PMPR-CASCAVEL</v>
      </c>
      <c r="O885" s="112" t="str">
        <f>Cadastro!$O817</f>
        <v>https://monitoramento.pm.pr.gov.br/proxy_image_8/Interface/Cameras/GetJPEGStream?Camera=Parana x Pio XII&amp;AuthUser=siscop&amp;AuthPass=Siscop1234&amp;Width=1024&amp;Height=768&amp;Quality=70&amp;FPS=10&amp;ResponseFormat=Text</v>
      </c>
      <c r="P885" s="106">
        <f>Cadastro!$P817</f>
        <v>1</v>
      </c>
    </row>
    <row r="886">
      <c r="A886" s="104" t="str">
        <f>Cadastro!$A818</f>
        <v>PMPR-CASCAVEL</v>
      </c>
      <c r="B886" s="104" t="str">
        <f>Cadastro!$B818</f>
        <v>CASCAVEL</v>
      </c>
      <c r="C886" s="107" t="str">
        <f>Cadastro!$C818</f>
        <v>https://monitoramento.pm.pr.gov.br/proxy_image_8/</v>
      </c>
      <c r="D886" s="105">
        <f>Cadastro!$D818</f>
        <v>8601</v>
      </c>
      <c r="E886" s="104" t="str">
        <f>Cadastro!$E818</f>
        <v>Parana x Souza Naves</v>
      </c>
      <c r="F886" s="104" t="str">
        <f>Cadastro!$F818</f>
        <v>Câmera situada na Rua Paraná x Souza Naves.</v>
      </c>
      <c r="G886" s="104" t="str">
        <f>Cadastro!$G818</f>
        <v>-24.954334</v>
      </c>
      <c r="H886" s="104" t="str">
        <f>Cadastro!$H818</f>
        <v>-53.457706</v>
      </c>
      <c r="I886" s="104" t="str">
        <f>Cadastro!$I818</f>
        <v>siscop</v>
      </c>
      <c r="J886" s="104" t="str">
        <f>Cadastro!$J818</f>
        <v>Siscop1234</v>
      </c>
      <c r="K886" s="104" t="s">
        <v>4536</v>
      </c>
      <c r="L886" s="104" t="s">
        <v>26</v>
      </c>
      <c r="M886" s="104" t="s">
        <v>27</v>
      </c>
      <c r="N886" s="108" t="str">
        <f t="shared" si="1"/>
        <v>PMPR-CASCAVEL</v>
      </c>
      <c r="O886" s="112" t="str">
        <f>Cadastro!$O818</f>
        <v>https://monitoramento.pm.pr.gov.br/proxy_image_8/Interface/Cameras/GetJPEGStream?Camera=Parana x Souza Naves&amp;AuthUser=siscop&amp;AuthPass=Siscop1234&amp;Width=1024&amp;Height=768&amp;Quality=70&amp;FPS=10&amp;ResponseFormat=Text</v>
      </c>
      <c r="P886" s="106">
        <f>Cadastro!$P818</f>
        <v>1</v>
      </c>
    </row>
    <row r="887">
      <c r="A887" s="104" t="str">
        <f>Cadastro!$A819</f>
        <v>PMPR-CASCAVEL</v>
      </c>
      <c r="B887" s="104" t="str">
        <f>Cadastro!$B819</f>
        <v>CASCAVEL</v>
      </c>
      <c r="C887" s="107" t="str">
        <f>Cadastro!$C819</f>
        <v>https://monitoramento.pm.pr.gov.br/proxy_image_8/</v>
      </c>
      <c r="D887" s="105">
        <f>Cadastro!$D819</f>
        <v>8601</v>
      </c>
      <c r="E887" s="104" t="str">
        <f>Cadastro!$E819</f>
        <v>Pedreira Municipal 01</v>
      </c>
      <c r="F887" s="104" t="str">
        <f>Cadastro!$F819</f>
        <v>Câmera situada próxima a máquina da Pedreira Municipal.</v>
      </c>
      <c r="G887" s="104" t="str">
        <f>Cadastro!$G819</f>
        <v>-24.992714</v>
      </c>
      <c r="H887" s="104" t="str">
        <f>Cadastro!$H819</f>
        <v>-53.489933</v>
      </c>
      <c r="I887" s="104" t="str">
        <f>Cadastro!$I819</f>
        <v>siscop</v>
      </c>
      <c r="J887" s="104" t="str">
        <f>Cadastro!$J819</f>
        <v>Siscop1234</v>
      </c>
      <c r="K887" s="104" t="s">
        <v>4536</v>
      </c>
      <c r="L887" s="104" t="s">
        <v>26</v>
      </c>
      <c r="M887" s="104" t="s">
        <v>27</v>
      </c>
      <c r="N887" s="108" t="str">
        <f t="shared" si="1"/>
        <v>PMPR-CASCAVEL</v>
      </c>
      <c r="O887" s="112" t="str">
        <f>Cadastro!$O819</f>
        <v>https://monitoramento.pm.pr.gov.br/proxy_image_8/Interface/Cameras/GetJPEGStream?Camera=Pedreira Municipal 01&amp;AuthUser=siscop&amp;AuthPass=Siscop1234&amp;Width=1024&amp;Height=768&amp;Quality=70&amp;FPS=10&amp;ResponseFormat=Text</v>
      </c>
      <c r="P887" s="106">
        <f>Cadastro!$P819</f>
        <v>1</v>
      </c>
    </row>
    <row r="888">
      <c r="A888" s="104" t="str">
        <f>Cadastro!$A820</f>
        <v>PMPR-CASCAVEL</v>
      </c>
      <c r="B888" s="104" t="str">
        <f>Cadastro!$B820</f>
        <v>CASCAVEL</v>
      </c>
      <c r="C888" s="107" t="str">
        <f>Cadastro!$C820</f>
        <v>https://monitoramento.pm.pr.gov.br/proxy_image_8/</v>
      </c>
      <c r="D888" s="105">
        <f>Cadastro!$D820</f>
        <v>8601</v>
      </c>
      <c r="E888" s="104" t="str">
        <f>Cadastro!$E820</f>
        <v>Pedreira Municipal 02</v>
      </c>
      <c r="F888" s="104" t="str">
        <f>Cadastro!$F820</f>
        <v>Câmera situada na entrada da Pedreira Municipal.</v>
      </c>
      <c r="G888" s="104" t="str">
        <f>Cadastro!$G820</f>
        <v>-24.990435</v>
      </c>
      <c r="H888" s="104" t="str">
        <f>Cadastro!$H820</f>
        <v>-53.490715</v>
      </c>
      <c r="I888" s="104" t="str">
        <f>Cadastro!$I820</f>
        <v>siscop</v>
      </c>
      <c r="J888" s="104" t="str">
        <f>Cadastro!$J820</f>
        <v>Siscop1234</v>
      </c>
      <c r="K888" s="104" t="s">
        <v>4536</v>
      </c>
      <c r="L888" s="104" t="s">
        <v>26</v>
      </c>
      <c r="M888" s="104" t="s">
        <v>27</v>
      </c>
      <c r="N888" s="108" t="str">
        <f t="shared" si="1"/>
        <v>PMPR-CASCAVEL</v>
      </c>
      <c r="O888" s="112" t="str">
        <f>Cadastro!$O820</f>
        <v>https://monitoramento.pm.pr.gov.br/proxy_image_8/Interface/Cameras/GetJPEGStream?Camera=Pedreira Municipal 02&amp;AuthUser=siscop&amp;AuthPass=Siscop1234&amp;Width=1024&amp;Height=768&amp;Quality=70&amp;FPS=10&amp;ResponseFormat=Text</v>
      </c>
      <c r="P888" s="106">
        <f>Cadastro!$P820</f>
        <v>1</v>
      </c>
    </row>
    <row r="889">
      <c r="A889" s="104" t="str">
        <f>Cadastro!$A821</f>
        <v>PMPR-CASCAVEL</v>
      </c>
      <c r="B889" s="104" t="str">
        <f>Cadastro!$B821</f>
        <v>CASCAVEL</v>
      </c>
      <c r="C889" s="107" t="str">
        <f>Cadastro!$C821</f>
        <v>https://monitoramento.pm.pr.gov.br/proxy_image_8/</v>
      </c>
      <c r="D889" s="105">
        <f>Cadastro!$D821</f>
        <v>8601</v>
      </c>
      <c r="E889" s="104" t="str">
        <f>Cadastro!$E821</f>
        <v>Praca da Biblia</v>
      </c>
      <c r="F889" s="104" t="str">
        <f>Cadastro!$F821</f>
        <v>Câmera situada na Praça da Bíblia.</v>
      </c>
      <c r="G889" s="104" t="str">
        <f>Cadastro!$G821</f>
        <v>-24.954229</v>
      </c>
      <c r="H889" s="104" t="str">
        <f>Cadastro!$H821</f>
        <v>-53.477688</v>
      </c>
      <c r="I889" s="104" t="str">
        <f>Cadastro!$I821</f>
        <v>siscop</v>
      </c>
      <c r="J889" s="104" t="str">
        <f>Cadastro!$J821</f>
        <v>Siscop1234</v>
      </c>
      <c r="K889" s="104" t="s">
        <v>4536</v>
      </c>
      <c r="L889" s="104" t="s">
        <v>26</v>
      </c>
      <c r="M889" s="104" t="s">
        <v>27</v>
      </c>
      <c r="N889" s="108" t="str">
        <f t="shared" si="1"/>
        <v>PMPR-CASCAVEL</v>
      </c>
      <c r="O889" s="112" t="str">
        <f>Cadastro!$O821</f>
        <v>https://monitoramento.pm.pr.gov.br/proxy_image_8/Interface/Cameras/GetJPEGStream?Camera=Praca da Biblia&amp;AuthUser=siscop&amp;AuthPass=Siscop1234&amp;Width=1024&amp;Height=768&amp;Quality=70&amp;FPS=10&amp;ResponseFormat=Text</v>
      </c>
      <c r="P889" s="106">
        <f>Cadastro!$P821</f>
        <v>1</v>
      </c>
    </row>
    <row r="890">
      <c r="A890" s="104" t="str">
        <f>Cadastro!$A822</f>
        <v>PMPR-CASCAVEL</v>
      </c>
      <c r="B890" s="104" t="str">
        <f>Cadastro!$B822</f>
        <v>CASCAVEL</v>
      </c>
      <c r="C890" s="107" t="str">
        <f>Cadastro!$C822</f>
        <v>https://monitoramento.pm.pr.gov.br/proxy_image_8/</v>
      </c>
      <c r="D890" s="105">
        <f>Cadastro!$D822</f>
        <v>8601</v>
      </c>
      <c r="E890" s="104" t="str">
        <f>Cadastro!$E822</f>
        <v>Praca do Cancelli</v>
      </c>
      <c r="F890" s="104" t="str">
        <f>Cadastro!$F822</f>
        <v>Câmera situada em frente ao salão comunitário do bairro Cancelli.</v>
      </c>
      <c r="G890" s="104" t="str">
        <f>Cadastro!$G822</f>
        <v>-24.938.551</v>
      </c>
      <c r="H890" s="104" t="str">
        <f>Cadastro!$H822</f>
        <v>-53.468315</v>
      </c>
      <c r="I890" s="104" t="str">
        <f>Cadastro!$I822</f>
        <v>siscop</v>
      </c>
      <c r="J890" s="104" t="str">
        <f>Cadastro!$J822</f>
        <v>Siscop1234</v>
      </c>
      <c r="K890" s="104" t="s">
        <v>4536</v>
      </c>
      <c r="L890" s="104" t="s">
        <v>26</v>
      </c>
      <c r="M890" s="104" t="s">
        <v>27</v>
      </c>
      <c r="N890" s="108" t="str">
        <f t="shared" si="1"/>
        <v>PMPR-CASCAVEL</v>
      </c>
      <c r="O890" s="112" t="str">
        <f>Cadastro!$O822</f>
        <v>https://monitoramento.pm.pr.gov.br/proxy_image_8/Interface/Cameras/GetJPEGStream?Camera=Praca do Cancelli&amp;AuthUser=siscop&amp;AuthPass=Siscop1234&amp;Width=1024&amp;Height=768&amp;Quality=70&amp;FPS=10&amp;ResponseFormat=Text</v>
      </c>
      <c r="P890" s="106">
        <f>Cadastro!$P822</f>
        <v>1</v>
      </c>
    </row>
    <row r="891">
      <c r="A891" s="104" t="str">
        <f>Cadastro!$A823</f>
        <v>PMPR-CASCAVEL</v>
      </c>
      <c r="B891" s="104" t="str">
        <f>Cadastro!$B823</f>
        <v>CASCAVEL</v>
      </c>
      <c r="C891" s="107" t="str">
        <f>Cadastro!$C823</f>
        <v>https://monitoramento.pm.pr.gov.br/proxy_image_8/</v>
      </c>
      <c r="D891" s="105">
        <f>Cadastro!$D823</f>
        <v>8601</v>
      </c>
      <c r="E891" s="104" t="str">
        <f>Cadastro!$E823</f>
        <v>Praca Riviera</v>
      </c>
      <c r="F891" s="104" t="str">
        <f>Cadastro!$F823</f>
        <v>Câmera situada na praça do bairro Riviera.</v>
      </c>
      <c r="G891" s="104" t="str">
        <f>Cadastro!$G823</f>
        <v>-24.911657</v>
      </c>
      <c r="H891" s="104" t="str">
        <f>Cadastro!$H823</f>
        <v>-53.406120</v>
      </c>
      <c r="I891" s="104" t="str">
        <f>Cadastro!$I823</f>
        <v>siscop</v>
      </c>
      <c r="J891" s="104" t="str">
        <f>Cadastro!$J823</f>
        <v>Siscop1234</v>
      </c>
      <c r="K891" s="104" t="s">
        <v>4536</v>
      </c>
      <c r="L891" s="104" t="s">
        <v>26</v>
      </c>
      <c r="M891" s="104" t="s">
        <v>27</v>
      </c>
      <c r="N891" s="108" t="str">
        <f t="shared" si="1"/>
        <v>PMPR-CASCAVEL</v>
      </c>
      <c r="O891" s="112" t="str">
        <f>Cadastro!$O823</f>
        <v>https://monitoramento.pm.pr.gov.br/proxy_image_8/Interface/Cameras/GetJPEGStream?Camera=Praca Riviera&amp;AuthUser=siscop&amp;AuthPass=Siscop1234&amp;Width=1024&amp;Height=768&amp;Quality=70&amp;FPS=10&amp;ResponseFormat=Text</v>
      </c>
      <c r="P891" s="106">
        <f>Cadastro!$P823</f>
        <v>1</v>
      </c>
    </row>
    <row r="892">
      <c r="A892" s="104" t="str">
        <f>Cadastro!$A824</f>
        <v>PMPR-CASCAVEL</v>
      </c>
      <c r="B892" s="104" t="str">
        <f>Cadastro!$B824</f>
        <v>CASCAVEL</v>
      </c>
      <c r="C892" s="107" t="str">
        <f>Cadastro!$C824</f>
        <v>https://monitoramento.pm.pr.gov.br/proxy_image_8/</v>
      </c>
      <c r="D892" s="105">
        <f>Cadastro!$D824</f>
        <v>8601</v>
      </c>
      <c r="E892" s="104" t="str">
        <f>Cadastro!$E824</f>
        <v>Prefeitura - Porta Detras</v>
      </c>
      <c r="F892" s="104" t="str">
        <f>Cadastro!$F824</f>
        <v>Câmera situada na porta detras da prefeitura.</v>
      </c>
      <c r="G892" s="104" t="str">
        <f>Cadastro!$G824</f>
        <v>-24.952272</v>
      </c>
      <c r="H892" s="104" t="str">
        <f>Cadastro!$H824</f>
        <v>-53.479892</v>
      </c>
      <c r="I892" s="104" t="str">
        <f>Cadastro!$I824</f>
        <v>siscop</v>
      </c>
      <c r="J892" s="104" t="str">
        <f>Cadastro!$J824</f>
        <v>Siscop1234</v>
      </c>
      <c r="K892" s="104" t="s">
        <v>4536</v>
      </c>
      <c r="L892" s="104" t="s">
        <v>26</v>
      </c>
      <c r="M892" s="104" t="s">
        <v>27</v>
      </c>
      <c r="N892" s="108" t="str">
        <f t="shared" si="1"/>
        <v>PMPR-CASCAVEL</v>
      </c>
      <c r="O892" s="112" t="str">
        <f>Cadastro!$O824</f>
        <v>https://monitoramento.pm.pr.gov.br/proxy_image_8/Interface/Cameras/GetJPEGStream?Camera=Prefeitura - Porta Detras&amp;AuthUser=siscop&amp;AuthPass=Siscop1234&amp;Width=1024&amp;Height=768&amp;Quality=70&amp;FPS=10&amp;ResponseFormat=Text</v>
      </c>
      <c r="P892" s="106">
        <f>Cadastro!$P824</f>
        <v>1</v>
      </c>
    </row>
    <row r="893">
      <c r="A893" s="104" t="str">
        <f>Cadastro!$A825</f>
        <v>PMPR-CASCAVEL</v>
      </c>
      <c r="B893" s="104" t="str">
        <f>Cadastro!$B825</f>
        <v>CASCAVEL</v>
      </c>
      <c r="C893" s="107" t="str">
        <f>Cadastro!$C825</f>
        <v>https://monitoramento.pm.pr.gov.br/proxy_image_8/</v>
      </c>
      <c r="D893" s="105">
        <f>Cadastro!$D825</f>
        <v>8601</v>
      </c>
      <c r="E893" s="104" t="str">
        <f>Cadastro!$E825</f>
        <v>Prefeitura - Recepcao Gabinete</v>
      </c>
      <c r="F893" s="104" t="str">
        <f>Cadastro!$F825</f>
        <v>Câmera situada na recepção do gabinete do prefeito.</v>
      </c>
      <c r="G893" s="104" t="str">
        <f>Cadastro!$G825</f>
        <v>-24.952379</v>
      </c>
      <c r="H893" s="104" t="str">
        <f>Cadastro!$H825</f>
        <v>-53.478795</v>
      </c>
      <c r="I893" s="104" t="str">
        <f>Cadastro!$I825</f>
        <v>siscop</v>
      </c>
      <c r="J893" s="104" t="str">
        <f>Cadastro!$J825</f>
        <v>Siscop1234</v>
      </c>
      <c r="K893" s="104" t="s">
        <v>4536</v>
      </c>
      <c r="L893" s="104" t="s">
        <v>26</v>
      </c>
      <c r="M893" s="104" t="s">
        <v>27</v>
      </c>
      <c r="N893" s="108" t="str">
        <f t="shared" si="1"/>
        <v>PMPR-CASCAVEL</v>
      </c>
      <c r="O893" s="112" t="str">
        <f>Cadastro!$O825</f>
        <v>https://monitoramento.pm.pr.gov.br/proxy_image_8/Interface/Cameras/GetJPEGStream?Camera=Prefeitura - Recepcao Gabinete&amp;AuthUser=siscop&amp;AuthPass=Siscop1234&amp;Width=1024&amp;Height=768&amp;Quality=70&amp;FPS=10&amp;ResponseFormat=Text</v>
      </c>
      <c r="P893" s="106">
        <f>Cadastro!$P825</f>
        <v>1</v>
      </c>
    </row>
    <row r="894">
      <c r="A894" s="104" t="str">
        <f>Cadastro!$A826</f>
        <v>PMPR-CASCAVEL</v>
      </c>
      <c r="B894" s="104" t="str">
        <f>Cadastro!$B826</f>
        <v>CASCAVEL</v>
      </c>
      <c r="C894" s="107" t="str">
        <f>Cadastro!$C826</f>
        <v>https://monitoramento.pm.pr.gov.br/proxy_image_8/</v>
      </c>
      <c r="D894" s="105">
        <f>Cadastro!$D826</f>
        <v>8601</v>
      </c>
      <c r="E894" s="104" t="str">
        <f>Cadastro!$E826</f>
        <v>Restaurante Popular - Cascavel Velho</v>
      </c>
      <c r="F894" s="104" t="str">
        <f>Cadastro!$F826</f>
        <v>Câmera situada no restaurante popular do bairro Cascavel Velho.</v>
      </c>
      <c r="G894" s="104" t="str">
        <f>Cadastro!$G826</f>
        <v>-24.974148</v>
      </c>
      <c r="H894" s="104" t="str">
        <f>Cadastro!$H826</f>
        <v>-53.410774</v>
      </c>
      <c r="I894" s="104" t="str">
        <f>Cadastro!$I826</f>
        <v>siscop</v>
      </c>
      <c r="J894" s="104" t="str">
        <f>Cadastro!$J826</f>
        <v>Siscop1234</v>
      </c>
      <c r="K894" s="104" t="s">
        <v>4536</v>
      </c>
      <c r="L894" s="104" t="s">
        <v>26</v>
      </c>
      <c r="M894" s="104" t="s">
        <v>27</v>
      </c>
      <c r="N894" s="108" t="str">
        <f t="shared" si="1"/>
        <v>PMPR-CASCAVEL</v>
      </c>
      <c r="O894" s="112" t="str">
        <f>Cadastro!$O826</f>
        <v>https://monitoramento.pm.pr.gov.br/proxy_image_8/Interface/Cameras/GetJPEGStream?Camera=Restaurante Popular - Cascavel Velho&amp;AuthUser=siscop&amp;AuthPass=Siscop1234&amp;Width=1024&amp;Height=768&amp;Quality=70&amp;FPS=10&amp;ResponseFormat=Text</v>
      </c>
      <c r="P894" s="106">
        <f>Cadastro!$P826</f>
        <v>1</v>
      </c>
    </row>
    <row r="895">
      <c r="A895" s="104" t="str">
        <f>Cadastro!$A827</f>
        <v>PMPR-CASCAVEL</v>
      </c>
      <c r="B895" s="104" t="str">
        <f>Cadastro!$B827</f>
        <v>CASCAVEL</v>
      </c>
      <c r="C895" s="107" t="str">
        <f>Cadastro!$C827</f>
        <v>https://monitoramento.pm.pr.gov.br/proxy_image_8/</v>
      </c>
      <c r="D895" s="105">
        <f>Cadastro!$D827</f>
        <v>8601</v>
      </c>
      <c r="E895" s="104" t="str">
        <f>Cadastro!$E827</f>
        <v>Restaurante Popular - Centro</v>
      </c>
      <c r="F895" s="104" t="str">
        <f>Cadastro!$F827</f>
        <v>Câmera situada no restaurante popular do Centro.</v>
      </c>
      <c r="G895" s="104" t="str">
        <f>Cadastro!$G827</f>
        <v>-24.958021</v>
      </c>
      <c r="H895" s="104" t="str">
        <f>Cadastro!$H827</f>
        <v>-53.450897</v>
      </c>
      <c r="I895" s="104" t="str">
        <f>Cadastro!$I827</f>
        <v>siscop</v>
      </c>
      <c r="J895" s="104" t="str">
        <f>Cadastro!$J827</f>
        <v>Siscop1234</v>
      </c>
      <c r="K895" s="104" t="s">
        <v>4536</v>
      </c>
      <c r="L895" s="104" t="s">
        <v>26</v>
      </c>
      <c r="M895" s="104" t="s">
        <v>27</v>
      </c>
      <c r="N895" s="108" t="str">
        <f t="shared" si="1"/>
        <v>PMPR-CASCAVEL</v>
      </c>
      <c r="O895" s="112" t="str">
        <f>Cadastro!$O827</f>
        <v>https://monitoramento.pm.pr.gov.br/proxy_image_8/Interface/Cameras/GetJPEGStream?Camera=Restaurante Popular - Centro&amp;AuthUser=siscop&amp;AuthPass=Siscop1234&amp;Width=1024&amp;Height=768&amp;Quality=70&amp;FPS=10&amp;ResponseFormat=Text</v>
      </c>
      <c r="P895" s="106">
        <f>Cadastro!$P827</f>
        <v>1</v>
      </c>
    </row>
    <row r="896">
      <c r="A896" s="104" t="str">
        <f>Cadastro!$A828</f>
        <v>PMPR-CASCAVEL</v>
      </c>
      <c r="B896" s="104" t="str">
        <f>Cadastro!$B828</f>
        <v>CASCAVEL</v>
      </c>
      <c r="C896" s="107" t="str">
        <f>Cadastro!$C828</f>
        <v>https://monitoramento.pm.pr.gov.br/proxy_image_8/</v>
      </c>
      <c r="D896" s="105">
        <f>Cadastro!$D828</f>
        <v>8601</v>
      </c>
      <c r="E896" s="104" t="str">
        <f>Cadastro!$E828</f>
        <v>Restaurante Popular - Santa Cruz</v>
      </c>
      <c r="F896" s="104" t="str">
        <f>Cadastro!$F828</f>
        <v>Câmera situada no restaurante popular do bairro Santa Cruz.</v>
      </c>
      <c r="G896" s="104" t="str">
        <f>Cadastro!$G828</f>
        <v>-24.973812</v>
      </c>
      <c r="H896" s="104" t="str">
        <f>Cadastro!$H828</f>
        <v>-53.503315</v>
      </c>
      <c r="I896" s="104" t="str">
        <f>Cadastro!$I828</f>
        <v>siscop</v>
      </c>
      <c r="J896" s="104" t="str">
        <f>Cadastro!$J828</f>
        <v>Siscop1234</v>
      </c>
      <c r="K896" s="104" t="s">
        <v>4536</v>
      </c>
      <c r="L896" s="104" t="s">
        <v>26</v>
      </c>
      <c r="M896" s="104" t="s">
        <v>27</v>
      </c>
      <c r="N896" s="108" t="str">
        <f t="shared" si="1"/>
        <v>PMPR-CASCAVEL</v>
      </c>
      <c r="O896" s="112" t="str">
        <f>Cadastro!$O828</f>
        <v>https://monitoramento.pm.pr.gov.br/proxy_image_8/Interface/Cameras/GetJPEGStream?Camera=Restaurante Popular - Santa Cruz&amp;AuthUser=siscop&amp;AuthPass=Siscop1234&amp;Width=1024&amp;Height=768&amp;Quality=70&amp;FPS=10&amp;ResponseFormat=Text</v>
      </c>
      <c r="P896" s="106">
        <f>Cadastro!$P828</f>
        <v>1</v>
      </c>
    </row>
    <row r="897">
      <c r="A897" s="104" t="str">
        <f>Cadastro!$A829</f>
        <v>PMPR-CASCAVEL</v>
      </c>
      <c r="B897" s="104" t="str">
        <f>Cadastro!$B829</f>
        <v>CASCAVEL</v>
      </c>
      <c r="C897" s="107" t="str">
        <f>Cadastro!$C829</f>
        <v>https://monitoramento.pm.pr.gov.br/proxy_image_8/</v>
      </c>
      <c r="D897" s="105">
        <f>Cadastro!$D829</f>
        <v>8601</v>
      </c>
      <c r="E897" s="104" t="str">
        <f>Cadastro!$E829</f>
        <v>Rio do Salto</v>
      </c>
      <c r="F897" s="104" t="str">
        <f>Cadastro!$F829</f>
        <v>Câmera situada em frente a subprefeitura do Rio do Salto.</v>
      </c>
      <c r="G897" s="104" t="str">
        <f>Cadastro!$G829</f>
        <v>-25.137991</v>
      </c>
      <c r="H897" s="104" t="str">
        <f>Cadastro!$H829</f>
        <v>-53.332024</v>
      </c>
      <c r="I897" s="104" t="str">
        <f>Cadastro!$I829</f>
        <v>siscop</v>
      </c>
      <c r="J897" s="104" t="str">
        <f>Cadastro!$J829</f>
        <v>Siscop1234</v>
      </c>
      <c r="K897" s="104" t="s">
        <v>4536</v>
      </c>
      <c r="L897" s="104" t="s">
        <v>26</v>
      </c>
      <c r="M897" s="104" t="s">
        <v>27</v>
      </c>
      <c r="N897" s="108" t="str">
        <f t="shared" si="1"/>
        <v>PMPR-CASCAVEL</v>
      </c>
      <c r="O897" s="112" t="str">
        <f>Cadastro!$O829</f>
        <v>https://monitoramento.pm.pr.gov.br/proxy_image_8/Interface/Cameras/GetJPEGStream?Camera=Rio do Salto&amp;AuthUser=siscop&amp;AuthPass=Siscop1234&amp;Width=1024&amp;Height=768&amp;Quality=70&amp;FPS=10&amp;ResponseFormat=Text</v>
      </c>
      <c r="P897" s="106">
        <f>Cadastro!$P829</f>
        <v>1</v>
      </c>
    </row>
    <row r="898">
      <c r="A898" s="104" t="str">
        <f>Cadastro!$A830</f>
        <v>PMPR-CASCAVEL</v>
      </c>
      <c r="B898" s="104" t="str">
        <f>Cadastro!$B830</f>
        <v>CASCAVEL</v>
      </c>
      <c r="C898" s="107" t="str">
        <f>Cadastro!$C830</f>
        <v>https://monitoramento.pm.pr.gov.br/proxy_image_8/</v>
      </c>
      <c r="D898" s="105">
        <f>Cadastro!$D830</f>
        <v>8601</v>
      </c>
      <c r="E898" s="104" t="str">
        <f>Cadastro!$E830</f>
        <v>Rio Grande do Sul x Carlos Gomes</v>
      </c>
      <c r="F898" s="104" t="str">
        <f>Cadastro!$F830</f>
        <v>Câmera situada na Rio Grande do Sul x Carlos Gomes.</v>
      </c>
      <c r="G898" s="104" t="str">
        <f>Cadastro!$G830</f>
        <v>-24.956917</v>
      </c>
      <c r="H898" s="104" t="str">
        <f>Cadastro!$H830</f>
        <v>-53.453712</v>
      </c>
      <c r="I898" s="104" t="str">
        <f>Cadastro!$I830</f>
        <v>siscop</v>
      </c>
      <c r="J898" s="104" t="str">
        <f>Cadastro!$J830</f>
        <v>Siscop1234</v>
      </c>
      <c r="K898" s="104" t="s">
        <v>4536</v>
      </c>
      <c r="L898" s="104" t="s">
        <v>26</v>
      </c>
      <c r="M898" s="104" t="s">
        <v>27</v>
      </c>
      <c r="N898" s="108" t="str">
        <f t="shared" si="1"/>
        <v>PMPR-CASCAVEL</v>
      </c>
      <c r="O898" s="112" t="str">
        <f>Cadastro!$O830</f>
        <v>https://monitoramento.pm.pr.gov.br/proxy_image_8/Interface/Cameras/GetJPEGStream?Camera=Rio Grande do Sul x Carlos Gomes&amp;AuthUser=siscop&amp;AuthPass=Siscop1234&amp;Width=1024&amp;Height=768&amp;Quality=70&amp;FPS=10&amp;ResponseFormat=Text</v>
      </c>
      <c r="P898" s="106">
        <f>Cadastro!$P830</f>
        <v>1</v>
      </c>
    </row>
    <row r="899">
      <c r="A899" s="104" t="str">
        <f>Cadastro!$A831</f>
        <v>PMPR-CASCAVEL</v>
      </c>
      <c r="B899" s="104" t="str">
        <f>Cadastro!$B831</f>
        <v>CASCAVEL</v>
      </c>
      <c r="C899" s="107" t="str">
        <f>Cadastro!$C831</f>
        <v>https://monitoramento.pm.pr.gov.br/proxy_image_8/</v>
      </c>
      <c r="D899" s="105">
        <f>Cadastro!$D831</f>
        <v>8601</v>
      </c>
      <c r="E899" s="104" t="str">
        <f>Cadastro!$E831</f>
        <v>Rio Grande do Sul x Castro Alves</v>
      </c>
      <c r="F899" s="104" t="str">
        <f>Cadastro!$F831</f>
        <v>Câmera situada na Rio Grande do Sul x Castro Alves.</v>
      </c>
      <c r="G899" s="104" t="str">
        <f>Cadastro!$G831</f>
        <v>-24.956455</v>
      </c>
      <c r="H899" s="104" t="str">
        <f>Cadastro!$H831</f>
        <v>-53.461723</v>
      </c>
      <c r="I899" s="104" t="str">
        <f>Cadastro!$I831</f>
        <v>siscop</v>
      </c>
      <c r="J899" s="104" t="str">
        <f>Cadastro!$J831</f>
        <v>Siscop1234</v>
      </c>
      <c r="K899" s="104" t="s">
        <v>4536</v>
      </c>
      <c r="L899" s="104" t="s">
        <v>26</v>
      </c>
      <c r="M899" s="104" t="s">
        <v>27</v>
      </c>
      <c r="N899" s="108" t="str">
        <f t="shared" si="1"/>
        <v>PMPR-CASCAVEL</v>
      </c>
      <c r="O899" s="112" t="str">
        <f>Cadastro!$O831</f>
        <v>https://monitoramento.pm.pr.gov.br/proxy_image_8/Interface/Cameras/GetJPEGStream?Camera=Rio Grande do Sul x Castro Alves&amp;AuthUser=siscop&amp;AuthPass=Siscop1234&amp;Width=1024&amp;Height=768&amp;Quality=70&amp;FPS=10&amp;ResponseFormat=Text</v>
      </c>
      <c r="P899" s="106">
        <f>Cadastro!$P831</f>
        <v>1</v>
      </c>
    </row>
    <row r="900">
      <c r="A900" s="104" t="str">
        <f>Cadastro!$A832</f>
        <v>PMPR-CASCAVEL</v>
      </c>
      <c r="B900" s="104" t="str">
        <f>Cadastro!$B832</f>
        <v>CASCAVEL</v>
      </c>
      <c r="C900" s="107" t="str">
        <f>Cadastro!$C832</f>
        <v>https://monitoramento.pm.pr.gov.br/proxy_image_8/</v>
      </c>
      <c r="D900" s="105">
        <f>Cadastro!$D832</f>
        <v>8601</v>
      </c>
      <c r="E900" s="104" t="str">
        <f>Cadastro!$E832</f>
        <v>Sala de Vacinas</v>
      </c>
      <c r="F900" s="104" t="str">
        <f>Cadastro!$F832</f>
        <v>Câmera situada na sala de Vacinas do Município.</v>
      </c>
      <c r="G900" s="104" t="str">
        <f>Cadastro!$G832</f>
        <v>-24.952542</v>
      </c>
      <c r="H900" s="104" t="str">
        <f>Cadastro!$H832</f>
        <v>-53.479433</v>
      </c>
      <c r="I900" s="104" t="str">
        <f>Cadastro!$I832</f>
        <v>siscop</v>
      </c>
      <c r="J900" s="104" t="str">
        <f>Cadastro!$J832</f>
        <v>Siscop1234</v>
      </c>
      <c r="K900" s="104" t="s">
        <v>4536</v>
      </c>
      <c r="L900" s="104" t="s">
        <v>26</v>
      </c>
      <c r="M900" s="104" t="s">
        <v>27</v>
      </c>
      <c r="N900" s="108" t="str">
        <f t="shared" si="1"/>
        <v>PMPR-CASCAVEL</v>
      </c>
      <c r="O900" s="112" t="str">
        <f>Cadastro!$O832</f>
        <v>https://monitoramento.pm.pr.gov.br/proxy_image_8/Interface/Cameras/GetJPEGStream?Camera=Sala de Vacinas&amp;AuthUser=siscop&amp;AuthPass=Siscop1234&amp;Width=1024&amp;Height=768&amp;Quality=70&amp;FPS=10&amp;ResponseFormat=Text</v>
      </c>
      <c r="P900" s="106">
        <f>Cadastro!$P832</f>
        <v>1</v>
      </c>
    </row>
    <row r="901">
      <c r="A901" s="104" t="str">
        <f>Cadastro!$A833</f>
        <v>PMPR-CASCAVEL</v>
      </c>
      <c r="B901" s="104" t="str">
        <f>Cadastro!$B833</f>
        <v>CASCAVEL</v>
      </c>
      <c r="C901" s="107" t="str">
        <f>Cadastro!$C833</f>
        <v>https://monitoramento.pm.pr.gov.br/proxy_image_8/</v>
      </c>
      <c r="D901" s="105">
        <f>Cadastro!$D833</f>
        <v>8601</v>
      </c>
      <c r="E901" s="104" t="str">
        <f>Cadastro!$E833</f>
        <v>Santos Dumont - Marginal</v>
      </c>
      <c r="F901" s="104" t="str">
        <f>Cadastro!$F833</f>
        <v>Câmera situada na marginal da BR no bairro Santos Dumont.</v>
      </c>
      <c r="G901" s="104" t="str">
        <f>Cadastro!$G833</f>
        <v>-24.989441</v>
      </c>
      <c r="H901" s="104" t="str">
        <f>Cadastro!$H833</f>
        <v>-53.509121</v>
      </c>
      <c r="I901" s="104" t="str">
        <f>Cadastro!$I833</f>
        <v>siscop</v>
      </c>
      <c r="J901" s="104" t="str">
        <f>Cadastro!$J833</f>
        <v>Siscop1234</v>
      </c>
      <c r="K901" s="104" t="s">
        <v>4536</v>
      </c>
      <c r="L901" s="104" t="s">
        <v>26</v>
      </c>
      <c r="M901" s="104" t="s">
        <v>27</v>
      </c>
      <c r="N901" s="108" t="str">
        <f t="shared" si="1"/>
        <v>PMPR-CASCAVEL</v>
      </c>
      <c r="O901" s="112" t="str">
        <f>Cadastro!$O833</f>
        <v>https://monitoramento.pm.pr.gov.br/proxy_image_8/Interface/Cameras/GetJPEGStream?Camera=Santos Dumont - Marginal&amp;AuthUser=siscop&amp;AuthPass=Siscop1234&amp;Width=1024&amp;Height=768&amp;Quality=70&amp;FPS=10&amp;ResponseFormat=Text</v>
      </c>
      <c r="P901" s="106">
        <f>Cadastro!$P833</f>
        <v>1</v>
      </c>
    </row>
    <row r="902">
      <c r="A902" s="104" t="str">
        <f>Cadastro!$A834</f>
        <v>PMPR-CASCAVEL</v>
      </c>
      <c r="B902" s="104" t="str">
        <f>Cadastro!$B834</f>
        <v>CASCAVEL</v>
      </c>
      <c r="C902" s="107" t="str">
        <f>Cadastro!$C834</f>
        <v>https://monitoramento.pm.pr.gov.br/proxy_image_8/</v>
      </c>
      <c r="D902" s="105">
        <f>Cadastro!$D834</f>
        <v>8601</v>
      </c>
      <c r="E902" s="104" t="str">
        <f>Cadastro!$E834</f>
        <v>Santos Dumont - Salao Comunitario</v>
      </c>
      <c r="F902" s="104" t="str">
        <f>Cadastro!$F834</f>
        <v>Câmera situada em frente ao salão comunitário do bairro Santos Dumont.</v>
      </c>
      <c r="G902" s="104" t="str">
        <f>Cadastro!$G834</f>
        <v>-24.985628</v>
      </c>
      <c r="H902" s="104" t="str">
        <f>Cadastro!$H834</f>
        <v>-53.513483</v>
      </c>
      <c r="I902" s="104" t="str">
        <f>Cadastro!$I834</f>
        <v>siscop</v>
      </c>
      <c r="J902" s="104" t="str">
        <f>Cadastro!$J834</f>
        <v>Siscop1234</v>
      </c>
      <c r="K902" s="104" t="s">
        <v>4536</v>
      </c>
      <c r="L902" s="104" t="s">
        <v>26</v>
      </c>
      <c r="M902" s="104" t="s">
        <v>27</v>
      </c>
      <c r="N902" s="108" t="str">
        <f t="shared" si="1"/>
        <v>PMPR-CASCAVEL</v>
      </c>
      <c r="O902" s="112" t="str">
        <f>Cadastro!$O834</f>
        <v>https://monitoramento.pm.pr.gov.br/proxy_image_8/Interface/Cameras/GetJPEGStream?Camera=Santos Dumont - Salao Comunitario&amp;AuthUser=siscop&amp;AuthPass=Siscop1234&amp;Width=1024&amp;Height=768&amp;Quality=70&amp;FPS=10&amp;ResponseFormat=Text</v>
      </c>
      <c r="P902" s="106">
        <f>Cadastro!$P834</f>
        <v>1</v>
      </c>
    </row>
    <row r="903">
      <c r="A903" s="104" t="str">
        <f>Cadastro!$A835</f>
        <v>PMPR-CASCAVEL</v>
      </c>
      <c r="B903" s="104" t="str">
        <f>Cadastro!$B835</f>
        <v>CASCAVEL</v>
      </c>
      <c r="C903" s="107" t="str">
        <f>Cadastro!$C835</f>
        <v>https://monitoramento.pm.pr.gov.br/proxy_image_8/</v>
      </c>
      <c r="D903" s="105">
        <f>Cadastro!$D835</f>
        <v>8601</v>
      </c>
      <c r="E903" s="104" t="str">
        <f>Cadastro!$E835</f>
        <v>SESAU - Sede 01</v>
      </c>
      <c r="F903" s="104" t="str">
        <f>Cadastro!$F835</f>
        <v>Câmera situada na porta da frente da SESAU.</v>
      </c>
      <c r="G903" s="104" t="str">
        <f>Cadastro!$G835</f>
        <v>-24.951220</v>
      </c>
      <c r="H903" s="104" t="str">
        <f>Cadastro!$H835</f>
        <v>-53.478767</v>
      </c>
      <c r="I903" s="104" t="str">
        <f>Cadastro!$I835</f>
        <v>siscop</v>
      </c>
      <c r="J903" s="104" t="str">
        <f>Cadastro!$J835</f>
        <v>Siscop1234</v>
      </c>
      <c r="K903" s="104" t="s">
        <v>4536</v>
      </c>
      <c r="L903" s="104" t="s">
        <v>26</v>
      </c>
      <c r="M903" s="104" t="s">
        <v>27</v>
      </c>
      <c r="N903" s="108" t="str">
        <f t="shared" si="1"/>
        <v>PMPR-CASCAVEL</v>
      </c>
      <c r="O903" s="112" t="str">
        <f>Cadastro!$O835</f>
        <v>https://monitoramento.pm.pr.gov.br/proxy_image_8/Interface/Cameras/GetJPEGStream?Camera=SESAU - Sede 01&amp;AuthUser=siscop&amp;AuthPass=Siscop1234&amp;Width=1024&amp;Height=768&amp;Quality=70&amp;FPS=10&amp;ResponseFormat=Text</v>
      </c>
      <c r="P903" s="106">
        <f>Cadastro!$P835</f>
        <v>1</v>
      </c>
    </row>
    <row r="904">
      <c r="A904" s="104" t="str">
        <f>Cadastro!$A836</f>
        <v>PMPR-CASCAVEL</v>
      </c>
      <c r="B904" s="104" t="str">
        <f>Cadastro!$B836</f>
        <v>CASCAVEL</v>
      </c>
      <c r="C904" s="107" t="str">
        <f>Cadastro!$C836</f>
        <v>https://monitoramento.pm.pr.gov.br/proxy_image_8/</v>
      </c>
      <c r="D904" s="105">
        <f>Cadastro!$D836</f>
        <v>8601</v>
      </c>
      <c r="E904" s="104" t="str">
        <f>Cadastro!$E836</f>
        <v>SESAU - Sede 02</v>
      </c>
      <c r="F904" s="104" t="str">
        <f>Cadastro!$F836</f>
        <v>Câmera situada na recepção da SESAU.</v>
      </c>
      <c r="G904" s="104" t="str">
        <f>Cadastro!$G836</f>
        <v>-24.951903</v>
      </c>
      <c r="H904" s="104" t="str">
        <f>Cadastro!$H836</f>
        <v>-53.478785</v>
      </c>
      <c r="I904" s="104" t="str">
        <f>Cadastro!$I836</f>
        <v>siscop</v>
      </c>
      <c r="J904" s="104" t="str">
        <f>Cadastro!$J836</f>
        <v>Siscop1234</v>
      </c>
      <c r="K904" s="104" t="s">
        <v>4536</v>
      </c>
      <c r="L904" s="104" t="s">
        <v>26</v>
      </c>
      <c r="M904" s="104" t="s">
        <v>27</v>
      </c>
      <c r="N904" s="108" t="str">
        <f t="shared" si="1"/>
        <v>PMPR-CASCAVEL</v>
      </c>
      <c r="O904" s="112" t="str">
        <f>Cadastro!$O836</f>
        <v>https://monitoramento.pm.pr.gov.br/proxy_image_8/Interface/Cameras/GetJPEGStream?Camera=SESAU - Sede 02&amp;AuthUser=siscop&amp;AuthPass=Siscop1234&amp;Width=1024&amp;Height=768&amp;Quality=70&amp;FPS=10&amp;ResponseFormat=Text</v>
      </c>
      <c r="P904" s="106">
        <f>Cadastro!$P836</f>
        <v>1</v>
      </c>
    </row>
    <row r="905">
      <c r="A905" s="104" t="str">
        <f>Cadastro!$A837</f>
        <v>PMPR-CASCAVEL</v>
      </c>
      <c r="B905" s="104" t="str">
        <f>Cadastro!$B837</f>
        <v>CASCAVEL</v>
      </c>
      <c r="C905" s="107" t="str">
        <f>Cadastro!$C837</f>
        <v>https://monitoramento.pm.pr.gov.br/proxy_image_8/</v>
      </c>
      <c r="D905" s="105">
        <f>Cadastro!$D837</f>
        <v>8601</v>
      </c>
      <c r="E905" s="104" t="str">
        <f>Cadastro!$E837</f>
        <v>SESOP - Borracharia</v>
      </c>
      <c r="F905" s="104" t="str">
        <f>Cadastro!$F837</f>
        <v>Câmera situada no interior do pátio da SESOP.</v>
      </c>
      <c r="G905" s="104" t="str">
        <f>Cadastro!$G837</f>
        <v>-24.969807</v>
      </c>
      <c r="H905" s="104" t="str">
        <f>Cadastro!$H837</f>
        <v>-53.485973</v>
      </c>
      <c r="I905" s="104" t="str">
        <f>Cadastro!$I837</f>
        <v>siscop</v>
      </c>
      <c r="J905" s="104" t="str">
        <f>Cadastro!$J837</f>
        <v>Siscop1234</v>
      </c>
      <c r="K905" s="104" t="s">
        <v>4536</v>
      </c>
      <c r="L905" s="104" t="s">
        <v>26</v>
      </c>
      <c r="M905" s="104" t="s">
        <v>27</v>
      </c>
      <c r="N905" s="108" t="str">
        <f t="shared" si="1"/>
        <v>PMPR-CASCAVEL</v>
      </c>
      <c r="O905" s="112" t="str">
        <f>Cadastro!$O837</f>
        <v>https://monitoramento.pm.pr.gov.br/proxy_image_8/Interface/Cameras/GetJPEGStream?Camera=SESOP - Borracharia&amp;AuthUser=siscop&amp;AuthPass=Siscop1234&amp;Width=1024&amp;Height=768&amp;Quality=70&amp;FPS=10&amp;ResponseFormat=Text</v>
      </c>
      <c r="P905" s="106">
        <f>Cadastro!$P837</f>
        <v>1</v>
      </c>
    </row>
    <row r="906">
      <c r="A906" s="104" t="str">
        <f>Cadastro!$A838</f>
        <v>PMPR-CASCAVEL</v>
      </c>
      <c r="B906" s="104" t="str">
        <f>Cadastro!$B838</f>
        <v>CASCAVEL</v>
      </c>
      <c r="C906" s="107" t="str">
        <f>Cadastro!$C838</f>
        <v>https://monitoramento.pm.pr.gov.br/proxy_image_8/</v>
      </c>
      <c r="D906" s="105">
        <f>Cadastro!$D838</f>
        <v>8601</v>
      </c>
      <c r="E906" s="104" t="str">
        <f>Cadastro!$E838</f>
        <v>SESOP - PTZ</v>
      </c>
      <c r="F906" s="104" t="str">
        <f>Cadastro!$F838</f>
        <v>Câmera situada no pátio da SESOP.</v>
      </c>
      <c r="G906" s="104" t="str">
        <f>Cadastro!$G838</f>
        <v>-24.969879</v>
      </c>
      <c r="H906" s="104" t="str">
        <f>Cadastro!$H838</f>
        <v>-53.485703</v>
      </c>
      <c r="I906" s="104" t="str">
        <f>Cadastro!$I838</f>
        <v>siscop</v>
      </c>
      <c r="J906" s="104" t="str">
        <f>Cadastro!$J838</f>
        <v>Siscop1234</v>
      </c>
      <c r="K906" s="104" t="s">
        <v>4536</v>
      </c>
      <c r="L906" s="104" t="s">
        <v>26</v>
      </c>
      <c r="M906" s="104" t="s">
        <v>27</v>
      </c>
      <c r="N906" s="108" t="str">
        <f t="shared" si="1"/>
        <v>PMPR-CASCAVEL</v>
      </c>
      <c r="O906" s="112" t="str">
        <f>Cadastro!$O838</f>
        <v>#</v>
      </c>
      <c r="P906" s="106">
        <f>Cadastro!$P838</f>
        <v>0</v>
      </c>
    </row>
    <row r="907">
      <c r="A907" s="104" t="str">
        <f>Cadastro!$A839</f>
        <v>PMPR-CASCAVEL</v>
      </c>
      <c r="B907" s="104" t="str">
        <f>Cadastro!$B839</f>
        <v>CASCAVEL</v>
      </c>
      <c r="C907" s="107" t="str">
        <f>Cadastro!$C839</f>
        <v>https://monitoramento.pm.pr.gov.br/proxy_image_8/</v>
      </c>
      <c r="D907" s="105">
        <f>Cadastro!$D839</f>
        <v>8601</v>
      </c>
      <c r="E907" s="104" t="str">
        <f>Cadastro!$E839</f>
        <v>SESPPRO - Base Cascavel Velho</v>
      </c>
      <c r="F907" s="104" t="str">
        <f>Cadastro!$F839</f>
        <v>Câmera situada na Base Sul no bairro Cascavel Velho.</v>
      </c>
      <c r="G907" s="104" t="str">
        <f>Cadastro!$G839</f>
        <v>-24.976517</v>
      </c>
      <c r="H907" s="104" t="str">
        <f>Cadastro!$H839</f>
        <v>-53.426548</v>
      </c>
      <c r="I907" s="104" t="str">
        <f>Cadastro!$I839</f>
        <v>siscop</v>
      </c>
      <c r="J907" s="104" t="str">
        <f>Cadastro!$J839</f>
        <v>Siscop1234</v>
      </c>
      <c r="K907" s="104" t="s">
        <v>4536</v>
      </c>
      <c r="L907" s="104" t="s">
        <v>26</v>
      </c>
      <c r="M907" s="104" t="s">
        <v>27</v>
      </c>
      <c r="N907" s="108" t="str">
        <f t="shared" si="1"/>
        <v>PMPR-CASCAVEL</v>
      </c>
      <c r="O907" s="112" t="str">
        <f>Cadastro!$O839</f>
        <v>https://monitoramento.pm.pr.gov.br/proxy_image_8/Interface/Cameras/GetJPEGStream?Camera=SESPPRO - Base Cascavel Velho&amp;AuthUser=siscop&amp;AuthPass=Siscop1234&amp;Width=1024&amp;Height=768&amp;Quality=70&amp;FPS=10&amp;ResponseFormat=Text</v>
      </c>
      <c r="P907" s="106">
        <f>Cadastro!$P839</f>
        <v>1</v>
      </c>
    </row>
    <row r="908">
      <c r="A908" s="104" t="str">
        <f>Cadastro!$A840</f>
        <v>PMPR-CASCAVEL</v>
      </c>
      <c r="B908" s="104" t="str">
        <f>Cadastro!$B840</f>
        <v>CASCAVEL</v>
      </c>
      <c r="C908" s="107" t="str">
        <f>Cadastro!$C840</f>
        <v>https://monitoramento.pm.pr.gov.br/proxy_image_8/</v>
      </c>
      <c r="D908" s="105">
        <f>Cadastro!$D840</f>
        <v>8601</v>
      </c>
      <c r="E908" s="104" t="str">
        <f>Cadastro!$E840</f>
        <v>SESPPRO - Base Praca Wilson J0re</v>
      </c>
      <c r="F908" s="104" t="str">
        <f>Cadastro!$F840</f>
        <v>Câmera situada dentro da base da GM na praça Wilson J0re.</v>
      </c>
      <c r="G908" s="104" t="str">
        <f>Cadastro!$G840</f>
        <v>-24.957291</v>
      </c>
      <c r="H908" s="104" t="str">
        <f>Cadastro!$H840</f>
        <v>-53.461304</v>
      </c>
      <c r="I908" s="104" t="str">
        <f>Cadastro!$I840</f>
        <v>siscop</v>
      </c>
      <c r="J908" s="104" t="str">
        <f>Cadastro!$J840</f>
        <v>Siscop1234</v>
      </c>
      <c r="K908" s="104" t="s">
        <v>4536</v>
      </c>
      <c r="L908" s="104" t="s">
        <v>26</v>
      </c>
      <c r="M908" s="104" t="s">
        <v>27</v>
      </c>
      <c r="N908" s="108" t="str">
        <f t="shared" si="1"/>
        <v>PMPR-CASCAVEL</v>
      </c>
      <c r="O908" s="112" t="str">
        <f>Cadastro!$O840</f>
        <v>https://monitoramento.pm.pr.gov.br/proxy_image_8/Interface/Cameras/GetJPEGStream?Camera=SESPPRO - Base Praca Wilson J0re&amp;AuthUser=siscop&amp;AuthPass=Siscop1234&amp;Width=1024&amp;Height=768&amp;Quality=70&amp;FPS=10&amp;ResponseFormat=Text</v>
      </c>
      <c r="P908" s="106">
        <f>Cadastro!$P840</f>
        <v>1</v>
      </c>
    </row>
    <row r="909">
      <c r="A909" s="104" t="str">
        <f>Cadastro!$A841</f>
        <v>PMPR-CASCAVEL</v>
      </c>
      <c r="B909" s="104" t="str">
        <f>Cadastro!$B841</f>
        <v>CASCAVEL</v>
      </c>
      <c r="C909" s="107" t="str">
        <f>Cadastro!$C841</f>
        <v>https://monitoramento.pm.pr.gov.br/proxy_image_8/</v>
      </c>
      <c r="D909" s="105">
        <f>Cadastro!$D841</f>
        <v>8601</v>
      </c>
      <c r="E909" s="104" t="str">
        <f>Cadastro!$E841</f>
        <v>SESPPRO - Central Monitoramento</v>
      </c>
      <c r="F909" s="104" t="str">
        <f>Cadastro!$F841</f>
        <v>Câmera situada na central de monitoramento da SESPPRO.</v>
      </c>
      <c r="G909" s="104" t="str">
        <f>Cadastro!$G841</f>
        <v>-24.955238</v>
      </c>
      <c r="H909" s="104" t="str">
        <f>Cadastro!$H841</f>
        <v>-53.421436</v>
      </c>
      <c r="I909" s="104" t="str">
        <f>Cadastro!$I841</f>
        <v>siscop</v>
      </c>
      <c r="J909" s="104" t="str">
        <f>Cadastro!$J841</f>
        <v>Siscop1234</v>
      </c>
      <c r="K909" s="104" t="s">
        <v>4536</v>
      </c>
      <c r="L909" s="104" t="s">
        <v>26</v>
      </c>
      <c r="M909" s="104" t="s">
        <v>27</v>
      </c>
      <c r="N909" s="108" t="str">
        <f t="shared" si="1"/>
        <v>PMPR-CASCAVEL</v>
      </c>
      <c r="O909" s="112" t="str">
        <f>Cadastro!$O841</f>
        <v>https://monitoramento.pm.pr.gov.br/proxy_image_8/Interface/Cameras/GetJPEGStream?Camera=SESPPRO - Central Monitoramento&amp;AuthUser=siscop&amp;AuthPass=Siscop1234&amp;Width=1024&amp;Height=768&amp;Quality=70&amp;FPS=10&amp;ResponseFormat=Text</v>
      </c>
      <c r="P909" s="106">
        <f>Cadastro!$P841</f>
        <v>1</v>
      </c>
    </row>
    <row r="910">
      <c r="A910" s="104" t="str">
        <f>Cadastro!$A842</f>
        <v>PMPR-CASCAVEL</v>
      </c>
      <c r="B910" s="104" t="str">
        <f>Cadastro!$B842</f>
        <v>CASCAVEL</v>
      </c>
      <c r="C910" s="107" t="str">
        <f>Cadastro!$C842</f>
        <v>https://monitoramento.pm.pr.gov.br/proxy_image_8/</v>
      </c>
      <c r="D910" s="105">
        <f>Cadastro!$D842</f>
        <v>8601</v>
      </c>
      <c r="E910" s="104" t="str">
        <f>Cadastro!$E842</f>
        <v>SESPPRO - Cofre</v>
      </c>
      <c r="F910" s="104" t="str">
        <f>Cadastro!$F842</f>
        <v>Câmera situada na sede administrativa da SESPPRO.</v>
      </c>
      <c r="G910" s="104" t="str">
        <f>Cadastro!$G842</f>
        <v>-24.970143</v>
      </c>
      <c r="H910" s="104" t="str">
        <f>Cadastro!$H842</f>
        <v>-53.486322</v>
      </c>
      <c r="I910" s="104" t="str">
        <f>Cadastro!$I842</f>
        <v>siscop</v>
      </c>
      <c r="J910" s="104" t="str">
        <f>Cadastro!$J842</f>
        <v>Siscop1234</v>
      </c>
      <c r="K910" s="104" t="s">
        <v>4536</v>
      </c>
      <c r="L910" s="104" t="s">
        <v>26</v>
      </c>
      <c r="M910" s="104" t="s">
        <v>27</v>
      </c>
      <c r="N910" s="108" t="str">
        <f t="shared" si="1"/>
        <v>PMPR-CASCAVEL</v>
      </c>
      <c r="O910" s="112" t="str">
        <f>Cadastro!$O842</f>
        <v>https://monitoramento.pm.pr.gov.br/proxy_image_8/Interface/Cameras/GetJPEGStream?Camera=SESPPRO - Cofre&amp;AuthUser=siscop&amp;AuthPass=Siscop1234&amp;Width=1024&amp;Height=768&amp;Quality=70&amp;FPS=10&amp;ResponseFormat=Text</v>
      </c>
      <c r="P910" s="106">
        <f>Cadastro!$P842</f>
        <v>1</v>
      </c>
    </row>
    <row r="911">
      <c r="A911" s="104" t="str">
        <f>Cadastro!$A843</f>
        <v>PMPR-CASCAVEL</v>
      </c>
      <c r="B911" s="104" t="str">
        <f>Cadastro!$B843</f>
        <v>CASCAVEL</v>
      </c>
      <c r="C911" s="107" t="str">
        <f>Cadastro!$C843</f>
        <v>https://monitoramento.pm.pr.gov.br/proxy_image_8/</v>
      </c>
      <c r="D911" s="105">
        <f>Cadastro!$D843</f>
        <v>8601</v>
      </c>
      <c r="E911" s="104" t="str">
        <f>Cadastro!$E843</f>
        <v>SESPPRO - Corredor</v>
      </c>
      <c r="F911" s="104" t="str">
        <f>Cadastro!$F843</f>
        <v>Câmera situada no sede administrativa da SESPPRO.</v>
      </c>
      <c r="G911" s="104" t="str">
        <f>Cadastro!$G843</f>
        <v>-24.969655</v>
      </c>
      <c r="H911" s="104" t="str">
        <f>Cadastro!$H843</f>
        <v>-53.486290</v>
      </c>
      <c r="I911" s="104" t="str">
        <f>Cadastro!$I843</f>
        <v>siscop</v>
      </c>
      <c r="J911" s="104" t="str">
        <f>Cadastro!$J843</f>
        <v>Siscop1234</v>
      </c>
      <c r="K911" s="104" t="s">
        <v>4536</v>
      </c>
      <c r="L911" s="104" t="s">
        <v>26</v>
      </c>
      <c r="M911" s="104" t="s">
        <v>27</v>
      </c>
      <c r="N911" s="108" t="str">
        <f t="shared" si="1"/>
        <v>PMPR-CASCAVEL</v>
      </c>
      <c r="O911" s="112" t="str">
        <f>Cadastro!$O843</f>
        <v>https://monitoramento.pm.pr.gov.br/proxy_image_8/Interface/Cameras/GetJPEGStream?Camera=SESPPRO - Corredor&amp;AuthUser=siscop&amp;AuthPass=Siscop1234&amp;Width=1024&amp;Height=768&amp;Quality=70&amp;FPS=10&amp;ResponseFormat=Text</v>
      </c>
      <c r="P911" s="106">
        <f>Cadastro!$P843</f>
        <v>1</v>
      </c>
    </row>
    <row r="912">
      <c r="A912" s="104" t="str">
        <f>Cadastro!$A844</f>
        <v>PMPR-CASCAVEL</v>
      </c>
      <c r="B912" s="104" t="str">
        <f>Cadastro!$B844</f>
        <v>CASCAVEL</v>
      </c>
      <c r="C912" s="107" t="str">
        <f>Cadastro!$C844</f>
        <v>https://monitoramento.pm.pr.gov.br/proxy_image_8/</v>
      </c>
      <c r="D912" s="105">
        <f>Cadastro!$D844</f>
        <v>8601</v>
      </c>
      <c r="E912" s="104" t="str">
        <f>Cadastro!$E844</f>
        <v>SESPPRO - PTZ</v>
      </c>
      <c r="F912" s="104" t="str">
        <f>Cadastro!$F844</f>
        <v>Câmera situada na Rua Martin Afonso de Souza em frente a SESPPRO.</v>
      </c>
      <c r="G912" s="104" t="str">
        <f>Cadastro!$G844</f>
        <v>-24.955275</v>
      </c>
      <c r="H912" s="104" t="str">
        <f>Cadastro!$H844</f>
        <v>-53.421444</v>
      </c>
      <c r="I912" s="104" t="str">
        <f>Cadastro!$I844</f>
        <v>siscop</v>
      </c>
      <c r="J912" s="104" t="str">
        <f>Cadastro!$J844</f>
        <v>Siscop1234</v>
      </c>
      <c r="K912" s="104" t="s">
        <v>4536</v>
      </c>
      <c r="L912" s="104" t="s">
        <v>26</v>
      </c>
      <c r="M912" s="104" t="s">
        <v>27</v>
      </c>
      <c r="N912" s="108" t="str">
        <f t="shared" si="1"/>
        <v>PMPR-CASCAVEL</v>
      </c>
      <c r="O912" s="112" t="str">
        <f>Cadastro!$O844</f>
        <v>https://monitoramento.pm.pr.gov.br/proxy_image_8/Interface/Cameras/GetJPEGStream?Camera=SESPPRO - PTZ&amp;AuthUser=siscop&amp;AuthPass=Siscop1234&amp;Width=1024&amp;Height=768&amp;Quality=70&amp;FPS=10&amp;ResponseFormat=Text</v>
      </c>
      <c r="P912" s="106">
        <f>Cadastro!$P844</f>
        <v>1</v>
      </c>
    </row>
    <row r="913">
      <c r="A913" s="104" t="str">
        <f>Cadastro!$A845</f>
        <v>PMPR-CASCAVEL</v>
      </c>
      <c r="B913" s="104" t="str">
        <f>Cadastro!$B845</f>
        <v>CASCAVEL</v>
      </c>
      <c r="C913" s="107" t="str">
        <f>Cadastro!$C845</f>
        <v>https://monitoramento.pm.pr.gov.br/proxy_image_8/</v>
      </c>
      <c r="D913" s="105">
        <f>Cadastro!$D845</f>
        <v>8601</v>
      </c>
      <c r="E913" s="104" t="str">
        <f>Cadastro!$E845</f>
        <v>SESPPRO - Recepcao</v>
      </c>
      <c r="F913" s="104" t="str">
        <f>Cadastro!$F845</f>
        <v>Câmera situada na recepção da SESPPRO.</v>
      </c>
      <c r="G913" s="104" t="str">
        <f>Cadastro!$G845</f>
        <v>-24.970022</v>
      </c>
      <c r="H913" s="104" t="str">
        <f>Cadastro!$H845</f>
        <v>-53.486712</v>
      </c>
      <c r="I913" s="104" t="str">
        <f>Cadastro!$I845</f>
        <v>siscop</v>
      </c>
      <c r="J913" s="104" t="str">
        <f>Cadastro!$J845</f>
        <v>Siscop1234</v>
      </c>
      <c r="K913" s="104" t="s">
        <v>4536</v>
      </c>
      <c r="L913" s="104" t="s">
        <v>26</v>
      </c>
      <c r="M913" s="104" t="s">
        <v>27</v>
      </c>
      <c r="N913" s="108" t="str">
        <f t="shared" si="1"/>
        <v>PMPR-CASCAVEL</v>
      </c>
      <c r="O913" s="112" t="str">
        <f>Cadastro!$O845</f>
        <v>https://monitoramento.pm.pr.gov.br/proxy_image_8/Interface/Cameras/GetJPEGStream?Camera=SESPPRO - Recepcao&amp;AuthUser=siscop&amp;AuthPass=Siscop1234&amp;Width=1024&amp;Height=768&amp;Quality=70&amp;FPS=10&amp;ResponseFormat=Text</v>
      </c>
      <c r="P913" s="106">
        <f>Cadastro!$P845</f>
        <v>1</v>
      </c>
    </row>
    <row r="914">
      <c r="A914" s="104" t="str">
        <f>Cadastro!$A846</f>
        <v>PMPR-CASCAVEL</v>
      </c>
      <c r="B914" s="104" t="str">
        <f>Cadastro!$B846</f>
        <v>CASCAVEL</v>
      </c>
      <c r="C914" s="107" t="str">
        <f>Cadastro!$C846</f>
        <v>https://monitoramento.pm.pr.gov.br/proxy_image_8/</v>
      </c>
      <c r="D914" s="105">
        <f>Cadastro!$D846</f>
        <v>8601</v>
      </c>
      <c r="E914" s="104" t="str">
        <f>Cadastro!$E846</f>
        <v>Terminal - Leste</v>
      </c>
      <c r="F914" s="104" t="str">
        <f>Cadastro!$F846</f>
        <v>Câmera situada no Terminal Leste.</v>
      </c>
      <c r="G914" s="104" t="str">
        <f>Cadastro!$G846</f>
        <v>-24.953043</v>
      </c>
      <c r="H914" s="104" t="str">
        <f>Cadastro!$H846</f>
        <v>-53.418892</v>
      </c>
      <c r="I914" s="104" t="str">
        <f>Cadastro!$I846</f>
        <v>siscop</v>
      </c>
      <c r="J914" s="104" t="str">
        <f>Cadastro!$J846</f>
        <v>Siscop1234</v>
      </c>
      <c r="K914" s="104" t="s">
        <v>4536</v>
      </c>
      <c r="L914" s="104" t="s">
        <v>26</v>
      </c>
      <c r="M914" s="104" t="s">
        <v>27</v>
      </c>
      <c r="N914" s="108" t="str">
        <f t="shared" si="1"/>
        <v>PMPR-CASCAVEL</v>
      </c>
      <c r="O914" s="112" t="str">
        <f>Cadastro!$O846</f>
        <v>https://monitoramento.pm.pr.gov.br/proxy_image_8/Interface/Cameras/GetJPEGStream?Camera=Terminal - Leste&amp;AuthUser=siscop&amp;AuthPass=Siscop1234&amp;Width=1024&amp;Height=768&amp;Quality=70&amp;FPS=10&amp;ResponseFormat=Text</v>
      </c>
      <c r="P914" s="106">
        <f>Cadastro!$P846</f>
        <v>1</v>
      </c>
    </row>
    <row r="915">
      <c r="A915" s="104" t="str">
        <f>Cadastro!$A847</f>
        <v>PMPR-CASCAVEL</v>
      </c>
      <c r="B915" s="104" t="str">
        <f>Cadastro!$B847</f>
        <v>CASCAVEL</v>
      </c>
      <c r="C915" s="107" t="str">
        <f>Cadastro!$C847</f>
        <v>https://monitoramento.pm.pr.gov.br/proxy_image_8/</v>
      </c>
      <c r="D915" s="105">
        <f>Cadastro!$D847</f>
        <v>8601</v>
      </c>
      <c r="E915" s="104" t="str">
        <f>Cadastro!$E847</f>
        <v>Terminal - Nordesde 2</v>
      </c>
      <c r="F915" s="104" t="str">
        <f>Cadastro!$F847</f>
        <v>Câmera situada no terminal Nordeste.</v>
      </c>
      <c r="G915" s="104" t="str">
        <f>Cadastro!$G847</f>
        <v>-24.926622</v>
      </c>
      <c r="H915" s="104" t="str">
        <f>Cadastro!$H847</f>
        <v>-53.445747</v>
      </c>
      <c r="I915" s="104" t="str">
        <f>Cadastro!$I847</f>
        <v>siscop</v>
      </c>
      <c r="J915" s="104" t="str">
        <f>Cadastro!$J847</f>
        <v>Siscop1234</v>
      </c>
      <c r="K915" s="104" t="s">
        <v>4536</v>
      </c>
      <c r="L915" s="104" t="s">
        <v>26</v>
      </c>
      <c r="M915" s="104" t="s">
        <v>27</v>
      </c>
      <c r="N915" s="108" t="str">
        <f t="shared" si="1"/>
        <v>PMPR-CASCAVEL</v>
      </c>
      <c r="O915" s="112" t="str">
        <f>Cadastro!$O847</f>
        <v>https://monitoramento.pm.pr.gov.br/proxy_image_8/Interface/Cameras/GetJPEGStream?Camera=Terminal - Nordesde 2&amp;AuthUser=siscop&amp;AuthPass=Siscop1234&amp;Width=1024&amp;Height=768&amp;Quality=70&amp;FPS=10&amp;ResponseFormat=Text</v>
      </c>
      <c r="P915" s="106">
        <f>Cadastro!$P847</f>
        <v>1</v>
      </c>
    </row>
    <row r="916">
      <c r="A916" s="104" t="str">
        <f>Cadastro!$A848</f>
        <v>PMPR-CASCAVEL</v>
      </c>
      <c r="B916" s="104" t="str">
        <f>Cadastro!$B848</f>
        <v>CASCAVEL</v>
      </c>
      <c r="C916" s="107" t="str">
        <f>Cadastro!$C848</f>
        <v>https://monitoramento.pm.pr.gov.br/proxy_image_8/</v>
      </c>
      <c r="D916" s="105">
        <f>Cadastro!$D848</f>
        <v>8601</v>
      </c>
      <c r="E916" s="104" t="str">
        <f>Cadastro!$E848</f>
        <v>Terminal - Nordeste</v>
      </c>
      <c r="F916" s="104" t="str">
        <f>Cadastro!$F848</f>
        <v>Câmera situada no terminal Nordeste.</v>
      </c>
      <c r="G916" s="104" t="str">
        <f>Cadastro!$G848</f>
        <v>-24.926622</v>
      </c>
      <c r="H916" s="104" t="str">
        <f>Cadastro!$H848</f>
        <v>-53.445747</v>
      </c>
      <c r="I916" s="104" t="str">
        <f>Cadastro!$I848</f>
        <v>siscop</v>
      </c>
      <c r="J916" s="104" t="str">
        <f>Cadastro!$J848</f>
        <v>Siscop1234</v>
      </c>
      <c r="K916" s="104" t="s">
        <v>4536</v>
      </c>
      <c r="L916" s="104" t="s">
        <v>26</v>
      </c>
      <c r="M916" s="104" t="s">
        <v>27</v>
      </c>
      <c r="N916" s="108" t="str">
        <f t="shared" si="1"/>
        <v>PMPR-CASCAVEL</v>
      </c>
      <c r="O916" s="112" t="str">
        <f>Cadastro!$O848</f>
        <v>#</v>
      </c>
      <c r="P916" s="106">
        <f>Cadastro!$P848</f>
        <v>0</v>
      </c>
    </row>
    <row r="917">
      <c r="A917" s="104" t="str">
        <f>Cadastro!$A849</f>
        <v>PMPR-CASCAVEL</v>
      </c>
      <c r="B917" s="104" t="str">
        <f>Cadastro!$B849</f>
        <v>CASCAVEL</v>
      </c>
      <c r="C917" s="107" t="str">
        <f>Cadastro!$C849</f>
        <v>https://monitoramento.pm.pr.gov.br/proxy_image_8/</v>
      </c>
      <c r="D917" s="105">
        <f>Cadastro!$D849</f>
        <v>8601</v>
      </c>
      <c r="E917" s="104" t="str">
        <f>Cadastro!$E849</f>
        <v>Terminal - Oeste</v>
      </c>
      <c r="F917" s="104" t="str">
        <f>Cadastro!$F849</f>
        <v>Câmera situada no Terminal Oeste.</v>
      </c>
      <c r="G917" s="104" t="str">
        <f>Cadastro!$G849</f>
        <v>-24.955336</v>
      </c>
      <c r="H917" s="104" t="str">
        <f>Cadastro!$H849</f>
        <v>-53.478947</v>
      </c>
      <c r="I917" s="104" t="str">
        <f>Cadastro!$I849</f>
        <v>siscop</v>
      </c>
      <c r="J917" s="104" t="str">
        <f>Cadastro!$J849</f>
        <v>Siscop1234</v>
      </c>
      <c r="K917" s="104" t="s">
        <v>4536</v>
      </c>
      <c r="L917" s="104" t="s">
        <v>26</v>
      </c>
      <c r="M917" s="104" t="s">
        <v>27</v>
      </c>
      <c r="N917" s="108" t="str">
        <f t="shared" si="1"/>
        <v>PMPR-CASCAVEL</v>
      </c>
      <c r="O917" s="112" t="str">
        <f>Cadastro!$O849</f>
        <v>https://monitoramento.pm.pr.gov.br/proxy_image_8/Interface/Cameras/GetJPEGStream?Camera=Terminal - Oeste&amp;AuthUser=siscop&amp;AuthPass=Siscop1234&amp;Width=1024&amp;Height=768&amp;Quality=70&amp;FPS=10&amp;ResponseFormat=Text</v>
      </c>
      <c r="P917" s="106">
        <f>Cadastro!$P849</f>
        <v>1</v>
      </c>
    </row>
    <row r="918">
      <c r="A918" s="104" t="str">
        <f>Cadastro!$A850</f>
        <v>PMPR-CASCAVEL</v>
      </c>
      <c r="B918" s="104" t="str">
        <f>Cadastro!$B850</f>
        <v>CASCAVEL</v>
      </c>
      <c r="C918" s="107" t="str">
        <f>Cadastro!$C850</f>
        <v>https://monitoramento.pm.pr.gov.br/proxy_image_8/</v>
      </c>
      <c r="D918" s="105">
        <f>Cadastro!$D850</f>
        <v>8601</v>
      </c>
      <c r="E918" s="104" t="str">
        <f>Cadastro!$E850</f>
        <v>Terminal - Sudoeste</v>
      </c>
      <c r="F918" s="104" t="str">
        <f>Cadastro!$F850</f>
        <v>Câmera situada no Terminal Sudoeste.</v>
      </c>
      <c r="G918" s="104" t="str">
        <f>Cadastro!$G850</f>
        <v>-24.976713</v>
      </c>
      <c r="H918" s="104" t="str">
        <f>Cadastro!$H850</f>
        <v>-53.502029</v>
      </c>
      <c r="I918" s="104" t="str">
        <f>Cadastro!$I850</f>
        <v>siscop</v>
      </c>
      <c r="J918" s="104" t="str">
        <f>Cadastro!$J850</f>
        <v>Siscop1234</v>
      </c>
      <c r="K918" s="104" t="s">
        <v>4536</v>
      </c>
      <c r="L918" s="104" t="s">
        <v>26</v>
      </c>
      <c r="M918" s="104" t="s">
        <v>27</v>
      </c>
      <c r="N918" s="108" t="str">
        <f t="shared" si="1"/>
        <v>PMPR-CASCAVEL</v>
      </c>
      <c r="O918" s="112" t="str">
        <f>Cadastro!$O850</f>
        <v>https://monitoramento.pm.pr.gov.br/proxy_image_8/Interface/Cameras/GetJPEGStream?Camera=Terminal - Sudoeste&amp;AuthUser=siscop&amp;AuthPass=Siscop1234&amp;Width=1024&amp;Height=768&amp;Quality=70&amp;FPS=10&amp;ResponseFormat=Text</v>
      </c>
      <c r="P918" s="106">
        <f>Cadastro!$P850</f>
        <v>1</v>
      </c>
    </row>
    <row r="919">
      <c r="A919" s="104" t="str">
        <f>Cadastro!$A851</f>
        <v>PMPR-CASCAVEL</v>
      </c>
      <c r="B919" s="104" t="str">
        <f>Cadastro!$B851</f>
        <v>CASCAVEL</v>
      </c>
      <c r="C919" s="107" t="str">
        <f>Cadastro!$C851</f>
        <v>https://monitoramento.pm.pr.gov.br/proxy_image_8/</v>
      </c>
      <c r="D919" s="105">
        <f>Cadastro!$D851</f>
        <v>8601</v>
      </c>
      <c r="E919" s="104" t="str">
        <f>Cadastro!$E851</f>
        <v>Trevo Cataratas</v>
      </c>
      <c r="F919" s="104" t="str">
        <f>Cadastro!$F851</f>
        <v>Câmera situada no Trevo Cataratas em Cascavel-PR</v>
      </c>
      <c r="G919" s="104" t="str">
        <f>Cadastro!$G851</f>
        <v>-24.963903</v>
      </c>
      <c r="H919" s="104" t="str">
        <f>Cadastro!$H851</f>
        <v>-53.409340</v>
      </c>
      <c r="I919" s="104" t="str">
        <f>Cadastro!$I851</f>
        <v>siscop</v>
      </c>
      <c r="J919" s="104" t="str">
        <f>Cadastro!$J851</f>
        <v>Siscop1234</v>
      </c>
      <c r="K919" s="104" t="s">
        <v>4536</v>
      </c>
      <c r="L919" s="104" t="s">
        <v>26</v>
      </c>
      <c r="M919" s="104" t="s">
        <v>27</v>
      </c>
      <c r="N919" s="108" t="str">
        <f t="shared" si="1"/>
        <v>PMPR-CASCAVEL</v>
      </c>
      <c r="O919" s="112" t="str">
        <f>Cadastro!$O851</f>
        <v>https://monitoramento.pm.pr.gov.br/proxy_image_8/Interface/Cameras/GetJPEGStream?Camera=Trevo Cataratas&amp;AuthUser=siscop&amp;AuthPass=Siscop1234&amp;Width=1024&amp;Height=768&amp;Quality=70&amp;FPS=10&amp;ResponseFormat=Text</v>
      </c>
      <c r="P919" s="106">
        <f>Cadastro!$P851</f>
        <v>1</v>
      </c>
    </row>
    <row r="920">
      <c r="A920" s="104" t="str">
        <f>Cadastro!$A852</f>
        <v>PMPR-CASCAVEL</v>
      </c>
      <c r="B920" s="104" t="str">
        <f>Cadastro!$B852</f>
        <v>CASCAVEL</v>
      </c>
      <c r="C920" s="107" t="str">
        <f>Cadastro!$C852</f>
        <v>https://monitoramento.pm.pr.gov.br/proxy_image_8/</v>
      </c>
      <c r="D920" s="105">
        <f>Cadastro!$D852</f>
        <v>8601</v>
      </c>
      <c r="E920" s="104" t="str">
        <f>Cadastro!$E852</f>
        <v>Tv. Parana x Cristo Rei</v>
      </c>
      <c r="F920" s="104" t="str">
        <f>Cadastro!$F852</f>
        <v>Câmera situada na Tv. Parana x Cristo Rei.</v>
      </c>
      <c r="G920" s="104" t="str">
        <f>Cadastro!$G852</f>
        <v>-24.953863</v>
      </c>
      <c r="H920" s="104" t="str">
        <f>Cadastro!$H852</f>
        <v>-53.454655</v>
      </c>
      <c r="I920" s="104" t="str">
        <f>Cadastro!$I852</f>
        <v>siscop</v>
      </c>
      <c r="J920" s="104" t="str">
        <f>Cadastro!$J852</f>
        <v>Siscop1234</v>
      </c>
      <c r="K920" s="104" t="s">
        <v>4536</v>
      </c>
      <c r="L920" s="104" t="s">
        <v>26</v>
      </c>
      <c r="M920" s="104" t="s">
        <v>27</v>
      </c>
      <c r="N920" s="108" t="str">
        <f t="shared" si="1"/>
        <v>PMPR-CASCAVEL</v>
      </c>
      <c r="O920" s="112" t="str">
        <f>Cadastro!$O852</f>
        <v>https://monitoramento.pm.pr.gov.br/proxy_image_8/Interface/Cameras/GetJPEGStream?Camera=Tv. Parana x Cristo Rei&amp;AuthUser=siscop&amp;AuthPass=Siscop1234&amp;Width=1024&amp;Height=768&amp;Quality=70&amp;FPS=10&amp;ResponseFormat=Text</v>
      </c>
      <c r="P920" s="106">
        <f>Cadastro!$P852</f>
        <v>1</v>
      </c>
    </row>
    <row r="921">
      <c r="A921" s="104" t="str">
        <f>Cadastro!$A853</f>
        <v>PMPR-CASCAVEL</v>
      </c>
      <c r="B921" s="104" t="str">
        <f>Cadastro!$B853</f>
        <v>CASCAVEL</v>
      </c>
      <c r="C921" s="107" t="str">
        <f>Cadastro!$C853</f>
        <v>https://monitoramento.pm.pr.gov.br/proxy_image_8/</v>
      </c>
      <c r="D921" s="105">
        <f>Cadastro!$D853</f>
        <v>8601</v>
      </c>
      <c r="E921" s="104" t="str">
        <f>Cadastro!$E853</f>
        <v>UBS - Caludete 02</v>
      </c>
      <c r="F921" s="104" t="str">
        <f>Cadastro!$F853</f>
        <v>Câmera situada a na frente da UBS do Claudete.</v>
      </c>
      <c r="G921" s="104" t="str">
        <f>Cadastro!$G853</f>
        <v>-24.941301</v>
      </c>
      <c r="H921" s="104" t="str">
        <f>Cadastro!$H853</f>
        <v>-53.474737</v>
      </c>
      <c r="I921" s="104" t="str">
        <f>Cadastro!$I853</f>
        <v>siscop</v>
      </c>
      <c r="J921" s="104" t="str">
        <f>Cadastro!$J853</f>
        <v>Siscop1234</v>
      </c>
      <c r="K921" s="104" t="s">
        <v>4536</v>
      </c>
      <c r="L921" s="104" t="s">
        <v>26</v>
      </c>
      <c r="M921" s="104" t="s">
        <v>27</v>
      </c>
      <c r="N921" s="108" t="str">
        <f t="shared" si="1"/>
        <v>PMPR-CASCAVEL</v>
      </c>
      <c r="O921" s="112" t="str">
        <f>Cadastro!$O853</f>
        <v>https://monitoramento.pm.pr.gov.br/proxy_image_8/Interface/Cameras/GetJPEGStream?Camera=UBS - Caludete 02&amp;AuthUser=siscop&amp;AuthPass=Siscop1234&amp;Width=1024&amp;Height=768&amp;Quality=70&amp;FPS=10&amp;ResponseFormat=Text</v>
      </c>
      <c r="P921" s="106">
        <f>Cadastro!$P853</f>
        <v>1</v>
      </c>
    </row>
    <row r="922">
      <c r="A922" s="104" t="str">
        <f>Cadastro!$A854</f>
        <v>PMPR-CASCAVEL</v>
      </c>
      <c r="B922" s="104" t="str">
        <f>Cadastro!$B854</f>
        <v>CASCAVEL</v>
      </c>
      <c r="C922" s="107" t="str">
        <f>Cadastro!$C854</f>
        <v>https://monitoramento.pm.pr.gov.br/proxy_image_8/</v>
      </c>
      <c r="D922" s="105">
        <f>Cadastro!$D854</f>
        <v>8601</v>
      </c>
      <c r="E922" s="104" t="str">
        <f>Cadastro!$E854</f>
        <v>UBS - Caludete 04</v>
      </c>
      <c r="F922" s="104" t="str">
        <f>Cadastro!$F854</f>
        <v>Câmera situada na portaria da UBS do Claudete.</v>
      </c>
      <c r="G922" s="104" t="str">
        <f>Cadastro!$G854</f>
        <v>-24.941301</v>
      </c>
      <c r="H922" s="104" t="str">
        <f>Cadastro!$H854</f>
        <v>-53.474737</v>
      </c>
      <c r="I922" s="104" t="str">
        <f>Cadastro!$I854</f>
        <v>siscop</v>
      </c>
      <c r="J922" s="104" t="str">
        <f>Cadastro!$J854</f>
        <v>Siscop1234</v>
      </c>
      <c r="K922" s="104" t="s">
        <v>4536</v>
      </c>
      <c r="L922" s="104" t="s">
        <v>26</v>
      </c>
      <c r="M922" s="104" t="s">
        <v>27</v>
      </c>
      <c r="N922" s="108" t="str">
        <f t="shared" si="1"/>
        <v>PMPR-CASCAVEL</v>
      </c>
      <c r="O922" s="112" t="str">
        <f>Cadastro!$O854</f>
        <v>https://monitoramento.pm.pr.gov.br/proxy_image_8/Interface/Cameras/GetJPEGStream?Camera=UBS - Caludete 04&amp;AuthUser=siscop&amp;AuthPass=Siscop1234&amp;Width=1024&amp;Height=768&amp;Quality=70&amp;FPS=10&amp;ResponseFormat=Text</v>
      </c>
      <c r="P922" s="106">
        <f>Cadastro!$P854</f>
        <v>1</v>
      </c>
    </row>
    <row r="923">
      <c r="A923" s="104" t="str">
        <f>Cadastro!$A855</f>
        <v>PMPR-CASCAVEL</v>
      </c>
      <c r="B923" s="104" t="str">
        <f>Cadastro!$B855</f>
        <v>CASCAVEL</v>
      </c>
      <c r="C923" s="107" t="str">
        <f>Cadastro!$C855</f>
        <v>https://monitoramento.pm.pr.gov.br/proxy_image_8/</v>
      </c>
      <c r="D923" s="105">
        <f>Cadastro!$D855</f>
        <v>8601</v>
      </c>
      <c r="E923" s="104" t="str">
        <f>Cadastro!$E855</f>
        <v>UBS - Cancelli 03</v>
      </c>
      <c r="F923" s="104" t="str">
        <f>Cadastro!$F855</f>
        <v>Câmera situada na portaria da UBS do Cancelli.</v>
      </c>
      <c r="G923" s="104" t="str">
        <f>Cadastro!$G855</f>
        <v>-24.943114</v>
      </c>
      <c r="H923" s="104" t="str">
        <f>Cadastro!$H855</f>
        <v>-53.465825</v>
      </c>
      <c r="I923" s="104" t="str">
        <f>Cadastro!$I855</f>
        <v>siscop</v>
      </c>
      <c r="J923" s="104" t="str">
        <f>Cadastro!$J855</f>
        <v>Siscop1234</v>
      </c>
      <c r="K923" s="104" t="s">
        <v>4536</v>
      </c>
      <c r="L923" s="104" t="s">
        <v>26</v>
      </c>
      <c r="M923" s="104" t="s">
        <v>27</v>
      </c>
      <c r="N923" s="108" t="str">
        <f t="shared" si="1"/>
        <v>PMPR-CASCAVEL</v>
      </c>
      <c r="O923" s="112" t="str">
        <f>Cadastro!$O855</f>
        <v>https://monitoramento.pm.pr.gov.br/proxy_image_8/Interface/Cameras/GetJPEGStream?Camera=UBS - Cancelli 03&amp;AuthUser=siscop&amp;AuthPass=Siscop1234&amp;Width=1024&amp;Height=768&amp;Quality=70&amp;FPS=10&amp;ResponseFormat=Text</v>
      </c>
      <c r="P923" s="106">
        <f>Cadastro!$P855</f>
        <v>1</v>
      </c>
    </row>
    <row r="924">
      <c r="A924" s="104" t="str">
        <f>Cadastro!$A856</f>
        <v>PMPR-CASCAVEL</v>
      </c>
      <c r="B924" s="104" t="str">
        <f>Cadastro!$B856</f>
        <v>CASCAVEL</v>
      </c>
      <c r="C924" s="107" t="str">
        <f>Cadastro!$C856</f>
        <v>https://monitoramento.pm.pr.gov.br/proxy_image_8/</v>
      </c>
      <c r="D924" s="105">
        <f>Cadastro!$D856</f>
        <v>8601</v>
      </c>
      <c r="E924" s="104" t="str">
        <f>Cadastro!$E856</f>
        <v>UBS - Cancelli 05</v>
      </c>
      <c r="F924" s="104" t="str">
        <f>Cadastro!$F856</f>
        <v>Câmera situada na porta de entrada da UBS do Cancelli.</v>
      </c>
      <c r="G924" s="104" t="str">
        <f>Cadastro!$G856</f>
        <v>-24.943114</v>
      </c>
      <c r="H924" s="104" t="str">
        <f>Cadastro!$H856</f>
        <v>-53.465825</v>
      </c>
      <c r="I924" s="104" t="str">
        <f>Cadastro!$I856</f>
        <v>siscop</v>
      </c>
      <c r="J924" s="104" t="str">
        <f>Cadastro!$J856</f>
        <v>Siscop1234</v>
      </c>
      <c r="K924" s="104" t="s">
        <v>4536</v>
      </c>
      <c r="L924" s="104" t="s">
        <v>26</v>
      </c>
      <c r="M924" s="104" t="s">
        <v>27</v>
      </c>
      <c r="N924" s="108" t="str">
        <f t="shared" si="1"/>
        <v>PMPR-CASCAVEL</v>
      </c>
      <c r="O924" s="112" t="str">
        <f>Cadastro!$O856</f>
        <v>https://monitoramento.pm.pr.gov.br/proxy_image_8/Interface/Cameras/GetJPEGStream?Camera=UBS - Cancelli 05&amp;AuthUser=siscop&amp;AuthPass=Siscop1234&amp;Width=1024&amp;Height=768&amp;Quality=70&amp;FPS=10&amp;ResponseFormat=Text</v>
      </c>
      <c r="P924" s="106">
        <f>Cadastro!$P856</f>
        <v>1</v>
      </c>
    </row>
    <row r="925">
      <c r="A925" s="104" t="str">
        <f>Cadastro!$A857</f>
        <v>PMPR-CASCAVEL</v>
      </c>
      <c r="B925" s="104" t="str">
        <f>Cadastro!$B857</f>
        <v>CASCAVEL</v>
      </c>
      <c r="C925" s="107" t="str">
        <f>Cadastro!$C857</f>
        <v>https://monitoramento.pm.pr.gov.br/proxy_image_8/</v>
      </c>
      <c r="D925" s="105">
        <f>Cadastro!$D857</f>
        <v>8601</v>
      </c>
      <c r="E925" s="104" t="str">
        <f>Cadastro!$E857</f>
        <v>UPA - Brasilia 07</v>
      </c>
      <c r="F925" s="104" t="str">
        <f>Cadastro!$F857</f>
        <v>Câmera situada na porta de entrada das ambulâncias.</v>
      </c>
      <c r="G925" s="104" t="str">
        <f>Cadastro!$G857</f>
        <v>-24.941024</v>
      </c>
      <c r="H925" s="104" t="str">
        <f>Cadastro!$H857</f>
        <v>-53.426393</v>
      </c>
      <c r="I925" s="104" t="str">
        <f>Cadastro!$I857</f>
        <v>siscop</v>
      </c>
      <c r="J925" s="104" t="str">
        <f>Cadastro!$J857</f>
        <v>Siscop1234</v>
      </c>
      <c r="K925" s="104" t="s">
        <v>4536</v>
      </c>
      <c r="L925" s="104" t="s">
        <v>26</v>
      </c>
      <c r="M925" s="104" t="s">
        <v>27</v>
      </c>
      <c r="N925" s="108" t="str">
        <f t="shared" si="1"/>
        <v>PMPR-CASCAVEL</v>
      </c>
      <c r="O925" s="112" t="str">
        <f>Cadastro!$O857</f>
        <v>https://monitoramento.pm.pr.gov.br/proxy_image_8/Interface/Cameras/GetJPEGStream?Camera=UPA - Brasilia 07&amp;AuthUser=siscop&amp;AuthPass=Siscop1234&amp;Width=1024&amp;Height=768&amp;Quality=70&amp;FPS=10&amp;ResponseFormat=Text</v>
      </c>
      <c r="P925" s="106">
        <f>Cadastro!$P857</f>
        <v>1</v>
      </c>
    </row>
    <row r="926">
      <c r="A926" s="104" t="str">
        <f>Cadastro!$A858</f>
        <v>PMPR-CASCAVEL</v>
      </c>
      <c r="B926" s="104" t="str">
        <f>Cadastro!$B858</f>
        <v>CASCAVEL</v>
      </c>
      <c r="C926" s="107" t="str">
        <f>Cadastro!$C858</f>
        <v>https://monitoramento.pm.pr.gov.br/proxy_image_8/</v>
      </c>
      <c r="D926" s="105">
        <f>Cadastro!$D858</f>
        <v>8601</v>
      </c>
      <c r="E926" s="104" t="str">
        <f>Cadastro!$E858</f>
        <v>UPA - Brasilia 14</v>
      </c>
      <c r="F926" s="104" t="str">
        <f>Cadastro!$F858</f>
        <v>Câmera situada na entrada do UPA lado de dentro.</v>
      </c>
      <c r="G926" s="104" t="str">
        <f>Cadastro!$G858</f>
        <v>-24.941024</v>
      </c>
      <c r="H926" s="104" t="str">
        <f>Cadastro!$H858</f>
        <v>-53.426393</v>
      </c>
      <c r="I926" s="104" t="str">
        <f>Cadastro!$I858</f>
        <v>siscop</v>
      </c>
      <c r="J926" s="104" t="str">
        <f>Cadastro!$J858</f>
        <v>Siscop1234</v>
      </c>
      <c r="K926" s="104" t="s">
        <v>4536</v>
      </c>
      <c r="L926" s="104" t="s">
        <v>26</v>
      </c>
      <c r="M926" s="104" t="s">
        <v>27</v>
      </c>
      <c r="N926" s="108" t="str">
        <f t="shared" si="1"/>
        <v>PMPR-CASCAVEL</v>
      </c>
      <c r="O926" s="112" t="str">
        <f>Cadastro!$O858</f>
        <v>https://monitoramento.pm.pr.gov.br/proxy_image_8/Interface/Cameras/GetJPEGStream?Camera=UPA - Brasilia 14&amp;AuthUser=siscop&amp;AuthPass=Siscop1234&amp;Width=1024&amp;Height=768&amp;Quality=70&amp;FPS=10&amp;ResponseFormat=Text</v>
      </c>
      <c r="P926" s="106">
        <f>Cadastro!$P858</f>
        <v>1</v>
      </c>
    </row>
    <row r="927">
      <c r="A927" s="104" t="str">
        <f>Cadastro!$A859</f>
        <v>PMPR-CASCAVEL</v>
      </c>
      <c r="B927" s="104" t="str">
        <f>Cadastro!$B859</f>
        <v>CASCAVEL</v>
      </c>
      <c r="C927" s="107" t="str">
        <f>Cadastro!$C859</f>
        <v>https://monitoramento.pm.pr.gov.br/proxy_image_8/</v>
      </c>
      <c r="D927" s="105">
        <f>Cadastro!$D859</f>
        <v>8601</v>
      </c>
      <c r="E927" s="104" t="str">
        <f>Cadastro!$E859</f>
        <v>UPA - Brasilia 16</v>
      </c>
      <c r="F927" s="104" t="str">
        <f>Cadastro!$F859</f>
        <v>Câmera situada na entrada do UPA lado de fora.</v>
      </c>
      <c r="G927" s="104" t="str">
        <f>Cadastro!$G859</f>
        <v>-24.941024</v>
      </c>
      <c r="H927" s="104" t="str">
        <f>Cadastro!$H859</f>
        <v>-53.426393</v>
      </c>
      <c r="I927" s="104" t="str">
        <f>Cadastro!$I859</f>
        <v>siscop</v>
      </c>
      <c r="J927" s="104" t="str">
        <f>Cadastro!$J859</f>
        <v>Siscop1234</v>
      </c>
      <c r="K927" s="104" t="s">
        <v>4536</v>
      </c>
      <c r="L927" s="104" t="s">
        <v>26</v>
      </c>
      <c r="M927" s="104" t="s">
        <v>27</v>
      </c>
      <c r="N927" s="108" t="str">
        <f t="shared" si="1"/>
        <v>PMPR-CASCAVEL</v>
      </c>
      <c r="O927" s="112" t="str">
        <f>Cadastro!$O859</f>
        <v>https://monitoramento.pm.pr.gov.br/proxy_image_8/Interface/Cameras/GetJPEGStream?Camera=UPA - Brasilia 16&amp;AuthUser=siscop&amp;AuthPass=Siscop1234&amp;Width=1024&amp;Height=768&amp;Quality=70&amp;FPS=10&amp;ResponseFormat=Text</v>
      </c>
      <c r="P927" s="106">
        <f>Cadastro!$P859</f>
        <v>1</v>
      </c>
    </row>
    <row r="928">
      <c r="A928" s="104" t="str">
        <f>Cadastro!$A860</f>
        <v>PMPR-CASCAVEL</v>
      </c>
      <c r="B928" s="104" t="str">
        <f>Cadastro!$B860</f>
        <v>CASCAVEL</v>
      </c>
      <c r="C928" s="107" t="str">
        <f>Cadastro!$C860</f>
        <v>https://monitoramento.pm.pr.gov.br/proxy_image_8/</v>
      </c>
      <c r="D928" s="105">
        <f>Cadastro!$D860</f>
        <v>8601</v>
      </c>
      <c r="E928" s="104" t="str">
        <f>Cadastro!$E860</f>
        <v>UPA - Pediatria</v>
      </c>
      <c r="F928" s="104" t="str">
        <f>Cadastro!$F860</f>
        <v>Câmera situada na UPA Pediátrica.</v>
      </c>
      <c r="G928" s="104" t="str">
        <f>Cadastro!$G860</f>
        <v>-24.970463</v>
      </c>
      <c r="H928" s="104" t="str">
        <f>Cadastro!$H860</f>
        <v>-53.487068</v>
      </c>
      <c r="I928" s="104" t="str">
        <f>Cadastro!$I860</f>
        <v>siscop</v>
      </c>
      <c r="J928" s="104" t="str">
        <f>Cadastro!$J860</f>
        <v>Siscop1234</v>
      </c>
      <c r="K928" s="104" t="s">
        <v>4536</v>
      </c>
      <c r="L928" s="104" t="s">
        <v>26</v>
      </c>
      <c r="M928" s="104" t="s">
        <v>27</v>
      </c>
      <c r="N928" s="108" t="str">
        <f t="shared" si="1"/>
        <v>PMPR-CASCAVEL</v>
      </c>
      <c r="O928" s="112" t="str">
        <f>Cadastro!$O860</f>
        <v>https://monitoramento.pm.pr.gov.br/proxy_image_8/Interface/Cameras/GetJPEGStream?Camera=UPA - Pediatria&amp;AuthUser=siscop&amp;AuthPass=Siscop1234&amp;Width=1024&amp;Height=768&amp;Quality=70&amp;FPS=10&amp;ResponseFormat=Text</v>
      </c>
      <c r="P928" s="106">
        <f>Cadastro!$P860</f>
        <v>1</v>
      </c>
    </row>
    <row r="929">
      <c r="A929" s="104" t="str">
        <f>Cadastro!$A861</f>
        <v>PMPR-CASCAVEL</v>
      </c>
      <c r="B929" s="104" t="str">
        <f>Cadastro!$B861</f>
        <v>CASCAVEL</v>
      </c>
      <c r="C929" s="107" t="str">
        <f>Cadastro!$C861</f>
        <v>https://monitoramento.pm.pr.gov.br/proxy_image_8/</v>
      </c>
      <c r="D929" s="105">
        <f>Cadastro!$D861</f>
        <v>8601</v>
      </c>
      <c r="E929" s="104" t="str">
        <f>Cadastro!$E861</f>
        <v>UPA - Tancredo 11</v>
      </c>
      <c r="F929" s="104" t="str">
        <f>Cadastro!$F861</f>
        <v>Câmera situada na recepção da UPA Tancredo - Adultos.</v>
      </c>
      <c r="G929" s="104" t="str">
        <f>Cadastro!$G861</f>
        <v>-24.969765</v>
      </c>
      <c r="H929" s="104" t="str">
        <f>Cadastro!$H861</f>
        <v>-53.488746</v>
      </c>
      <c r="I929" s="104" t="str">
        <f>Cadastro!$I861</f>
        <v>siscop</v>
      </c>
      <c r="J929" s="104" t="str">
        <f>Cadastro!$J861</f>
        <v>Siscop1234</v>
      </c>
      <c r="K929" s="104" t="s">
        <v>4536</v>
      </c>
      <c r="L929" s="104" t="s">
        <v>26</v>
      </c>
      <c r="M929" s="104" t="s">
        <v>27</v>
      </c>
      <c r="N929" s="108" t="str">
        <f t="shared" si="1"/>
        <v>PMPR-CASCAVEL</v>
      </c>
      <c r="O929" s="112" t="str">
        <f>Cadastro!$O861</f>
        <v>https://monitoramento.pm.pr.gov.br/proxy_image_8/Interface/Cameras/GetJPEGStream?Camera=UPA - Tancredo 11&amp;AuthUser=siscop&amp;AuthPass=Siscop1234&amp;Width=1024&amp;Height=768&amp;Quality=70&amp;FPS=10&amp;ResponseFormat=Text</v>
      </c>
      <c r="P929" s="106">
        <f>Cadastro!$P861</f>
        <v>1</v>
      </c>
    </row>
    <row r="930">
      <c r="A930" s="104" t="str">
        <f>Cadastro!$A862</f>
        <v>PMPR-CASCAVEL</v>
      </c>
      <c r="B930" s="104" t="str">
        <f>Cadastro!$B862</f>
        <v>CASCAVEL</v>
      </c>
      <c r="C930" s="107" t="str">
        <f>Cadastro!$C862</f>
        <v>https://monitoramento.pm.pr.gov.br/proxy_image_8/</v>
      </c>
      <c r="D930" s="105">
        <f>Cadastro!$D862</f>
        <v>8601</v>
      </c>
      <c r="E930" s="104" t="str">
        <f>Cadastro!$E862</f>
        <v>UPA - Tancredo 13</v>
      </c>
      <c r="F930" s="104" t="str">
        <f>Cadastro!$F862</f>
        <v>Câmera situada na recepção da UPA Tancredo - Pediátrica.</v>
      </c>
      <c r="G930" s="104" t="str">
        <f>Cadastro!$G862</f>
        <v>-24.969765</v>
      </c>
      <c r="H930" s="104" t="str">
        <f>Cadastro!$H862</f>
        <v>-53.488746</v>
      </c>
      <c r="I930" s="104" t="str">
        <f>Cadastro!$I862</f>
        <v>siscop</v>
      </c>
      <c r="J930" s="104" t="str">
        <f>Cadastro!$J862</f>
        <v>Siscop1234</v>
      </c>
      <c r="K930" s="104" t="s">
        <v>4536</v>
      </c>
      <c r="L930" s="104" t="s">
        <v>26</v>
      </c>
      <c r="M930" s="104" t="s">
        <v>27</v>
      </c>
      <c r="N930" s="108" t="str">
        <f t="shared" si="1"/>
        <v>PMPR-CASCAVEL</v>
      </c>
      <c r="O930" s="112" t="str">
        <f>Cadastro!$O862</f>
        <v>https://monitoramento.pm.pr.gov.br/proxy_image_8/Interface/Cameras/GetJPEGStream?Camera=UPA - Tancredo 13&amp;AuthUser=siscop&amp;AuthPass=Siscop1234&amp;Width=1024&amp;Height=768&amp;Quality=70&amp;FPS=10&amp;ResponseFormat=Text</v>
      </c>
      <c r="P930" s="106">
        <f>Cadastro!$P862</f>
        <v>1</v>
      </c>
    </row>
    <row r="931">
      <c r="A931" s="104" t="str">
        <f>Cadastro!$A863</f>
        <v>PMPR-CASCAVEL</v>
      </c>
      <c r="B931" s="104" t="str">
        <f>Cadastro!$B863</f>
        <v>CASCAVEL</v>
      </c>
      <c r="C931" s="107" t="str">
        <f>Cadastro!$C863</f>
        <v>https://monitoramento.pm.pr.gov.br/proxy_image_8/</v>
      </c>
      <c r="D931" s="105">
        <f>Cadastro!$D863</f>
        <v>8601</v>
      </c>
      <c r="E931" s="104" t="str">
        <f>Cadastro!$E863</f>
        <v>UPA - Veneza</v>
      </c>
      <c r="F931" s="104" t="str">
        <f>Cadastro!$F863</f>
        <v>Câmera situada no UPA do Veneza.</v>
      </c>
      <c r="G931" s="104" t="str">
        <f>Cadastro!$G863</f>
        <v>-24.974016</v>
      </c>
      <c r="H931" s="104" t="str">
        <f>Cadastro!$H863</f>
        <v>-53.411671</v>
      </c>
      <c r="I931" s="104" t="str">
        <f>Cadastro!$I863</f>
        <v>siscop</v>
      </c>
      <c r="J931" s="104" t="str">
        <f>Cadastro!$J863</f>
        <v>Siscop1234</v>
      </c>
      <c r="K931" s="104" t="s">
        <v>4536</v>
      </c>
      <c r="L931" s="104" t="s">
        <v>26</v>
      </c>
      <c r="M931" s="104" t="s">
        <v>27</v>
      </c>
      <c r="N931" s="108" t="str">
        <f t="shared" si="1"/>
        <v>PMPR-CASCAVEL</v>
      </c>
      <c r="O931" s="112" t="str">
        <f>Cadastro!$O863</f>
        <v>https://monitoramento.pm.pr.gov.br/proxy_image_8/Interface/Cameras/GetJPEGStream?Camera=UPA - Veneza&amp;AuthUser=siscop&amp;AuthPass=Siscop1234&amp;Width=1024&amp;Height=768&amp;Quality=70&amp;FPS=10&amp;ResponseFormat=Text</v>
      </c>
      <c r="P931" s="106">
        <f>Cadastro!$P863</f>
        <v>1</v>
      </c>
    </row>
    <row r="932">
      <c r="A932" s="104" t="str">
        <f>Cadastro!$A864</f>
        <v>PMPR-CASCAVEL</v>
      </c>
      <c r="B932" s="104" t="str">
        <f>Cadastro!$B864</f>
        <v>CASCAVEL</v>
      </c>
      <c r="C932" s="107" t="str">
        <f>Cadastro!$C864</f>
        <v>https://monitoramento.pm.pr.gov.br/proxy_image_8/</v>
      </c>
      <c r="D932" s="105">
        <f>Cadastro!$D864</f>
        <v>8601</v>
      </c>
      <c r="E932" s="104" t="str">
        <f>Cadastro!$E864</f>
        <v>USF - Cataratas 01</v>
      </c>
      <c r="F932" s="104" t="str">
        <f>Cadastro!$F864</f>
        <v>Câmera situada na recepção da USF do Cataratas.</v>
      </c>
      <c r="G932" s="104" t="str">
        <f>Cadastro!$G864</f>
        <v>-24.962375</v>
      </c>
      <c r="H932" s="104" t="str">
        <f>Cadastro!$H864</f>
        <v>-53.402525</v>
      </c>
      <c r="I932" s="104" t="str">
        <f>Cadastro!$I864</f>
        <v>siscop</v>
      </c>
      <c r="J932" s="104" t="str">
        <f>Cadastro!$J864</f>
        <v>Siscop1234</v>
      </c>
      <c r="K932" s="104" t="s">
        <v>4536</v>
      </c>
      <c r="L932" s="104" t="s">
        <v>26</v>
      </c>
      <c r="M932" s="104" t="s">
        <v>27</v>
      </c>
      <c r="N932" s="108" t="str">
        <f t="shared" si="1"/>
        <v>PMPR-CASCAVEL</v>
      </c>
      <c r="O932" s="112" t="str">
        <f>Cadastro!$O864</f>
        <v>https://monitoramento.pm.pr.gov.br/proxy_image_8/Interface/Cameras/GetJPEGStream?Camera=USF - Cataratas 01&amp;AuthUser=siscop&amp;AuthPass=Siscop1234&amp;Width=1024&amp;Height=768&amp;Quality=70&amp;FPS=10&amp;ResponseFormat=Text</v>
      </c>
      <c r="P932" s="106">
        <f>Cadastro!$P864</f>
        <v>1</v>
      </c>
    </row>
    <row r="933">
      <c r="A933" s="104" t="str">
        <f>Cadastro!$A865</f>
        <v>PMPR-CASCAVEL</v>
      </c>
      <c r="B933" s="104" t="str">
        <f>Cadastro!$B865</f>
        <v>CASCAVEL</v>
      </c>
      <c r="C933" s="107" t="str">
        <f>Cadastro!$C865</f>
        <v>https://monitoramento.pm.pr.gov.br/proxy_image_8/</v>
      </c>
      <c r="D933" s="105">
        <f>Cadastro!$D865</f>
        <v>8601</v>
      </c>
      <c r="E933" s="104" t="str">
        <f>Cadastro!$E865</f>
        <v>USF - Cidade Verde 01</v>
      </c>
      <c r="F933" s="104" t="str">
        <f>Cadastro!$F865</f>
        <v>Câmera situada no lado de fora da USF do Cidade Verde.</v>
      </c>
      <c r="G933" s="104" t="str">
        <f>Cadastro!$G865</f>
        <v>-24.936823</v>
      </c>
      <c r="H933" s="104" t="str">
        <f>Cadastro!$H865</f>
        <v>-53.491929</v>
      </c>
      <c r="I933" s="104" t="str">
        <f>Cadastro!$I865</f>
        <v>siscop</v>
      </c>
      <c r="J933" s="104" t="str">
        <f>Cadastro!$J865</f>
        <v>Siscop1234</v>
      </c>
      <c r="K933" s="104" t="s">
        <v>4536</v>
      </c>
      <c r="L933" s="104" t="s">
        <v>26</v>
      </c>
      <c r="M933" s="104" t="s">
        <v>27</v>
      </c>
      <c r="N933" s="108" t="str">
        <f t="shared" si="1"/>
        <v>PMPR-CASCAVEL</v>
      </c>
      <c r="O933" s="112" t="str">
        <f>Cadastro!$O865</f>
        <v>https://monitoramento.pm.pr.gov.br/proxy_image_8/Interface/Cameras/GetJPEGStream?Camera=USF - Cidade Verde 01&amp;AuthUser=siscop&amp;AuthPass=Siscop1234&amp;Width=1024&amp;Height=768&amp;Quality=70&amp;FPS=10&amp;ResponseFormat=Text</v>
      </c>
      <c r="P933" s="106">
        <f>Cadastro!$P865</f>
        <v>1</v>
      </c>
    </row>
    <row r="934">
      <c r="A934" s="104" t="str">
        <f>Cadastro!$A866</f>
        <v>PMPR-CASCAVEL</v>
      </c>
      <c r="B934" s="104" t="str">
        <f>Cadastro!$B866</f>
        <v>CASCAVEL</v>
      </c>
      <c r="C934" s="107" t="str">
        <f>Cadastro!$C866</f>
        <v>https://monitoramento.pm.pr.gov.br/proxy_image_8/</v>
      </c>
      <c r="D934" s="105">
        <f>Cadastro!$D866</f>
        <v>8601</v>
      </c>
      <c r="E934" s="104" t="str">
        <f>Cadastro!$E866</f>
        <v>USF - Cidade Verde 09</v>
      </c>
      <c r="F934" s="104" t="str">
        <f>Cadastro!$F866</f>
        <v>Câmera situada na recepção da USF do Cidade Verde.</v>
      </c>
      <c r="G934" s="104" t="str">
        <f>Cadastro!$G866</f>
        <v>-24.936823</v>
      </c>
      <c r="H934" s="104" t="str">
        <f>Cadastro!$H866</f>
        <v>-53.491929</v>
      </c>
      <c r="I934" s="104" t="str">
        <f>Cadastro!$I866</f>
        <v>siscop</v>
      </c>
      <c r="J934" s="104" t="str">
        <f>Cadastro!$J866</f>
        <v>Siscop1234</v>
      </c>
      <c r="K934" s="104" t="s">
        <v>4536</v>
      </c>
      <c r="L934" s="104" t="s">
        <v>26</v>
      </c>
      <c r="M934" s="104" t="s">
        <v>27</v>
      </c>
      <c r="N934" s="108" t="str">
        <f t="shared" si="1"/>
        <v>PMPR-CASCAVEL</v>
      </c>
      <c r="O934" s="112" t="str">
        <f>Cadastro!$O866</f>
        <v>https://monitoramento.pm.pr.gov.br/proxy_image_8/Interface/Cameras/GetJPEGStream?Camera=USF - Cidade Verde 09&amp;AuthUser=siscop&amp;AuthPass=Siscop1234&amp;Width=1024&amp;Height=768&amp;Quality=70&amp;FPS=10&amp;ResponseFormat=Text</v>
      </c>
      <c r="P934" s="106">
        <f>Cadastro!$P866</f>
        <v>1</v>
      </c>
    </row>
    <row r="935">
      <c r="A935" s="104" t="str">
        <f>Cadastro!$A867</f>
        <v>PMPR-CASCAVEL</v>
      </c>
      <c r="B935" s="104" t="str">
        <f>Cadastro!$B867</f>
        <v>CASCAVEL</v>
      </c>
      <c r="C935" s="107" t="str">
        <f>Cadastro!$C867</f>
        <v>https://monitoramento.pm.pr.gov.br/proxy_image_8/</v>
      </c>
      <c r="D935" s="105">
        <f>Cadastro!$D867</f>
        <v>8601</v>
      </c>
      <c r="E935" s="104" t="str">
        <f>Cadastro!$E867</f>
        <v>USF - Guaruja 03</v>
      </c>
      <c r="F935" s="104" t="str">
        <f>Cadastro!$F867</f>
        <v>Câmera situada na recepção da USF do Guarujá.</v>
      </c>
      <c r="G935" s="104" t="str">
        <f>Cadastro!$G867</f>
        <v>-24.984344</v>
      </c>
      <c r="H935" s="104" t="str">
        <f>Cadastro!$H867</f>
        <v>-53.501516</v>
      </c>
      <c r="I935" s="104" t="str">
        <f>Cadastro!$I867</f>
        <v>siscop</v>
      </c>
      <c r="J935" s="104" t="str">
        <f>Cadastro!$J867</f>
        <v>Siscop1234</v>
      </c>
      <c r="K935" s="104" t="s">
        <v>4536</v>
      </c>
      <c r="L935" s="104" t="s">
        <v>26</v>
      </c>
      <c r="M935" s="104" t="s">
        <v>27</v>
      </c>
      <c r="N935" s="108" t="str">
        <f t="shared" si="1"/>
        <v>PMPR-CASCAVEL</v>
      </c>
      <c r="O935" s="112" t="str">
        <f>Cadastro!$O867</f>
        <v>https://monitoramento.pm.pr.gov.br/proxy_image_8/Interface/Cameras/GetJPEGStream?Camera=USF - Guaruja 03&amp;AuthUser=siscop&amp;AuthPass=Siscop1234&amp;Width=1024&amp;Height=768&amp;Quality=70&amp;FPS=10&amp;ResponseFormat=Text</v>
      </c>
      <c r="P935" s="106">
        <f>Cadastro!$P867</f>
        <v>1</v>
      </c>
    </row>
    <row r="936">
      <c r="A936" s="104" t="str">
        <f>Cadastro!$A868</f>
        <v>PMPR-CASCAVEL</v>
      </c>
      <c r="B936" s="104" t="str">
        <f>Cadastro!$B868</f>
        <v>CASCAVEL</v>
      </c>
      <c r="C936" s="107" t="str">
        <f>Cadastro!$C868</f>
        <v>https://monitoramento.pm.pr.gov.br/proxy_image_8/</v>
      </c>
      <c r="D936" s="105">
        <f>Cadastro!$D868</f>
        <v>8601</v>
      </c>
      <c r="E936" s="104" t="str">
        <f>Cadastro!$E868</f>
        <v>USF - Guaruja 05</v>
      </c>
      <c r="F936" s="104" t="str">
        <f>Cadastro!$F868</f>
        <v>Câmera situada na recepção da USF do Guarujá.</v>
      </c>
      <c r="G936" s="104" t="str">
        <f>Cadastro!$G868</f>
        <v>-24.984344</v>
      </c>
      <c r="H936" s="104" t="str">
        <f>Cadastro!$H868</f>
        <v>-53.501516</v>
      </c>
      <c r="I936" s="104" t="str">
        <f>Cadastro!$I868</f>
        <v>siscop</v>
      </c>
      <c r="J936" s="104" t="str">
        <f>Cadastro!$J868</f>
        <v>Siscop1234</v>
      </c>
      <c r="K936" s="104" t="s">
        <v>4536</v>
      </c>
      <c r="L936" s="104" t="s">
        <v>26</v>
      </c>
      <c r="M936" s="104" t="s">
        <v>27</v>
      </c>
      <c r="N936" s="108" t="str">
        <f t="shared" si="1"/>
        <v>PMPR-CASCAVEL</v>
      </c>
      <c r="O936" s="112" t="str">
        <f>Cadastro!$O868</f>
        <v>https://monitoramento.pm.pr.gov.br/proxy_image_8/Interface/Cameras/GetJPEGStream?Camera=USF - Guaruja 05&amp;AuthUser=siscop&amp;AuthPass=Siscop1234&amp;Width=1024&amp;Height=768&amp;Quality=70&amp;FPS=10&amp;ResponseFormat=Text</v>
      </c>
      <c r="P936" s="106">
        <f>Cadastro!$P868</f>
        <v>1</v>
      </c>
    </row>
    <row r="937">
      <c r="A937" s="104" t="str">
        <f>Cadastro!$A869</f>
        <v>PMPR-CASCAVEL</v>
      </c>
      <c r="B937" s="104" t="str">
        <f>Cadastro!$B869</f>
        <v>CASCAVEL</v>
      </c>
      <c r="C937" s="107" t="str">
        <f>Cadastro!$C869</f>
        <v>https://monitoramento.pm.pr.gov.br/proxy_image_8/</v>
      </c>
      <c r="D937" s="105">
        <f>Cadastro!$D869</f>
        <v>8601</v>
      </c>
      <c r="E937" s="104" t="str">
        <f>Cadastro!$E869</f>
        <v>USF - Morumbi 01</v>
      </c>
      <c r="F937" s="104" t="str">
        <f>Cadastro!$F869</f>
        <v>Câmera situada do lado de fora da USF do Morumbi.</v>
      </c>
      <c r="G937" s="104" t="str">
        <f>Cadastro!$G869</f>
        <v>-24.937795</v>
      </c>
      <c r="H937" s="104" t="str">
        <f>Cadastro!$H869</f>
        <v>-53.405199</v>
      </c>
      <c r="I937" s="104" t="str">
        <f>Cadastro!$I869</f>
        <v>siscop</v>
      </c>
      <c r="J937" s="104" t="str">
        <f>Cadastro!$J869</f>
        <v>Siscop1234</v>
      </c>
      <c r="K937" s="104" t="s">
        <v>4536</v>
      </c>
      <c r="L937" s="104" t="s">
        <v>26</v>
      </c>
      <c r="M937" s="104" t="s">
        <v>27</v>
      </c>
      <c r="N937" s="108" t="str">
        <f t="shared" si="1"/>
        <v>PMPR-CASCAVEL</v>
      </c>
      <c r="O937" s="112" t="str">
        <f>Cadastro!$O869</f>
        <v>https://monitoramento.pm.pr.gov.br/proxy_image_8/Interface/Cameras/GetJPEGStream?Camera=USF - Morumbi 01&amp;AuthUser=siscop&amp;AuthPass=Siscop1234&amp;Width=1024&amp;Height=768&amp;Quality=70&amp;FPS=10&amp;ResponseFormat=Text</v>
      </c>
      <c r="P937" s="106">
        <f>Cadastro!$P869</f>
        <v>1</v>
      </c>
    </row>
    <row r="938">
      <c r="A938" s="104" t="str">
        <f>Cadastro!$A870</f>
        <v>PMPR-CASCAVEL</v>
      </c>
      <c r="B938" s="104" t="str">
        <f>Cadastro!$B870</f>
        <v>CASCAVEL</v>
      </c>
      <c r="C938" s="107" t="str">
        <f>Cadastro!$C870</f>
        <v>https://monitoramento.pm.pr.gov.br/proxy_image_8/</v>
      </c>
      <c r="D938" s="105">
        <f>Cadastro!$D870</f>
        <v>8601</v>
      </c>
      <c r="E938" s="104" t="str">
        <f>Cadastro!$E870</f>
        <v>USF - Morumbi 02</v>
      </c>
      <c r="F938" s="104" t="str">
        <f>Cadastro!$F870</f>
        <v>Câmera situada na recepção da USF do Morumbi.</v>
      </c>
      <c r="G938" s="104" t="str">
        <f>Cadastro!$G870</f>
        <v>-24.937795</v>
      </c>
      <c r="H938" s="104" t="str">
        <f>Cadastro!$H870</f>
        <v>-53.405199</v>
      </c>
      <c r="I938" s="104" t="str">
        <f>Cadastro!$I870</f>
        <v>siscop</v>
      </c>
      <c r="J938" s="104" t="str">
        <f>Cadastro!$J870</f>
        <v>Siscop1234</v>
      </c>
      <c r="K938" s="104" t="s">
        <v>4536</v>
      </c>
      <c r="L938" s="104" t="s">
        <v>26</v>
      </c>
      <c r="M938" s="104" t="s">
        <v>27</v>
      </c>
      <c r="N938" s="108" t="str">
        <f t="shared" si="1"/>
        <v>PMPR-CASCAVEL</v>
      </c>
      <c r="O938" s="112" t="str">
        <f>Cadastro!$O870</f>
        <v>https://monitoramento.pm.pr.gov.br/proxy_image_8/Interface/Cameras/GetJPEGStream?Camera=USF - Morumbi 02&amp;AuthUser=siscop&amp;AuthPass=Siscop1234&amp;Width=1024&amp;Height=768&amp;Quality=70&amp;FPS=10&amp;ResponseFormat=Text</v>
      </c>
      <c r="P938" s="106">
        <f>Cadastro!$P870</f>
        <v>1</v>
      </c>
    </row>
    <row r="939">
      <c r="A939" s="104" t="str">
        <f>Cadastro!$A871</f>
        <v>PMPR-CASCAVEL</v>
      </c>
      <c r="B939" s="104" t="str">
        <f>Cadastro!$B871</f>
        <v>CASCAVEL</v>
      </c>
      <c r="C939" s="107" t="str">
        <f>Cadastro!$C871</f>
        <v>https://monitoramento.pm.pr.gov.br/proxy_image_8/</v>
      </c>
      <c r="D939" s="105">
        <f>Cadastro!$D871</f>
        <v>8601</v>
      </c>
      <c r="E939" s="104" t="str">
        <f>Cadastro!$E871</f>
        <v>USF - Rio do Salto 08</v>
      </c>
      <c r="F939" s="104" t="str">
        <f>Cadastro!$F871</f>
        <v>Câmera situada no estacionamento da USF do Rio do Salto.</v>
      </c>
      <c r="G939" s="104" t="str">
        <f>Cadastro!$G871</f>
        <v>-25.140571</v>
      </c>
      <c r="H939" s="104" t="str">
        <f>Cadastro!$H871</f>
        <v>-53.336147</v>
      </c>
      <c r="I939" s="104" t="str">
        <f>Cadastro!$I871</f>
        <v>siscop</v>
      </c>
      <c r="J939" s="104" t="str">
        <f>Cadastro!$J871</f>
        <v>Siscop1234</v>
      </c>
      <c r="K939" s="104" t="s">
        <v>4536</v>
      </c>
      <c r="L939" s="104" t="s">
        <v>26</v>
      </c>
      <c r="M939" s="104" t="s">
        <v>27</v>
      </c>
      <c r="N939" s="108" t="str">
        <f t="shared" si="1"/>
        <v>PMPR-CASCAVEL</v>
      </c>
      <c r="O939" s="112" t="str">
        <f>Cadastro!$O871</f>
        <v>https://monitoramento.pm.pr.gov.br/proxy_image_8/Interface/Cameras/GetJPEGStream?Camera=USF - Rio do Salto 08&amp;AuthUser=siscop&amp;AuthPass=Siscop1234&amp;Width=1024&amp;Height=768&amp;Quality=70&amp;FPS=10&amp;ResponseFormat=Text</v>
      </c>
      <c r="P939" s="106">
        <f>Cadastro!$P871</f>
        <v>1</v>
      </c>
    </row>
    <row r="940">
      <c r="A940" s="104" t="str">
        <f>Cadastro!$A872</f>
        <v>PMPR-CASCAVEL</v>
      </c>
      <c r="B940" s="104" t="str">
        <f>Cadastro!$B872</f>
        <v>CASCAVEL</v>
      </c>
      <c r="C940" s="107" t="str">
        <f>Cadastro!$C872</f>
        <v>https://monitoramento.pm.pr.gov.br/proxy_image_8/</v>
      </c>
      <c r="D940" s="105">
        <f>Cadastro!$D872</f>
        <v>8601</v>
      </c>
      <c r="E940" s="104" t="str">
        <f>Cadastro!$E872</f>
        <v>USF - Rio do Salto 09</v>
      </c>
      <c r="F940" s="104" t="str">
        <f>Cadastro!$F872</f>
        <v>Câmera situada na recepção da USF do Rio do Salto.</v>
      </c>
      <c r="G940" s="104" t="str">
        <f>Cadastro!$G872</f>
        <v>-25.140571</v>
      </c>
      <c r="H940" s="104" t="str">
        <f>Cadastro!$H872</f>
        <v>-53.336147</v>
      </c>
      <c r="I940" s="104" t="str">
        <f>Cadastro!$I872</f>
        <v>siscop</v>
      </c>
      <c r="J940" s="104" t="str">
        <f>Cadastro!$J872</f>
        <v>Siscop1234</v>
      </c>
      <c r="K940" s="104" t="s">
        <v>4536</v>
      </c>
      <c r="L940" s="104" t="s">
        <v>26</v>
      </c>
      <c r="M940" s="104" t="s">
        <v>27</v>
      </c>
      <c r="N940" s="108" t="str">
        <f t="shared" si="1"/>
        <v>PMPR-CASCAVEL</v>
      </c>
      <c r="O940" s="112" t="str">
        <f>Cadastro!$O872</f>
        <v>https://monitoramento.pm.pr.gov.br/proxy_image_8/Interface/Cameras/GetJPEGStream?Camera=USF - Rio do Salto 09&amp;AuthUser=siscop&amp;AuthPass=Siscop1234&amp;Width=1024&amp;Height=768&amp;Quality=70&amp;FPS=10&amp;ResponseFormat=Text</v>
      </c>
      <c r="P940" s="106">
        <f>Cadastro!$P872</f>
        <v>1</v>
      </c>
    </row>
    <row r="941">
      <c r="A941" s="104" t="str">
        <f>Cadastro!$A873</f>
        <v>PMPR-CASCAVEL</v>
      </c>
      <c r="B941" s="104" t="str">
        <f>Cadastro!$B873</f>
        <v>CASCAVEL</v>
      </c>
      <c r="C941" s="107" t="str">
        <f>Cadastro!$C873</f>
        <v>https://monitoramento.pm.pr.gov.br/proxy_image_8/</v>
      </c>
      <c r="D941" s="105">
        <f>Cadastro!$D873</f>
        <v>8601</v>
      </c>
      <c r="E941" s="104" t="str">
        <f>Cadastro!$E873</f>
        <v>USF - Sanga Funda 01</v>
      </c>
      <c r="F941" s="104" t="str">
        <f>Cadastro!$F873</f>
        <v>Câmera situada na recepção da USF do Sanga Funda.</v>
      </c>
      <c r="G941" s="104" t="str">
        <f>Cadastro!$G873</f>
        <v>-24.911543</v>
      </c>
      <c r="H941" s="104" t="str">
        <f>Cadastro!$H873</f>
        <v>-53.428009</v>
      </c>
      <c r="I941" s="104" t="str">
        <f>Cadastro!$I873</f>
        <v>siscop</v>
      </c>
      <c r="J941" s="104" t="str">
        <f>Cadastro!$J873</f>
        <v>Siscop1234</v>
      </c>
      <c r="K941" s="104" t="s">
        <v>4536</v>
      </c>
      <c r="L941" s="104" t="s">
        <v>26</v>
      </c>
      <c r="M941" s="104" t="s">
        <v>27</v>
      </c>
      <c r="N941" s="108" t="str">
        <f t="shared" si="1"/>
        <v>PMPR-CASCAVEL</v>
      </c>
      <c r="O941" s="112" t="str">
        <f>Cadastro!$O873</f>
        <v>https://monitoramento.pm.pr.gov.br/proxy_image_8/Interface/Cameras/GetJPEGStream?Camera=USF - Sanga Funda 01&amp;AuthUser=siscop&amp;AuthPass=Siscop1234&amp;Width=1024&amp;Height=768&amp;Quality=70&amp;FPS=10&amp;ResponseFormat=Text</v>
      </c>
      <c r="P941" s="106">
        <f>Cadastro!$P873</f>
        <v>1</v>
      </c>
    </row>
    <row r="942">
      <c r="A942" s="104" t="str">
        <f>Cadastro!$A874</f>
        <v>PMPR-CASCAVEL</v>
      </c>
      <c r="B942" s="104" t="str">
        <f>Cadastro!$B874</f>
        <v>CASCAVEL</v>
      </c>
      <c r="C942" s="107" t="str">
        <f>Cadastro!$C874</f>
        <v>https://monitoramento.pm.pr.gov.br/proxy_image_8/</v>
      </c>
      <c r="D942" s="105">
        <f>Cadastro!$D874</f>
        <v>8601</v>
      </c>
      <c r="E942" s="104" t="str">
        <f>Cadastro!$E874</f>
        <v>USF - Sanga Funda 09</v>
      </c>
      <c r="F942" s="104" t="str">
        <f>Cadastro!$F874</f>
        <v>Câmera situada na porta da frente da USF do Sanga Funda.</v>
      </c>
      <c r="G942" s="104" t="str">
        <f>Cadastro!$G874</f>
        <v>-24.911543</v>
      </c>
      <c r="H942" s="104" t="str">
        <f>Cadastro!$H874</f>
        <v>-53.428009</v>
      </c>
      <c r="I942" s="104" t="str">
        <f>Cadastro!$I874</f>
        <v>siscop</v>
      </c>
      <c r="J942" s="104" t="str">
        <f>Cadastro!$J874</f>
        <v>Siscop1234</v>
      </c>
      <c r="K942" s="104" t="s">
        <v>4536</v>
      </c>
      <c r="L942" s="104" t="s">
        <v>26</v>
      </c>
      <c r="M942" s="104" t="s">
        <v>27</v>
      </c>
      <c r="N942" s="108" t="str">
        <f t="shared" si="1"/>
        <v>PMPR-CASCAVEL</v>
      </c>
      <c r="O942" s="112" t="str">
        <f>Cadastro!$O874</f>
        <v>https://monitoramento.pm.pr.gov.br/proxy_image_8/Interface/Cameras/GetJPEGStream?Camera=USF - Sanga Funda 09&amp;AuthUser=siscop&amp;AuthPass=Siscop1234&amp;Width=1024&amp;Height=768&amp;Quality=70&amp;FPS=10&amp;ResponseFormat=Text</v>
      </c>
      <c r="P942" s="106">
        <f>Cadastro!$P874</f>
        <v>1</v>
      </c>
    </row>
    <row r="943">
      <c r="A943" s="104" t="str">
        <f>Cadastro!$A875</f>
        <v>PMPR-CASCAVEL</v>
      </c>
      <c r="B943" s="104" t="str">
        <f>Cadastro!$B875</f>
        <v>CASCAVEL</v>
      </c>
      <c r="C943" s="107" t="str">
        <f>Cadastro!$C875</f>
        <v>https://monitoramento.pm.pr.gov.br/proxy_image_8/</v>
      </c>
      <c r="D943" s="105">
        <f>Cadastro!$D875</f>
        <v>8601</v>
      </c>
      <c r="E943" s="104" t="str">
        <f>Cadastro!$E875</f>
        <v>USF - Sanga Funda 10</v>
      </c>
      <c r="F943" s="104" t="str">
        <f>Cadastro!$F875</f>
        <v>Câmera situada na porta da frente da USF do Sanga Funda.</v>
      </c>
      <c r="G943" s="104" t="str">
        <f>Cadastro!$G875</f>
        <v>-24.911543</v>
      </c>
      <c r="H943" s="104" t="str">
        <f>Cadastro!$H875</f>
        <v>-53.428009</v>
      </c>
      <c r="I943" s="104" t="str">
        <f>Cadastro!$I875</f>
        <v>siscop</v>
      </c>
      <c r="J943" s="104" t="str">
        <f>Cadastro!$J875</f>
        <v>Siscop1234</v>
      </c>
      <c r="K943" s="104" t="s">
        <v>4536</v>
      </c>
      <c r="L943" s="104" t="s">
        <v>26</v>
      </c>
      <c r="M943" s="104" t="s">
        <v>27</v>
      </c>
      <c r="N943" s="108" t="str">
        <f t="shared" si="1"/>
        <v>PMPR-CASCAVEL</v>
      </c>
      <c r="O943" s="112" t="str">
        <f>Cadastro!$O875</f>
        <v>https://monitoramento.pm.pr.gov.br/proxy_image_8/Interface/Cameras/GetJPEGStream?Camera=USF - Sanga Funda 10&amp;AuthUser=siscop&amp;AuthPass=Siscop1234&amp;Width=1024&amp;Height=768&amp;Quality=70&amp;FPS=10&amp;ResponseFormat=Text</v>
      </c>
      <c r="P943" s="106">
        <f>Cadastro!$P875</f>
        <v>1</v>
      </c>
    </row>
    <row r="944">
      <c r="A944" s="104" t="str">
        <f>Cadastro!$A876</f>
        <v>PMPR-CASCAVEL</v>
      </c>
      <c r="B944" s="104" t="str">
        <f>Cadastro!$B876</f>
        <v>CASCAVEL</v>
      </c>
      <c r="C944" s="107" t="str">
        <f>Cadastro!$C876</f>
        <v>https://monitoramento.pm.pr.gov.br/proxy_image_8/</v>
      </c>
      <c r="D944" s="105">
        <f>Cadastro!$D876</f>
        <v>8601</v>
      </c>
      <c r="E944" s="104" t="str">
        <f>Cadastro!$E876</f>
        <v>USF - Santo Inacio 07</v>
      </c>
      <c r="F944" s="104" t="str">
        <f>Cadastro!$F876</f>
        <v>Câmera situada no lado de fora da USF do Santo Inácio.</v>
      </c>
      <c r="G944" s="104" t="str">
        <f>Cadastro!$G876</f>
        <v>-24.949689</v>
      </c>
      <c r="H944" s="104" t="str">
        <f>Cadastro!$H876</f>
        <v>-53.507956</v>
      </c>
      <c r="I944" s="104" t="str">
        <f>Cadastro!$I876</f>
        <v>siscop</v>
      </c>
      <c r="J944" s="104" t="str">
        <f>Cadastro!$J876</f>
        <v>Siscop1234</v>
      </c>
      <c r="K944" s="104" t="s">
        <v>4536</v>
      </c>
      <c r="L944" s="104" t="s">
        <v>26</v>
      </c>
      <c r="M944" s="104" t="s">
        <v>27</v>
      </c>
      <c r="N944" s="108" t="str">
        <f t="shared" si="1"/>
        <v>PMPR-CASCAVEL</v>
      </c>
      <c r="O944" s="112" t="str">
        <f>Cadastro!$O876</f>
        <v>https://monitoramento.pm.pr.gov.br/proxy_image_8/Interface/Cameras/GetJPEGStream?Camera=USF - Santo Inacio 07&amp;AuthUser=siscop&amp;AuthPass=Siscop1234&amp;Width=1024&amp;Height=768&amp;Quality=70&amp;FPS=10&amp;ResponseFormat=Text</v>
      </c>
      <c r="P944" s="106">
        <f>Cadastro!$P876</f>
        <v>1</v>
      </c>
    </row>
    <row r="945">
      <c r="A945" s="104" t="str">
        <f>Cadastro!$A877</f>
        <v>PMPR-CASCAVEL</v>
      </c>
      <c r="B945" s="104" t="str">
        <f>Cadastro!$B877</f>
        <v>CASCAVEL</v>
      </c>
      <c r="C945" s="107" t="str">
        <f>Cadastro!$C877</f>
        <v>https://monitoramento.pm.pr.gov.br/proxy_image_8/</v>
      </c>
      <c r="D945" s="105">
        <f>Cadastro!$D877</f>
        <v>8601</v>
      </c>
      <c r="E945" s="104" t="str">
        <f>Cadastro!$E877</f>
        <v>USF - Santo Inacio 08</v>
      </c>
      <c r="F945" s="104" t="str">
        <f>Cadastro!$F877</f>
        <v>Câmera situada na recepção da USF do Santo Inácio.</v>
      </c>
      <c r="G945" s="104" t="str">
        <f>Cadastro!$G877</f>
        <v>-24.949689</v>
      </c>
      <c r="H945" s="104" t="str">
        <f>Cadastro!$H877</f>
        <v>-53.507956</v>
      </c>
      <c r="I945" s="104" t="str">
        <f>Cadastro!$I877</f>
        <v>siscop</v>
      </c>
      <c r="J945" s="104" t="str">
        <f>Cadastro!$J877</f>
        <v>Siscop1234</v>
      </c>
      <c r="K945" s="104" t="s">
        <v>4536</v>
      </c>
      <c r="L945" s="104" t="s">
        <v>26</v>
      </c>
      <c r="M945" s="104" t="s">
        <v>27</v>
      </c>
      <c r="N945" s="108" t="str">
        <f t="shared" si="1"/>
        <v>PMPR-CASCAVEL</v>
      </c>
      <c r="O945" s="112" t="str">
        <f>Cadastro!$O877</f>
        <v>https://monitoramento.pm.pr.gov.br/proxy_image_8/Interface/Cameras/GetJPEGStream?Camera=USF - Santo Inacio 08&amp;AuthUser=siscop&amp;AuthPass=Siscop1234&amp;Width=1024&amp;Height=768&amp;Quality=70&amp;FPS=10&amp;ResponseFormat=Text</v>
      </c>
      <c r="P945" s="106">
        <f>Cadastro!$P877</f>
        <v>1</v>
      </c>
    </row>
    <row r="946">
      <c r="A946" s="104" t="str">
        <f>Cadastro!$A878</f>
        <v>PMPR-CASCAVEL</v>
      </c>
      <c r="B946" s="104" t="str">
        <f>Cadastro!$B878</f>
        <v>CASCAVEL</v>
      </c>
      <c r="C946" s="107" t="str">
        <f>Cadastro!$C878</f>
        <v>https://monitoramento.pm.pr.gov.br/proxy_image_8/</v>
      </c>
      <c r="D946" s="105">
        <f>Cadastro!$D878</f>
        <v>8601</v>
      </c>
      <c r="E946" s="104" t="str">
        <f>Cadastro!$E878</f>
        <v>USF - Universitario 03</v>
      </c>
      <c r="F946" s="104" t="str">
        <f>Cadastro!$F878</f>
        <v>Câmera situada ao lado de fora da USF do Universitário.</v>
      </c>
      <c r="G946" s="104" t="str">
        <f>Cadastro!$G878</f>
        <v>-24.979856</v>
      </c>
      <c r="H946" s="104" t="str">
        <f>Cadastro!$H878</f>
        <v>-53.443900</v>
      </c>
      <c r="I946" s="104" t="str">
        <f>Cadastro!$I878</f>
        <v>siscop</v>
      </c>
      <c r="J946" s="104" t="str">
        <f>Cadastro!$J878</f>
        <v>Siscop1234</v>
      </c>
      <c r="K946" s="104" t="s">
        <v>4536</v>
      </c>
      <c r="L946" s="104" t="s">
        <v>26</v>
      </c>
      <c r="M946" s="104" t="s">
        <v>27</v>
      </c>
      <c r="N946" s="108" t="str">
        <f t="shared" si="1"/>
        <v>PMPR-CASCAVEL</v>
      </c>
      <c r="O946" s="112" t="str">
        <f>Cadastro!$O878</f>
        <v>https://monitoramento.pm.pr.gov.br/proxy_image_8/Interface/Cameras/GetJPEGStream?Camera=USF - Universitario 03&amp;AuthUser=siscop&amp;AuthPass=Siscop1234&amp;Width=1024&amp;Height=768&amp;Quality=70&amp;FPS=10&amp;ResponseFormat=Text</v>
      </c>
      <c r="P946" s="106">
        <f>Cadastro!$P878</f>
        <v>1</v>
      </c>
    </row>
    <row r="947">
      <c r="A947" s="104" t="str">
        <f>Cadastro!$A879</f>
        <v>PMPR-CASCAVEL</v>
      </c>
      <c r="B947" s="104" t="str">
        <f>Cadastro!$B879</f>
        <v>CASCAVEL</v>
      </c>
      <c r="C947" s="107" t="str">
        <f>Cadastro!$C879</f>
        <v>https://monitoramento.pm.pr.gov.br/proxy_image_8/</v>
      </c>
      <c r="D947" s="105">
        <f>Cadastro!$D879</f>
        <v>8601</v>
      </c>
      <c r="E947" s="104" t="str">
        <f>Cadastro!$E879</f>
        <v>USF - Universitario 04</v>
      </c>
      <c r="F947" s="104" t="str">
        <f>Cadastro!$F879</f>
        <v>Câmera situada na recepção da USF do Universitário.</v>
      </c>
      <c r="G947" s="104" t="str">
        <f>Cadastro!$G879</f>
        <v>-24.979856</v>
      </c>
      <c r="H947" s="104" t="str">
        <f>Cadastro!$H879</f>
        <v>-53.443900</v>
      </c>
      <c r="I947" s="104" t="str">
        <f>Cadastro!$I879</f>
        <v>siscop</v>
      </c>
      <c r="J947" s="104" t="str">
        <f>Cadastro!$J879</f>
        <v>Siscop1234</v>
      </c>
      <c r="K947" s="104" t="s">
        <v>4536</v>
      </c>
      <c r="L947" s="104" t="s">
        <v>26</v>
      </c>
      <c r="M947" s="104" t="s">
        <v>27</v>
      </c>
      <c r="N947" s="108" t="str">
        <f t="shared" si="1"/>
        <v>PMPR-CASCAVEL</v>
      </c>
      <c r="O947" s="112" t="str">
        <f>Cadastro!$O879</f>
        <v>https://monitoramento.pm.pr.gov.br/proxy_image_8/Interface/Cameras/GetJPEGStream?Camera=USF - Universitario 04&amp;AuthUser=siscop&amp;AuthPass=Siscop1234&amp;Width=1024&amp;Height=768&amp;Quality=70&amp;FPS=10&amp;ResponseFormat=Text</v>
      </c>
      <c r="P947" s="106">
        <f>Cadastro!$P879</f>
        <v>1</v>
      </c>
    </row>
    <row r="948">
      <c r="A948" s="104" t="str">
        <f>Cadastro!$A880</f>
        <v>GMC-CURITIBA</v>
      </c>
      <c r="B948" s="104" t="str">
        <f>Cadastro!$B880</f>
        <v>CURITIBA</v>
      </c>
      <c r="C948" s="107" t="str">
        <f>Cadastro!$C880</f>
        <v>https://monitoramento.pm.pr.gov.br/proxy_image_16/</v>
      </c>
      <c r="D948" s="105">
        <f>Cadastro!$D880</f>
        <v>8601</v>
      </c>
      <c r="E948" s="104" t="str">
        <f>Cadastro!$E880</f>
        <v>GCM01</v>
      </c>
      <c r="F948" s="104" t="str">
        <f>Cadastro!$F880</f>
        <v>praça santos andrade-frente a UFPR</v>
      </c>
      <c r="G948" s="104" t="str">
        <f>Cadastro!$G880</f>
        <v>-25.429161</v>
      </c>
      <c r="H948" s="104" t="str">
        <f>Cadastro!$H880</f>
        <v>-49.267213</v>
      </c>
      <c r="I948" s="104" t="str">
        <f>Cadastro!$I880</f>
        <v>siscop</v>
      </c>
      <c r="J948" s="104" t="str">
        <f>Cadastro!$J880</f>
        <v>Siscop1234</v>
      </c>
      <c r="K948" s="104" t="s">
        <v>4536</v>
      </c>
      <c r="L948" s="104" t="s">
        <v>26</v>
      </c>
      <c r="M948" s="104" t="s">
        <v>27</v>
      </c>
      <c r="N948" s="108" t="str">
        <f t="shared" si="1"/>
        <v>GMC-CURITIBA</v>
      </c>
      <c r="O948" s="109" t="str">
        <f>Cadastro!$O880</f>
        <v>https://monitoramento.pm.pr.gov.br/proxy_image_16/Interface/Cameras/GetJPEGStream?Camera=GCM01&amp;AuthUser=siscop&amp;AuthPass=Siscop1234&amp;Width=1024&amp;Height=768&amp;Quality=70&amp;FPS=10&amp;ResponseFormat=Text</v>
      </c>
      <c r="P948" s="106">
        <f>Cadastro!$P880</f>
        <v>1</v>
      </c>
    </row>
    <row r="949">
      <c r="A949" s="104" t="str">
        <f>Cadastro!$A881</f>
        <v>GMC-CURITIBA</v>
      </c>
      <c r="B949" s="104" t="str">
        <f>Cadastro!$B881</f>
        <v>CURITIBA</v>
      </c>
      <c r="C949" s="107" t="str">
        <f>Cadastro!$C881</f>
        <v>https://monitoramento.pm.pr.gov.br/proxy_image_16/</v>
      </c>
      <c r="D949" s="105">
        <f>Cadastro!$D881</f>
        <v>8601</v>
      </c>
      <c r="E949" s="104" t="str">
        <f>Cadastro!$E881</f>
        <v>GCM02</v>
      </c>
      <c r="F949" s="104" t="str">
        <f>Cadastro!$F881</f>
        <v>praça santos andrade-fixa</v>
      </c>
      <c r="G949" s="104" t="str">
        <f>Cadastro!$G881</f>
        <v>-25.429030</v>
      </c>
      <c r="H949" s="104" t="str">
        <f>Cadastro!$H881</f>
        <v>-49.267271</v>
      </c>
      <c r="I949" s="104" t="str">
        <f>Cadastro!$I881</f>
        <v>siscop</v>
      </c>
      <c r="J949" s="104" t="str">
        <f>Cadastro!$J881</f>
        <v>Siscop1234</v>
      </c>
      <c r="K949" s="104" t="s">
        <v>4536</v>
      </c>
      <c r="L949" s="104" t="s">
        <v>26</v>
      </c>
      <c r="M949" s="104" t="s">
        <v>27</v>
      </c>
      <c r="N949" s="108" t="str">
        <f t="shared" si="1"/>
        <v>GMC-CURITIBA</v>
      </c>
      <c r="O949" s="109" t="str">
        <f>Cadastro!$O881</f>
        <v>https://monitoramento.pm.pr.gov.br/proxy_image_16/Interface/Cameras/GetJPEGStream?Camera=GCM02&amp;AuthUser=siscop&amp;AuthPass=Siscop1234&amp;Width=1024&amp;Height=768&amp;Quality=70&amp;FPS=10&amp;ResponseFormat=Text</v>
      </c>
      <c r="P949" s="106">
        <f>Cadastro!$P881</f>
        <v>1</v>
      </c>
    </row>
    <row r="950">
      <c r="A950" s="104" t="str">
        <f>Cadastro!$A882</f>
        <v>GMC-CURITIBA</v>
      </c>
      <c r="B950" s="104" t="str">
        <f>Cadastro!$B882</f>
        <v>CURITIBA</v>
      </c>
      <c r="C950" s="107" t="str">
        <f>Cadastro!$C882</f>
        <v>https://monitoramento.pm.pr.gov.br/proxy_image_16/</v>
      </c>
      <c r="D950" s="105">
        <f>Cadastro!$D882</f>
        <v>8601</v>
      </c>
      <c r="E950" s="104" t="str">
        <f>Cadastro!$E882</f>
        <v>GCM03</v>
      </c>
      <c r="F950" s="104" t="str">
        <f>Cadastro!$F882</f>
        <v>rua xv,n 621-acp esquina com rua presidente faria</v>
      </c>
      <c r="G950" s="104" t="str">
        <f>Cadastro!$G882</f>
        <v>-25.429681</v>
      </c>
      <c r="H950" s="104" t="str">
        <f>Cadastro!$H882</f>
        <v>-49.267824</v>
      </c>
      <c r="I950" s="104" t="str">
        <f>Cadastro!$I882</f>
        <v>siscop</v>
      </c>
      <c r="J950" s="104" t="str">
        <f>Cadastro!$J882</f>
        <v>Siscop1234</v>
      </c>
      <c r="K950" s="104" t="s">
        <v>4536</v>
      </c>
      <c r="L950" s="104" t="s">
        <v>26</v>
      </c>
      <c r="M950" s="104" t="s">
        <v>27</v>
      </c>
      <c r="N950" s="108" t="str">
        <f t="shared" si="1"/>
        <v>GMC-CURITIBA</v>
      </c>
      <c r="O950" s="109" t="str">
        <f>Cadastro!$O882</f>
        <v>https://monitoramento.pm.pr.gov.br/proxy_image_16/Interface/Cameras/GetJPEGStream?Camera=GCM03&amp;AuthUser=siscop&amp;AuthPass=Siscop1234&amp;Width=1024&amp;Height=768&amp;Quality=70&amp;FPS=10&amp;ResponseFormat=Text</v>
      </c>
      <c r="P950" s="106">
        <f>Cadastro!$P882</f>
        <v>1</v>
      </c>
    </row>
    <row r="951">
      <c r="A951" s="104" t="str">
        <f>Cadastro!$A883</f>
        <v>GMC-CURITIBA</v>
      </c>
      <c r="B951" s="104" t="str">
        <f>Cadastro!$B883</f>
        <v>CURITIBA</v>
      </c>
      <c r="C951" s="107" t="str">
        <f>Cadastro!$C883</f>
        <v>https://monitoramento.pm.pr.gov.br/proxy_image_16/</v>
      </c>
      <c r="D951" s="105">
        <f>Cadastro!$D883</f>
        <v>8601</v>
      </c>
      <c r="E951" s="104" t="str">
        <f>Cadastro!$E883</f>
        <v>GCM04</v>
      </c>
      <c r="F951" s="104" t="str">
        <f>Cadastro!$F883</f>
        <v>rua. xv esquina com r. barão do rio branco , n 525-cta1262</v>
      </c>
      <c r="G951" s="104" t="str">
        <f>Cadastro!$G883</f>
        <v>-25.430214</v>
      </c>
      <c r="H951" s="104" t="str">
        <f>Cadastro!$H883</f>
        <v>-49.269173</v>
      </c>
      <c r="I951" s="104" t="str">
        <f>Cadastro!$I883</f>
        <v>siscop</v>
      </c>
      <c r="J951" s="104" t="str">
        <f>Cadastro!$J883</f>
        <v>Siscop1234</v>
      </c>
      <c r="K951" s="104" t="s">
        <v>4536</v>
      </c>
      <c r="L951" s="104" t="s">
        <v>26</v>
      </c>
      <c r="M951" s="104" t="s">
        <v>27</v>
      </c>
      <c r="N951" s="108" t="str">
        <f t="shared" si="1"/>
        <v>GMC-CURITIBA</v>
      </c>
      <c r="O951" s="109" t="str">
        <f>Cadastro!$O883</f>
        <v>https://monitoramento.pm.pr.gov.br/proxy_image_16/Interface/Cameras/GetJPEGStream?Camera=GCM04&amp;AuthUser=siscop&amp;AuthPass=Siscop1234&amp;Width=1024&amp;Height=768&amp;Quality=70&amp;FPS=10&amp;ResponseFormat=Text</v>
      </c>
      <c r="P951" s="106">
        <f>Cadastro!$P883</f>
        <v>1</v>
      </c>
    </row>
    <row r="952">
      <c r="A952" s="104" t="str">
        <f>Cadastro!$A884</f>
        <v>GMC-CURITIBA</v>
      </c>
      <c r="B952" s="104" t="str">
        <f>Cadastro!$B884</f>
        <v>CURITIBA</v>
      </c>
      <c r="C952" s="107" t="str">
        <f>Cadastro!$C884</f>
        <v>https://monitoramento.pm.pr.gov.br/proxy_image_16/</v>
      </c>
      <c r="D952" s="105">
        <f>Cadastro!$D884</f>
        <v>8601</v>
      </c>
      <c r="E952" s="104" t="str">
        <f>Cadastro!$E884</f>
        <v>GCM05</v>
      </c>
      <c r="F952" s="104" t="str">
        <f>Cadastro!$F884</f>
        <v>RUA XV, N 382-LOJAS RENER-CTA1264</v>
      </c>
      <c r="G952" s="104" t="str">
        <f>Cadastro!$G884</f>
        <v>-25.430559</v>
      </c>
      <c r="H952" s="104" t="str">
        <f>Cadastro!$H884</f>
        <v>-49.270039</v>
      </c>
      <c r="I952" s="104" t="str">
        <f>Cadastro!$I884</f>
        <v>siscop</v>
      </c>
      <c r="J952" s="104" t="str">
        <f>Cadastro!$J884</f>
        <v>Siscop1234</v>
      </c>
      <c r="K952" s="104" t="s">
        <v>4536</v>
      </c>
      <c r="L952" s="104" t="s">
        <v>26</v>
      </c>
      <c r="M952" s="104" t="s">
        <v>27</v>
      </c>
      <c r="N952" s="108" t="str">
        <f t="shared" si="1"/>
        <v>GMC-CURITIBA</v>
      </c>
      <c r="O952" s="109" t="str">
        <f>Cadastro!$O884</f>
        <v>https://monitoramento.pm.pr.gov.br/proxy_image_16/Interface/Cameras/GetJPEGStream?Camera=GCM05&amp;AuthUser=siscop&amp;AuthPass=Siscop1234&amp;Width=1024&amp;Height=768&amp;Quality=70&amp;FPS=10&amp;ResponseFormat=Text</v>
      </c>
      <c r="P952" s="106">
        <f>Cadastro!$P884</f>
        <v>1</v>
      </c>
    </row>
    <row r="953">
      <c r="A953" s="104" t="str">
        <f>Cadastro!$A885</f>
        <v>GMC-CURITIBA</v>
      </c>
      <c r="B953" s="104" t="str">
        <f>Cadastro!$B885</f>
        <v>CURITIBA</v>
      </c>
      <c r="C953" s="107" t="str">
        <f>Cadastro!$C885</f>
        <v>https://monitoramento.pm.pr.gov.br/proxy_image_16/</v>
      </c>
      <c r="D953" s="105">
        <f>Cadastro!$D885</f>
        <v>8601</v>
      </c>
      <c r="E953" s="104" t="str">
        <f>Cadastro!$E885</f>
        <v>GCM06</v>
      </c>
      <c r="F953" s="104" t="str">
        <f>Cadastro!$F885</f>
        <v>RUA XV ESQUINA RUA MONSENHOR CELSO, N 98-BANCO ITAÚ-CATA1265</v>
      </c>
      <c r="G953" s="104" t="str">
        <f>Cadastro!$G885</f>
        <v>-25.430833</v>
      </c>
      <c r="H953" s="104" t="str">
        <f>Cadastro!$H885</f>
        <v>-49.270720</v>
      </c>
      <c r="I953" s="104" t="str">
        <f>Cadastro!$I885</f>
        <v>siscop</v>
      </c>
      <c r="J953" s="104" t="str">
        <f>Cadastro!$J885</f>
        <v>Siscop1234</v>
      </c>
      <c r="K953" s="104" t="s">
        <v>4536</v>
      </c>
      <c r="L953" s="104" t="s">
        <v>26</v>
      </c>
      <c r="M953" s="104" t="s">
        <v>27</v>
      </c>
      <c r="N953" s="108" t="str">
        <f t="shared" si="1"/>
        <v>GMC-CURITIBA</v>
      </c>
      <c r="O953" s="109" t="str">
        <f>Cadastro!$O885</f>
        <v>https://monitoramento.pm.pr.gov.br/proxy_image_16/Interface/Cameras/GetJPEGStream?Camera=GCM06&amp;AuthUser=siscop&amp;AuthPass=Siscop1234&amp;Width=1024&amp;Height=768&amp;Quality=70&amp;FPS=10&amp;ResponseFormat=Text</v>
      </c>
      <c r="P953" s="106">
        <f>Cadastro!$P885</f>
        <v>1</v>
      </c>
    </row>
    <row r="954">
      <c r="A954" s="104" t="str">
        <f>Cadastro!$A886</f>
        <v>GMC-CURITIBA</v>
      </c>
      <c r="B954" s="104" t="str">
        <f>Cadastro!$B886</f>
        <v>CURITIBA</v>
      </c>
      <c r="C954" s="107" t="str">
        <f>Cadastro!$C886</f>
        <v>https://monitoramento.pm.pr.gov.br/proxy_image_16/</v>
      </c>
      <c r="D954" s="105">
        <f>Cadastro!$D886</f>
        <v>8601</v>
      </c>
      <c r="E954" s="104" t="str">
        <f>Cadastro!$E886</f>
        <v>GCM07</v>
      </c>
      <c r="F954" s="104" t="str">
        <f>Cadastro!$F886</f>
        <v>R. XV N245-LOJA MARISA-CTA 1266</v>
      </c>
      <c r="G954" s="104" t="str">
        <f>Cadastro!$G886</f>
        <v>-25.431078</v>
      </c>
      <c r="H954" s="104" t="str">
        <f>Cadastro!$H886</f>
        <v>-49.271418</v>
      </c>
      <c r="I954" s="104" t="str">
        <f>Cadastro!$I886</f>
        <v>siscop</v>
      </c>
      <c r="J954" s="104" t="str">
        <f>Cadastro!$J886</f>
        <v>Siscop1234</v>
      </c>
      <c r="K954" s="104" t="s">
        <v>4536</v>
      </c>
      <c r="L954" s="104" t="s">
        <v>26</v>
      </c>
      <c r="M954" s="104" t="s">
        <v>27</v>
      </c>
      <c r="N954" s="108" t="str">
        <f t="shared" si="1"/>
        <v>GMC-CURITIBA</v>
      </c>
      <c r="O954" s="109" t="str">
        <f>Cadastro!$O886</f>
        <v>https://monitoramento.pm.pr.gov.br/proxy_image_16/Interface/Cameras/GetJPEGStream?Camera=GCM07&amp;AuthUser=siscop&amp;AuthPass=Siscop1234&amp;Width=1024&amp;Height=768&amp;Quality=70&amp;FPS=10&amp;ResponseFormat=Text</v>
      </c>
      <c r="P954" s="106">
        <f>Cadastro!$P886</f>
        <v>1</v>
      </c>
    </row>
    <row r="955">
      <c r="A955" s="104" t="str">
        <f>Cadastro!$A887</f>
        <v>GMC-CURITIBA</v>
      </c>
      <c r="B955" s="104" t="str">
        <f>Cadastro!$B887</f>
        <v>CURITIBA</v>
      </c>
      <c r="C955" s="107" t="str">
        <f>Cadastro!$C887</f>
        <v>https://monitoramento.pm.pr.gov.br/proxy_image_16/</v>
      </c>
      <c r="D955" s="105">
        <f>Cadastro!$D887</f>
        <v>8601</v>
      </c>
      <c r="E955" s="104" t="str">
        <f>Cadastro!$E887</f>
        <v>GCM08</v>
      </c>
      <c r="F955" s="104" t="str">
        <f>Cadastro!$F887</f>
        <v>R. XV COM AV MARECHAL FLORIANO PEIXOTO-GALERIA RITZ-CTA1267</v>
      </c>
      <c r="G955" s="104" t="str">
        <f>Cadastro!$G887</f>
        <v>-25.431251</v>
      </c>
      <c r="H955" s="104" t="str">
        <f>Cadastro!$H887</f>
        <v>-49.271849</v>
      </c>
      <c r="I955" s="104" t="str">
        <f>Cadastro!$I887</f>
        <v>siscop</v>
      </c>
      <c r="J955" s="104" t="str">
        <f>Cadastro!$J887</f>
        <v>Siscop1234</v>
      </c>
      <c r="K955" s="104" t="s">
        <v>4536</v>
      </c>
      <c r="L955" s="104" t="s">
        <v>26</v>
      </c>
      <c r="M955" s="104" t="s">
        <v>27</v>
      </c>
      <c r="N955" s="108" t="str">
        <f t="shared" si="1"/>
        <v>GMC-CURITIBA</v>
      </c>
      <c r="O955" s="109" t="str">
        <f>Cadastro!$O887</f>
        <v>https://monitoramento.pm.pr.gov.br/proxy_image_16/Interface/Cameras/GetJPEGStream?Camera=GCM08&amp;AuthUser=siscop&amp;AuthPass=Siscop1234&amp;Width=1024&amp;Height=768&amp;Quality=70&amp;FPS=10&amp;ResponseFormat=Text</v>
      </c>
      <c r="P955" s="106">
        <f>Cadastro!$P887</f>
        <v>1</v>
      </c>
    </row>
    <row r="956">
      <c r="A956" s="104" t="str">
        <f>Cadastro!$A888</f>
        <v>GMC-CURITIBA</v>
      </c>
      <c r="B956" s="104" t="str">
        <f>Cadastro!$B888</f>
        <v>CURITIBA</v>
      </c>
      <c r="C956" s="107" t="str">
        <f>Cadastro!$C888</f>
        <v>https://monitoramento.pm.pr.gov.br/proxy_image_16/</v>
      </c>
      <c r="D956" s="105">
        <f>Cadastro!$D888</f>
        <v>8601</v>
      </c>
      <c r="E956" s="104" t="str">
        <f>Cadastro!$E888</f>
        <v>GCM09</v>
      </c>
      <c r="F956" s="104" t="str">
        <f>Cadastro!$F888</f>
        <v>R. XV N 141-FRENTE A LOJA CA-CTA1268</v>
      </c>
      <c r="G956" s="104" t="str">
        <f>Cadastro!$G888</f>
        <v>-25.431390</v>
      </c>
      <c r="H956" s="104" t="str">
        <f>Cadastro!$H888</f>
        <v>-49.272221</v>
      </c>
      <c r="I956" s="104" t="str">
        <f>Cadastro!$I888</f>
        <v>siscop</v>
      </c>
      <c r="J956" s="104" t="str">
        <f>Cadastro!$J888</f>
        <v>Siscop1234</v>
      </c>
      <c r="K956" s="104" t="s">
        <v>4536</v>
      </c>
      <c r="L956" s="104" t="s">
        <v>26</v>
      </c>
      <c r="M956" s="104" t="s">
        <v>27</v>
      </c>
      <c r="N956" s="108" t="str">
        <f t="shared" si="1"/>
        <v>GMC-CURITIBA</v>
      </c>
      <c r="O956" s="109" t="str">
        <f>Cadastro!$O888</f>
        <v>https://monitoramento.pm.pr.gov.br/proxy_image_16/Interface/Cameras/GetJPEGStream?Camera=GCM09&amp;AuthUser=siscop&amp;AuthPass=Siscop1234&amp;Width=1024&amp;Height=768&amp;Quality=70&amp;FPS=10&amp;ResponseFormat=Text</v>
      </c>
      <c r="P956" s="106">
        <f>Cadastro!$P888</f>
        <v>1</v>
      </c>
    </row>
    <row r="957">
      <c r="A957" s="104" t="str">
        <f>Cadastro!$A889</f>
        <v>GMC-CURITIBA</v>
      </c>
      <c r="B957" s="104" t="str">
        <f>Cadastro!$B889</f>
        <v>CURITIBA</v>
      </c>
      <c r="C957" s="107" t="str">
        <f>Cadastro!$C889</f>
        <v>https://monitoramento.pm.pr.gov.br/proxy_image_16/</v>
      </c>
      <c r="D957" s="105">
        <f>Cadastro!$D889</f>
        <v>8601</v>
      </c>
      <c r="E957" s="104" t="str">
        <f>Cadastro!$E889</f>
        <v>GCM10</v>
      </c>
      <c r="F957" s="104" t="str">
        <f>Cadastro!$F889</f>
        <v>RUA XV N 41-LOJA PRATA FINA-CTA1269</v>
      </c>
      <c r="G957" s="104" t="str">
        <f>Cadastro!$G889</f>
        <v>-25.431771</v>
      </c>
      <c r="H957" s="104" t="str">
        <f>Cadastro!$H889</f>
        <v>-49.273206</v>
      </c>
      <c r="I957" s="104" t="str">
        <f>Cadastro!$I889</f>
        <v>siscop</v>
      </c>
      <c r="J957" s="104" t="str">
        <f>Cadastro!$J889</f>
        <v>Siscop1234</v>
      </c>
      <c r="K957" s="104" t="s">
        <v>4536</v>
      </c>
      <c r="L957" s="104" t="s">
        <v>26</v>
      </c>
      <c r="M957" s="104" t="s">
        <v>27</v>
      </c>
      <c r="N957" s="108" t="str">
        <f t="shared" si="1"/>
        <v>GMC-CURITIBA</v>
      </c>
      <c r="O957" s="109" t="str">
        <f>Cadastro!$O889</f>
        <v>https://monitoramento.pm.pr.gov.br/proxy_image_16/Interface/Cameras/GetJPEGStream?Camera=GCM10&amp;AuthUser=siscop&amp;AuthPass=Siscop1234&amp;Width=1024&amp;Height=768&amp;Quality=70&amp;FPS=10&amp;ResponseFormat=Text</v>
      </c>
      <c r="P957" s="106">
        <f>Cadastro!$P889</f>
        <v>1</v>
      </c>
    </row>
    <row r="958">
      <c r="A958" s="104" t="str">
        <f>Cadastro!$A890</f>
        <v>GMC-CURITIBA</v>
      </c>
      <c r="B958" s="104" t="str">
        <f>Cadastro!$B890</f>
        <v>CURITIBA</v>
      </c>
      <c r="C958" s="107" t="str">
        <f>Cadastro!$C890</f>
        <v>https://monitoramento.pm.pr.gov.br/proxy_image_16/</v>
      </c>
      <c r="D958" s="105">
        <f>Cadastro!$D890</f>
        <v>8601</v>
      </c>
      <c r="E958" s="104" t="str">
        <f>Cadastro!$E890</f>
        <v>GCM11</v>
      </c>
      <c r="F958" s="104" t="str">
        <f>Cadastro!$F890</f>
        <v>R. XV ESQUINA COM RUA ÉBANO PEREIRA, N 11-BONDINHO-CTA1270</v>
      </c>
      <c r="G958" s="104" t="str">
        <f>Cadastro!$G890</f>
        <v>-25.431873</v>
      </c>
      <c r="H958" s="104" t="str">
        <f>Cadastro!$H890</f>
        <v>-49.273737</v>
      </c>
      <c r="I958" s="104" t="str">
        <f>Cadastro!$I890</f>
        <v>siscop</v>
      </c>
      <c r="J958" s="104" t="str">
        <f>Cadastro!$J890</f>
        <v>Siscop1234</v>
      </c>
      <c r="K958" s="104" t="s">
        <v>4536</v>
      </c>
      <c r="L958" s="104" t="s">
        <v>26</v>
      </c>
      <c r="M958" s="104" t="s">
        <v>27</v>
      </c>
      <c r="N958" s="108" t="str">
        <f t="shared" si="1"/>
        <v>GMC-CURITIBA</v>
      </c>
      <c r="O958" s="109" t="str">
        <f>Cadastro!$O890</f>
        <v>https://monitoramento.pm.pr.gov.br/proxy_image_16/Interface/Cameras/GetJPEGStream?Camera=GCM11&amp;AuthUser=siscop&amp;AuthPass=Siscop1234&amp;Width=1024&amp;Height=768&amp;Quality=70&amp;FPS=10&amp;ResponseFormat=Text</v>
      </c>
      <c r="P958" s="106">
        <f>Cadastro!$P890</f>
        <v>1</v>
      </c>
    </row>
    <row r="959">
      <c r="A959" s="104" t="str">
        <f>Cadastro!$A891</f>
        <v>GMC-CURITIBA</v>
      </c>
      <c r="B959" s="104" t="str">
        <f>Cadastro!$B891</f>
        <v>CURITIBA</v>
      </c>
      <c r="C959" s="107" t="str">
        <f>Cadastro!$C891</f>
        <v>https://monitoramento.pm.pr.gov.br/proxy_image_16/</v>
      </c>
      <c r="D959" s="105">
        <f>Cadastro!$D891</f>
        <v>8601</v>
      </c>
      <c r="E959" s="104" t="str">
        <f>Cadastro!$E891</f>
        <v>GCM12</v>
      </c>
      <c r="F959" s="104" t="str">
        <f>Cadastro!$F891</f>
        <v>R.XV, PROXIMO A AV. LUIZ XAVIER, N75-HOTEL SLAVEIRO-CTA1271</v>
      </c>
      <c r="G959" s="104" t="str">
        <f>Cadastro!$G891</f>
        <v>-25.432263</v>
      </c>
      <c r="H959" s="104" t="str">
        <f>Cadastro!$H891</f>
        <v>-49.274224</v>
      </c>
      <c r="I959" s="104" t="str">
        <f>Cadastro!$I891</f>
        <v>siscop</v>
      </c>
      <c r="J959" s="104" t="str">
        <f>Cadastro!$J891</f>
        <v>Siscop1234</v>
      </c>
      <c r="K959" s="104" t="s">
        <v>4536</v>
      </c>
      <c r="L959" s="104" t="s">
        <v>26</v>
      </c>
      <c r="M959" s="104" t="s">
        <v>27</v>
      </c>
      <c r="N959" s="108" t="str">
        <f t="shared" si="1"/>
        <v>GMC-CURITIBA</v>
      </c>
      <c r="O959" s="109" t="str">
        <f>Cadastro!$O891</f>
        <v>https://monitoramento.pm.pr.gov.br/proxy_image_16/Interface/Cameras/GetJPEGStream?Camera=GCM12&amp;AuthUser=siscop&amp;AuthPass=Siscop1234&amp;Width=1024&amp;Height=768&amp;Quality=70&amp;FPS=10&amp;ResponseFormat=Text</v>
      </c>
      <c r="P959" s="106">
        <f>Cadastro!$P891</f>
        <v>1</v>
      </c>
    </row>
    <row r="960">
      <c r="A960" s="104" t="str">
        <f>Cadastro!$A892</f>
        <v>GMC-CURITIBA</v>
      </c>
      <c r="B960" s="104" t="str">
        <f>Cadastro!$B892</f>
        <v>CURITIBA</v>
      </c>
      <c r="C960" s="107" t="str">
        <f>Cadastro!$C892</f>
        <v>https://monitoramento.pm.pr.gov.br/proxy_image_16/</v>
      </c>
      <c r="D960" s="105">
        <f>Cadastro!$D892</f>
        <v>8601</v>
      </c>
      <c r="E960" s="104" t="str">
        <f>Cadastro!$E892</f>
        <v>GCM13</v>
      </c>
      <c r="F960" s="104" t="str">
        <f>Cadastro!$F892</f>
        <v>R.XV COM RUA VOLUNTARIOS DA PATRIA,N368-BOTICARIO-CTA1272</v>
      </c>
      <c r="G960" s="104" t="str">
        <f>Cadastro!$G892</f>
        <v>-25.432449</v>
      </c>
      <c r="H960" s="104" t="str">
        <f>Cadastro!$H892</f>
        <v>-49.275055</v>
      </c>
      <c r="I960" s="104" t="str">
        <f>Cadastro!$I892</f>
        <v>siscop</v>
      </c>
      <c r="J960" s="104" t="str">
        <f>Cadastro!$J892</f>
        <v>Siscop1234</v>
      </c>
      <c r="K960" s="104" t="s">
        <v>4536</v>
      </c>
      <c r="L960" s="104" t="s">
        <v>26</v>
      </c>
      <c r="M960" s="104" t="s">
        <v>27</v>
      </c>
      <c r="N960" s="108" t="str">
        <f t="shared" si="1"/>
        <v>GMC-CURITIBA</v>
      </c>
      <c r="O960" s="109" t="str">
        <f>Cadastro!$O892</f>
        <v>https://monitoramento.pm.pr.gov.br/proxy_image_16/Interface/Cameras/GetJPEGStream?Camera=GCM13&amp;AuthUser=siscop&amp;AuthPass=Siscop1234&amp;Width=1024&amp;Height=768&amp;Quality=70&amp;FPS=10&amp;ResponseFormat=Text</v>
      </c>
      <c r="P960" s="106">
        <f>Cadastro!$P892</f>
        <v>1</v>
      </c>
    </row>
    <row r="961">
      <c r="A961" s="104" t="str">
        <f>Cadastro!$A893</f>
        <v>GMC-CURITIBA</v>
      </c>
      <c r="B961" s="104" t="str">
        <f>Cadastro!$B893</f>
        <v>CURITIBA</v>
      </c>
      <c r="C961" s="107" t="str">
        <f>Cadastro!$C893</f>
        <v>https://monitoramento.pm.pr.gov.br/proxy_image_16/</v>
      </c>
      <c r="D961" s="105">
        <f>Cadastro!$D893</f>
        <v>8601</v>
      </c>
      <c r="E961" s="104" t="str">
        <f>Cadastro!$E893</f>
        <v>GCM14</v>
      </c>
      <c r="F961" s="104" t="str">
        <f>Cadastro!$F893</f>
        <v>praça osorio em cima do crimec-laje do cimec-cta1273</v>
      </c>
      <c r="G961" s="104" t="str">
        <f>Cadastro!$G893</f>
        <v>-25.432743</v>
      </c>
      <c r="H961" s="104" t="str">
        <f>Cadastro!$H893</f>
        <v>-49.275856</v>
      </c>
      <c r="I961" s="104" t="str">
        <f>Cadastro!$I893</f>
        <v>siscop</v>
      </c>
      <c r="J961" s="104" t="str">
        <f>Cadastro!$J893</f>
        <v>Siscop1234</v>
      </c>
      <c r="K961" s="104" t="s">
        <v>4536</v>
      </c>
      <c r="L961" s="104" t="s">
        <v>26</v>
      </c>
      <c r="M961" s="104" t="s">
        <v>27</v>
      </c>
      <c r="N961" s="108" t="str">
        <f t="shared" si="1"/>
        <v>GMC-CURITIBA</v>
      </c>
      <c r="O961" s="109" t="str">
        <f>Cadastro!$O893</f>
        <v>https://monitoramento.pm.pr.gov.br/proxy_image_16/Interface/Cameras/GetJPEGStream?Camera=GCM14&amp;AuthUser=siscop&amp;AuthPass=Siscop1234&amp;Width=1024&amp;Height=768&amp;Quality=70&amp;FPS=10&amp;ResponseFormat=Text</v>
      </c>
      <c r="P961" s="106">
        <f>Cadastro!$P893</f>
        <v>1</v>
      </c>
    </row>
    <row r="962">
      <c r="A962" s="104" t="str">
        <f>Cadastro!$A894</f>
        <v>GMC-CURITIBA</v>
      </c>
      <c r="B962" s="104" t="str">
        <f>Cadastro!$B894</f>
        <v>CURITIBA</v>
      </c>
      <c r="C962" s="107" t="str">
        <f>Cadastro!$C894</f>
        <v>https://monitoramento.pm.pr.gov.br/proxy_image_16/</v>
      </c>
      <c r="D962" s="105">
        <f>Cadastro!$D894</f>
        <v>8601</v>
      </c>
      <c r="E962" s="104" t="str">
        <f>Cadastro!$E894</f>
        <v>GCM15</v>
      </c>
      <c r="F962" s="104" t="str">
        <f>Cadastro!$F894</f>
        <v>R. RIA .COM PAÇO MUNICIPAL-RESTAURANTE  MINEIRO-CTA4016</v>
      </c>
      <c r="G962" s="104" t="str">
        <f>Cadastro!$G894</f>
        <v>-25.429632</v>
      </c>
      <c r="H962" s="104" t="str">
        <f>Cadastro!$H894</f>
        <v>-49.269187</v>
      </c>
      <c r="I962" s="104" t="str">
        <f>Cadastro!$I894</f>
        <v>siscop</v>
      </c>
      <c r="J962" s="104" t="str">
        <f>Cadastro!$J894</f>
        <v>Siscop1234</v>
      </c>
      <c r="K962" s="104" t="s">
        <v>4536</v>
      </c>
      <c r="L962" s="104" t="s">
        <v>26</v>
      </c>
      <c r="M962" s="104" t="s">
        <v>27</v>
      </c>
      <c r="N962" s="108" t="str">
        <f t="shared" si="1"/>
        <v>GMC-CURITIBA</v>
      </c>
      <c r="O962" s="109" t="str">
        <f>Cadastro!$O894</f>
        <v>https://monitoramento.pm.pr.gov.br/proxy_image_16/Interface/Cameras/GetJPEGStream?Camera=GCM15&amp;AuthUser=siscop&amp;AuthPass=Siscop1234&amp;Width=1024&amp;Height=768&amp;Quality=70&amp;FPS=10&amp;ResponseFormat=Text</v>
      </c>
      <c r="P962" s="106">
        <f>Cadastro!$P894</f>
        <v>1</v>
      </c>
    </row>
    <row r="963">
      <c r="A963" s="104" t="str">
        <f>Cadastro!$A895</f>
        <v>GMC-CURITIBA</v>
      </c>
      <c r="B963" s="104" t="str">
        <f>Cadastro!$B895</f>
        <v>CURITIBA</v>
      </c>
      <c r="C963" s="107" t="str">
        <f>Cadastro!$C895</f>
        <v>https://monitoramento.pm.pr.gov.br/proxy_image_16/</v>
      </c>
      <c r="D963" s="105">
        <f>Cadastro!$D895</f>
        <v>8601</v>
      </c>
      <c r="E963" s="104" t="str">
        <f>Cadastro!$E895</f>
        <v>GCM16</v>
      </c>
      <c r="F963" s="104" t="str">
        <f>Cadastro!$F895</f>
        <v>PRAÇA TIRADENTES(MEIO DA PRAÇA)</v>
      </c>
      <c r="G963" s="106" t="str">
        <f>Cadastro!$G895</f>
        <v>-25.429776</v>
      </c>
      <c r="H963" s="106" t="str">
        <f>Cadastro!$H895</f>
        <v>-49.271945</v>
      </c>
      <c r="I963" s="104" t="str">
        <f>Cadastro!$I895</f>
        <v>siscop</v>
      </c>
      <c r="J963" s="104" t="str">
        <f>Cadastro!$J895</f>
        <v>Siscop1234</v>
      </c>
      <c r="K963" s="104" t="s">
        <v>4536</v>
      </c>
      <c r="L963" s="104" t="s">
        <v>26</v>
      </c>
      <c r="M963" s="104" t="s">
        <v>27</v>
      </c>
      <c r="N963" s="108" t="str">
        <f t="shared" si="1"/>
        <v>GMC-CURITIBA</v>
      </c>
      <c r="O963" s="109" t="str">
        <f>Cadastro!$O895</f>
        <v>https://monitoramento.pm.pr.gov.br/proxy_image_16/Interface/Cameras/GetJPEGStream?Camera=GCM16&amp;AuthUser=siscop&amp;AuthPass=Siscop1234&amp;Width=1024&amp;Height=768&amp;Quality=70&amp;FPS=10&amp;ResponseFormat=Text</v>
      </c>
      <c r="P963" s="106">
        <f>Cadastro!$P895</f>
        <v>1</v>
      </c>
    </row>
    <row r="964">
      <c r="A964" s="104" t="str">
        <f>Cadastro!$A896</f>
        <v>GMC-CURITIBA</v>
      </c>
      <c r="B964" s="104" t="str">
        <f>Cadastro!$B896</f>
        <v>CURITIBA</v>
      </c>
      <c r="C964" s="107" t="str">
        <f>Cadastro!$C896</f>
        <v>https://monitoramento.pm.pr.gov.br/proxy_image_16/</v>
      </c>
      <c r="D964" s="105">
        <f>Cadastro!$D896</f>
        <v>8601</v>
      </c>
      <c r="E964" s="104" t="str">
        <f>Cadastro!$E896</f>
        <v>GCM17</v>
      </c>
      <c r="F964" s="104" t="str">
        <f>Cadastro!$F896</f>
        <v>PRAÇA TIRADENTES-ESTAÇÃO-ESTAÇÃO TURBO</v>
      </c>
      <c r="G964" s="106" t="str">
        <f>Cadastro!$G896</f>
        <v>-25.429776</v>
      </c>
      <c r="H964" s="106" t="str">
        <f>Cadastro!$H896</f>
        <v>-49.271945</v>
      </c>
      <c r="I964" s="104" t="str">
        <f>Cadastro!$I896</f>
        <v>siscop</v>
      </c>
      <c r="J964" s="104" t="str">
        <f>Cadastro!$J896</f>
        <v>Siscop1234</v>
      </c>
      <c r="K964" s="104" t="s">
        <v>4536</v>
      </c>
      <c r="L964" s="104" t="s">
        <v>26</v>
      </c>
      <c r="M964" s="104" t="s">
        <v>27</v>
      </c>
      <c r="N964" s="108" t="str">
        <f t="shared" si="1"/>
        <v>GMC-CURITIBA</v>
      </c>
      <c r="O964" s="109" t="str">
        <f>Cadastro!$O896</f>
        <v>https://monitoramento.pm.pr.gov.br/proxy_image_16/Interface/Cameras/GetJPEGStream?Camera=GCM17&amp;AuthUser=siscop&amp;AuthPass=Siscop1234&amp;Width=1024&amp;Height=768&amp;Quality=70&amp;FPS=10&amp;ResponseFormat=Text</v>
      </c>
      <c r="P964" s="106">
        <f>Cadastro!$P896</f>
        <v>1</v>
      </c>
    </row>
    <row r="965">
      <c r="A965" s="104" t="str">
        <f>Cadastro!$A897</f>
        <v>GMC-CURITIBA</v>
      </c>
      <c r="B965" s="104" t="str">
        <f>Cadastro!$B897</f>
        <v>CURITIBA</v>
      </c>
      <c r="C965" s="107" t="str">
        <f>Cadastro!$C897</f>
        <v>https://monitoramento.pm.pr.gov.br/proxy_image_16/</v>
      </c>
      <c r="D965" s="105">
        <f>Cadastro!$D897</f>
        <v>8601</v>
      </c>
      <c r="E965" s="104" t="str">
        <f>Cadastro!$E897</f>
        <v>GCM18</v>
      </c>
      <c r="F965" s="104" t="str">
        <f>Cadastro!$F897</f>
        <v>PRAÇA TIRADENTES COM R. MOSENHIR CELSO-LOJAS P. - CTA4017</v>
      </c>
      <c r="G965" s="104" t="str">
        <f>Cadastro!$G897</f>
        <v>-25.430096</v>
      </c>
      <c r="H965" s="104" t="str">
        <f>Cadastro!$H897</f>
        <v>-49.270991</v>
      </c>
      <c r="I965" s="104" t="str">
        <f>Cadastro!$I897</f>
        <v>siscop</v>
      </c>
      <c r="J965" s="104" t="str">
        <f>Cadastro!$J897</f>
        <v>Siscop1234</v>
      </c>
      <c r="K965" s="104" t="s">
        <v>4536</v>
      </c>
      <c r="L965" s="104" t="s">
        <v>26</v>
      </c>
      <c r="M965" s="104" t="s">
        <v>27</v>
      </c>
      <c r="N965" s="108" t="str">
        <f t="shared" si="1"/>
        <v>GMC-CURITIBA</v>
      </c>
      <c r="O965" s="109" t="str">
        <f>Cadastro!$O897</f>
        <v>https://monitoramento.pm.pr.gov.br/proxy_image_16/Interface/Cameras/GetJPEGStream?Camera=GCM18&amp;AuthUser=siscop&amp;AuthPass=Siscop1234&amp;Width=1024&amp;Height=768&amp;Quality=70&amp;FPS=10&amp;ResponseFormat=Text</v>
      </c>
      <c r="P965" s="106">
        <f>Cadastro!$P897</f>
        <v>1</v>
      </c>
    </row>
    <row r="966">
      <c r="A966" s="104" t="str">
        <f>Cadastro!$A898</f>
        <v>GMC-CURITIBA</v>
      </c>
      <c r="B966" s="104" t="str">
        <f>Cadastro!$B898</f>
        <v>CURITIBA</v>
      </c>
      <c r="C966" s="107" t="str">
        <f>Cadastro!$C898</f>
        <v>https://monitoramento.pm.pr.gov.br/proxy_image_16/</v>
      </c>
      <c r="D966" s="105">
        <f>Cadastro!$D898</f>
        <v>8601</v>
      </c>
      <c r="E966" s="104" t="str">
        <f>Cadastro!$E898</f>
        <v>GCM19</v>
      </c>
      <c r="F966" s="104" t="str">
        <f>Cadastro!$F898</f>
        <v>PRAÇA TIRADENTES ESQUINA PÇA BORGES DE MACEDO-CTA4018</v>
      </c>
      <c r="G966" s="104" t="str">
        <f>Cadastro!$G898</f>
        <v>-25.429706</v>
      </c>
      <c r="H966" s="104" t="str">
        <f>Cadastro!$H898</f>
        <v>-49.270784</v>
      </c>
      <c r="I966" s="104" t="str">
        <f>Cadastro!$I898</f>
        <v>siscop</v>
      </c>
      <c r="J966" s="104" t="str">
        <f>Cadastro!$J898</f>
        <v>Siscop1234</v>
      </c>
      <c r="K966" s="104" t="s">
        <v>4536</v>
      </c>
      <c r="L966" s="104" t="s">
        <v>26</v>
      </c>
      <c r="M966" s="104" t="s">
        <v>27</v>
      </c>
      <c r="N966" s="108" t="str">
        <f t="shared" si="1"/>
        <v>GMC-CURITIBA</v>
      </c>
      <c r="O966" s="109" t="str">
        <f>Cadastro!$O898</f>
        <v>https://monitoramento.pm.pr.gov.br/proxy_image_16/Interface/Cameras/GetJPEGStream?Camera=GCM19&amp;AuthUser=siscop&amp;AuthPass=Siscop1234&amp;Width=1024&amp;Height=768&amp;Quality=70&amp;FPS=10&amp;ResponseFormat=Text</v>
      </c>
      <c r="P966" s="106">
        <f>Cadastro!$P898</f>
        <v>1</v>
      </c>
    </row>
    <row r="967">
      <c r="A967" s="104" t="str">
        <f>Cadastro!$A899</f>
        <v>GMC-CURITIBA</v>
      </c>
      <c r="B967" s="104" t="str">
        <f>Cadastro!$B899</f>
        <v>CURITIBA</v>
      </c>
      <c r="C967" s="107" t="str">
        <f>Cadastro!$C899</f>
        <v>https://monitoramento.pm.pr.gov.br/proxy_image_16/</v>
      </c>
      <c r="D967" s="105">
        <f>Cadastro!$D899</f>
        <v>8601</v>
      </c>
      <c r="E967" s="104" t="str">
        <f>Cadastro!$E899</f>
        <v>GCM20</v>
      </c>
      <c r="F967" s="104" t="str">
        <f>Cadastro!$F899</f>
        <v>R.SALDANHA MARINHO ESQUINA R. DOUTOR MURICY</v>
      </c>
      <c r="G967" s="104" t="str">
        <f>Cadastro!$G899</f>
        <v>-25.429434</v>
      </c>
      <c r="H967" s="104" t="str">
        <f>Cadastro!$H899</f>
        <v>-49.273605</v>
      </c>
      <c r="I967" s="104" t="str">
        <f>Cadastro!$I899</f>
        <v>siscop</v>
      </c>
      <c r="J967" s="104" t="str">
        <f>Cadastro!$J899</f>
        <v>Siscop1234</v>
      </c>
      <c r="K967" s="104" t="s">
        <v>4536</v>
      </c>
      <c r="L967" s="104" t="s">
        <v>26</v>
      </c>
      <c r="M967" s="104" t="s">
        <v>27</v>
      </c>
      <c r="N967" s="108" t="str">
        <f t="shared" si="1"/>
        <v>GMC-CURITIBA</v>
      </c>
      <c r="O967" s="109" t="str">
        <f>Cadastro!$O899</f>
        <v>https://monitoramento.pm.pr.gov.br/proxy_image_16/Interface/Cameras/GetJPEGStream?Camera=GCM20&amp;AuthUser=siscop&amp;AuthPass=Siscop1234&amp;Width=1024&amp;Height=768&amp;Quality=70&amp;FPS=10&amp;ResponseFormat=Text</v>
      </c>
      <c r="P967" s="106">
        <f>Cadastro!$P899</f>
        <v>1</v>
      </c>
    </row>
    <row r="968">
      <c r="A968" s="104" t="str">
        <f>Cadastro!$A900</f>
        <v>GMC-CURITIBA</v>
      </c>
      <c r="B968" s="104" t="str">
        <f>Cadastro!$B900</f>
        <v>CURITIBA</v>
      </c>
      <c r="C968" s="107" t="str">
        <f>Cadastro!$C900</f>
        <v>https://monitoramento.pm.pr.gov.br/proxy_image_16/</v>
      </c>
      <c r="D968" s="105">
        <f>Cadastro!$D900</f>
        <v>8601</v>
      </c>
      <c r="E968" s="104" t="str">
        <f>Cadastro!$E900</f>
        <v>GCM21</v>
      </c>
      <c r="F968" s="104" t="str">
        <f>Cadastro!$F900</f>
        <v>R. BARÃO DE SERRO AZUL COM R. SÃO FRANCISCO-LIVRARIA JOÃO H.</v>
      </c>
      <c r="G968" s="104" t="str">
        <f>Cadastro!$G900</f>
        <v>-25.427903</v>
      </c>
      <c r="H968" s="104" t="str">
        <f>Cadastro!$H900</f>
        <v>-49.270833</v>
      </c>
      <c r="I968" s="104" t="str">
        <f>Cadastro!$I900</f>
        <v>siscop</v>
      </c>
      <c r="J968" s="104" t="str">
        <f>Cadastro!$J900</f>
        <v>Siscop1234</v>
      </c>
      <c r="K968" s="104" t="s">
        <v>4536</v>
      </c>
      <c r="L968" s="104" t="s">
        <v>26</v>
      </c>
      <c r="M968" s="104" t="s">
        <v>27</v>
      </c>
      <c r="N968" s="108" t="str">
        <f t="shared" si="1"/>
        <v>GMC-CURITIBA</v>
      </c>
      <c r="O968" s="109" t="str">
        <f>Cadastro!$O900</f>
        <v>https://monitoramento.pm.pr.gov.br/proxy_image_16/Interface/Cameras/GetJPEGStream?Camera=GCM21&amp;AuthUser=siscop&amp;AuthPass=Siscop1234&amp;Width=1024&amp;Height=768&amp;Quality=70&amp;FPS=10&amp;ResponseFormat=Text</v>
      </c>
      <c r="P968" s="106">
        <f>Cadastro!$P900</f>
        <v>1</v>
      </c>
    </row>
    <row r="969">
      <c r="A969" s="104" t="str">
        <f>Cadastro!$A901</f>
        <v>GMC-CURITIBA</v>
      </c>
      <c r="B969" s="104" t="str">
        <f>Cadastro!$B901</f>
        <v>CURITIBA</v>
      </c>
      <c r="C969" s="107" t="str">
        <f>Cadastro!$C901</f>
        <v>https://monitoramento.pm.pr.gov.br/proxy_image_16/</v>
      </c>
      <c r="D969" s="105">
        <f>Cadastro!$D901</f>
        <v>8601</v>
      </c>
      <c r="E969" s="104" t="str">
        <f>Cadastro!$E901</f>
        <v>GCM22</v>
      </c>
      <c r="F969" s="104" t="str">
        <f>Cadastro!$F901</f>
        <v>R.CLAUDINO DOS SANTOS X RUA MATEUS LEME- LARGO ORDEM</v>
      </c>
      <c r="G969" s="104" t="str">
        <f>Cadastro!$G901</f>
        <v>-25.427663</v>
      </c>
      <c r="H969" s="104" t="str">
        <f>Cadastro!$H901</f>
        <v>-49.272011</v>
      </c>
      <c r="I969" s="104" t="str">
        <f>Cadastro!$I901</f>
        <v>siscop</v>
      </c>
      <c r="J969" s="104" t="str">
        <f>Cadastro!$J901</f>
        <v>Siscop1234</v>
      </c>
      <c r="K969" s="104" t="s">
        <v>4536</v>
      </c>
      <c r="L969" s="104" t="s">
        <v>26</v>
      </c>
      <c r="M969" s="104" t="s">
        <v>27</v>
      </c>
      <c r="N969" s="108" t="str">
        <f t="shared" si="1"/>
        <v>GMC-CURITIBA</v>
      </c>
      <c r="O969" s="109" t="str">
        <f>Cadastro!$O901</f>
        <v>https://monitoramento.pm.pr.gov.br/proxy_image_16/Interface/Cameras/GetJPEGStream?Camera=GCM22&amp;AuthUser=siscop&amp;AuthPass=Siscop1234&amp;Width=1024&amp;Height=768&amp;Quality=70&amp;FPS=10&amp;ResponseFormat=Text</v>
      </c>
      <c r="P969" s="106">
        <f>Cadastro!$P901</f>
        <v>1</v>
      </c>
    </row>
    <row r="970">
      <c r="A970" s="104" t="str">
        <f>Cadastro!$A902</f>
        <v>GMC-CURITIBA</v>
      </c>
      <c r="B970" s="104" t="str">
        <f>Cadastro!$B902</f>
        <v>CURITIBA</v>
      </c>
      <c r="C970" s="107" t="str">
        <f>Cadastro!$C902</f>
        <v>https://monitoramento.pm.pr.gov.br/proxy_image_16/</v>
      </c>
      <c r="D970" s="105">
        <f>Cadastro!$D902</f>
        <v>8601</v>
      </c>
      <c r="E970" s="104" t="str">
        <f>Cadastro!$E902</f>
        <v>GCM23</v>
      </c>
      <c r="F970" s="104" t="str">
        <f>Cadastro!$F902</f>
        <v>RUA CLAUDINO DOS SANTOS-FRENTE AO MEMORIAL-CTA4006</v>
      </c>
      <c r="G970" s="104" t="str">
        <f>Cadastro!$G902</f>
        <v>-25.427505</v>
      </c>
      <c r="H970" s="104" t="str">
        <f>Cadastro!$H902</f>
        <v>-49.272821</v>
      </c>
      <c r="I970" s="104" t="str">
        <f>Cadastro!$I902</f>
        <v>siscop</v>
      </c>
      <c r="J970" s="104" t="str">
        <f>Cadastro!$J902</f>
        <v>Siscop1234</v>
      </c>
      <c r="K970" s="104" t="s">
        <v>4536</v>
      </c>
      <c r="L970" s="104" t="s">
        <v>26</v>
      </c>
      <c r="M970" s="104" t="s">
        <v>27</v>
      </c>
      <c r="N970" s="108" t="str">
        <f t="shared" si="1"/>
        <v>GMC-CURITIBA</v>
      </c>
      <c r="O970" s="109" t="str">
        <f>Cadastro!$O902</f>
        <v>https://monitoramento.pm.pr.gov.br/proxy_image_16/Interface/Cameras/GetJPEGStream?Camera=GCM23&amp;AuthUser=siscop&amp;AuthPass=Siscop1234&amp;Width=1024&amp;Height=768&amp;Quality=70&amp;FPS=10&amp;ResponseFormat=Text</v>
      </c>
      <c r="P970" s="106">
        <f>Cadastro!$P902</f>
        <v>1</v>
      </c>
    </row>
    <row r="971">
      <c r="A971" s="104" t="str">
        <f>Cadastro!$A903</f>
        <v>GMC-CURITIBA</v>
      </c>
      <c r="B971" s="104" t="str">
        <f>Cadastro!$B903</f>
        <v>CURITIBA</v>
      </c>
      <c r="C971" s="107" t="str">
        <f>Cadastro!$C903</f>
        <v>https://monitoramento.pm.pr.gov.br/proxy_image_16/</v>
      </c>
      <c r="D971" s="105">
        <f>Cadastro!$D903</f>
        <v>8601</v>
      </c>
      <c r="E971" s="104" t="str">
        <f>Cadastro!$E903</f>
        <v>GCM24</v>
      </c>
      <c r="F971" s="104" t="str">
        <f>Cadastro!$F903</f>
        <v>R. CLAUDINO DOS SANTOS DO ROSARIO-IGREJA PRETA-CTA4005</v>
      </c>
      <c r="G971" s="104" t="str">
        <f>Cadastro!$G903</f>
        <v>-25.427583</v>
      </c>
      <c r="H971" s="104" t="str">
        <f>Cadastro!$H903</f>
        <v>-49.273653</v>
      </c>
      <c r="I971" s="104" t="str">
        <f>Cadastro!$I903</f>
        <v>siscop</v>
      </c>
      <c r="J971" s="104" t="str">
        <f>Cadastro!$J903</f>
        <v>Siscop1234</v>
      </c>
      <c r="K971" s="104" t="s">
        <v>4536</v>
      </c>
      <c r="L971" s="104" t="s">
        <v>26</v>
      </c>
      <c r="M971" s="104" t="s">
        <v>27</v>
      </c>
      <c r="N971" s="108" t="str">
        <f t="shared" si="1"/>
        <v>GMC-CURITIBA</v>
      </c>
      <c r="O971" s="109" t="str">
        <f>Cadastro!$O903</f>
        <v>https://monitoramento.pm.pr.gov.br/proxy_image_16/Interface/Cameras/GetJPEGStream?Camera=GCM24&amp;AuthUser=siscop&amp;AuthPass=Siscop1234&amp;Width=1024&amp;Height=768&amp;Quality=70&amp;FPS=10&amp;ResponseFormat=Text</v>
      </c>
      <c r="P971" s="106">
        <f>Cadastro!$P903</f>
        <v>1</v>
      </c>
    </row>
    <row r="972">
      <c r="A972" s="104" t="str">
        <f>Cadastro!$A904</f>
        <v>GMC-CURITIBA</v>
      </c>
      <c r="B972" s="104" t="str">
        <f>Cadastro!$B904</f>
        <v>CURITIBA</v>
      </c>
      <c r="C972" s="107" t="str">
        <f>Cadastro!$C904</f>
        <v>https://monitoramento.pm.pr.gov.br/proxy_image_16/</v>
      </c>
      <c r="D972" s="105">
        <f>Cadastro!$D904</f>
        <v>8601</v>
      </c>
      <c r="E972" s="104" t="str">
        <f>Cadastro!$E904</f>
        <v>GCM25</v>
      </c>
      <c r="F972" s="104" t="str">
        <f>Cadastro!$F904</f>
        <v>PRAÇA CARIBALDI CAVALO BABAO</v>
      </c>
      <c r="G972" s="106" t="str">
        <f>Cadastro!$G904</f>
        <v>-25.427262</v>
      </c>
      <c r="H972" s="106" t="str">
        <f>Cadastro!$H904</f>
        <v>-49.273991</v>
      </c>
      <c r="I972" s="104" t="str">
        <f>Cadastro!$I904</f>
        <v>siscop</v>
      </c>
      <c r="J972" s="104" t="str">
        <f>Cadastro!$J904</f>
        <v>Siscop1234</v>
      </c>
      <c r="K972" s="104" t="s">
        <v>4536</v>
      </c>
      <c r="L972" s="104" t="s">
        <v>26</v>
      </c>
      <c r="M972" s="104" t="s">
        <v>27</v>
      </c>
      <c r="N972" s="108" t="str">
        <f t="shared" si="1"/>
        <v>GMC-CURITIBA</v>
      </c>
      <c r="O972" s="109" t="str">
        <f>Cadastro!$O904</f>
        <v>https://monitoramento.pm.pr.gov.br/proxy_image_16/Interface/Cameras/GetJPEGStream?Camera=GCM25&amp;AuthUser=siscop&amp;AuthPass=Siscop1234&amp;Width=1024&amp;Height=768&amp;Quality=70&amp;FPS=10&amp;ResponseFormat=Text</v>
      </c>
      <c r="P972" s="106">
        <f>Cadastro!$P904</f>
        <v>1</v>
      </c>
    </row>
    <row r="973">
      <c r="A973" s="104" t="str">
        <f>Cadastro!$A905</f>
        <v>GMC-CURITIBA</v>
      </c>
      <c r="B973" s="104" t="str">
        <f>Cadastro!$B905</f>
        <v>CURITIBA</v>
      </c>
      <c r="C973" s="107" t="str">
        <f>Cadastro!$C905</f>
        <v>https://monitoramento.pm.pr.gov.br/proxy_image_16/</v>
      </c>
      <c r="D973" s="105">
        <f>Cadastro!$D905</f>
        <v>8601</v>
      </c>
      <c r="E973" s="104" t="str">
        <f>Cadastro!$E905</f>
        <v>GCM26</v>
      </c>
      <c r="F973" s="104" t="str">
        <f>Cadastro!$F905</f>
        <v>RUINAS SÃO FRANSISCO</v>
      </c>
      <c r="G973" s="106" t="str">
        <f>Cadastro!$G905</f>
        <v>-25.427114</v>
      </c>
      <c r="H973" s="106" t="str">
        <f>Cadastro!$H905</f>
        <v>-49.275271</v>
      </c>
      <c r="I973" s="104" t="str">
        <f>Cadastro!$I905</f>
        <v>siscop</v>
      </c>
      <c r="J973" s="104" t="str">
        <f>Cadastro!$J905</f>
        <v>Siscop1234</v>
      </c>
      <c r="K973" s="104" t="s">
        <v>4536</v>
      </c>
      <c r="L973" s="104" t="s">
        <v>26</v>
      </c>
      <c r="M973" s="104" t="s">
        <v>27</v>
      </c>
      <c r="N973" s="108" t="str">
        <f t="shared" si="1"/>
        <v>GMC-CURITIBA</v>
      </c>
      <c r="O973" s="109" t="str">
        <f>Cadastro!$O905</f>
        <v>https://monitoramento.pm.pr.gov.br/proxy_image_16/Interface/Cameras/GetJPEGStream?Camera=GCM26&amp;AuthUser=siscop&amp;AuthPass=Siscop1234&amp;Width=1024&amp;Height=768&amp;Quality=70&amp;FPS=10&amp;ResponseFormat=Text</v>
      </c>
      <c r="P973" s="106">
        <f>Cadastro!$P905</f>
        <v>1</v>
      </c>
    </row>
    <row r="974">
      <c r="A974" s="104" t="str">
        <f>Cadastro!$A906</f>
        <v>GMC-CURITIBA</v>
      </c>
      <c r="B974" s="104" t="str">
        <f>Cadastro!$B906</f>
        <v>CURITIBA</v>
      </c>
      <c r="C974" s="107" t="str">
        <f>Cadastro!$C906</f>
        <v>https://monitoramento.pm.pr.gov.br/proxy_image_16/</v>
      </c>
      <c r="D974" s="105">
        <f>Cadastro!$D906</f>
        <v>8601</v>
      </c>
      <c r="E974" s="104" t="str">
        <f>Cadastro!$E906</f>
        <v>GCM27</v>
      </c>
      <c r="F974" s="104" t="str">
        <f>Cadastro!$F906</f>
        <v>ESCADARIA-FIXA RUINAS SÃO FRANCISCO</v>
      </c>
      <c r="G974" s="106" t="str">
        <f>Cadastro!$G906</f>
        <v>-25.427171</v>
      </c>
      <c r="H974" s="106" t="str">
        <f>Cadastro!$H906</f>
        <v>-49.275283</v>
      </c>
      <c r="I974" s="104" t="str">
        <f>Cadastro!$I906</f>
        <v>siscop</v>
      </c>
      <c r="J974" s="104" t="str">
        <f>Cadastro!$J906</f>
        <v>Siscop1234</v>
      </c>
      <c r="K974" s="104" t="s">
        <v>4536</v>
      </c>
      <c r="L974" s="104" t="s">
        <v>26</v>
      </c>
      <c r="M974" s="104" t="s">
        <v>27</v>
      </c>
      <c r="N974" s="108" t="str">
        <f t="shared" si="1"/>
        <v>GMC-CURITIBA</v>
      </c>
      <c r="O974" s="109" t="str">
        <f>Cadastro!$O906</f>
        <v>https://monitoramento.pm.pr.gov.br/proxy_image_16/Interface/Cameras/GetJPEGStream?Camera=GCM27&amp;AuthUser=siscop&amp;AuthPass=Siscop1234&amp;Width=1024&amp;Height=768&amp;Quality=70&amp;FPS=10&amp;ResponseFormat=Text</v>
      </c>
      <c r="P974" s="106">
        <f>Cadastro!$P906</f>
        <v>1</v>
      </c>
    </row>
    <row r="975">
      <c r="A975" s="104" t="str">
        <f>Cadastro!$A907</f>
        <v>GMC-CURITIBA</v>
      </c>
      <c r="B975" s="104" t="str">
        <f>Cadastro!$B907</f>
        <v>CURITIBA</v>
      </c>
      <c r="C975" s="107" t="str">
        <f>Cadastro!$C907</f>
        <v>https://monitoramento.pm.pr.gov.br/proxy_image_16/</v>
      </c>
      <c r="D975" s="105">
        <f>Cadastro!$D907</f>
        <v>8601</v>
      </c>
      <c r="E975" s="104" t="str">
        <f>Cadastro!$E907</f>
        <v>GCM28</v>
      </c>
      <c r="F975" s="104" t="str">
        <f>Cadastro!$F907</f>
        <v>PRAÇA JOAO CANDIDO PALACIO BELVEDERE</v>
      </c>
      <c r="G975" s="106" t="str">
        <f>Cadastro!$G907</f>
        <v>-25.426968</v>
      </c>
      <c r="H975" s="106" t="str">
        <f>Cadastro!$H907</f>
        <v>-49.276029</v>
      </c>
      <c r="I975" s="104" t="str">
        <f>Cadastro!$I907</f>
        <v>siscop</v>
      </c>
      <c r="J975" s="104" t="str">
        <f>Cadastro!$J907</f>
        <v>Siscop1234</v>
      </c>
      <c r="K975" s="104" t="s">
        <v>4536</v>
      </c>
      <c r="L975" s="104" t="s">
        <v>26</v>
      </c>
      <c r="M975" s="104" t="s">
        <v>27</v>
      </c>
      <c r="N975" s="108" t="str">
        <f t="shared" si="1"/>
        <v>GMC-CURITIBA</v>
      </c>
      <c r="O975" s="109" t="str">
        <f>Cadastro!$O907</f>
        <v>https://monitoramento.pm.pr.gov.br/proxy_image_16/Interface/Cameras/GetJPEGStream?Camera=GCM28&amp;AuthUser=siscop&amp;AuthPass=Siscop1234&amp;Width=1024&amp;Height=768&amp;Quality=70&amp;FPS=10&amp;ResponseFormat=Text</v>
      </c>
      <c r="P975" s="106">
        <f>Cadastro!$P907</f>
        <v>1</v>
      </c>
    </row>
    <row r="976">
      <c r="A976" s="104" t="str">
        <f>Cadastro!$A908</f>
        <v>GMC-CURITIBA</v>
      </c>
      <c r="B976" s="104" t="str">
        <f>Cadastro!$B908</f>
        <v>CURITIBA</v>
      </c>
      <c r="C976" s="107" t="str">
        <f>Cadastro!$C908</f>
        <v>https://monitoramento.pm.pr.gov.br/proxy_image_16/</v>
      </c>
      <c r="D976" s="105">
        <f>Cadastro!$D908</f>
        <v>8601</v>
      </c>
      <c r="E976" s="104" t="str">
        <f>Cadastro!$E908</f>
        <v>GCM29</v>
      </c>
      <c r="F976" s="104" t="str">
        <f>Cadastro!$F908</f>
        <v>#</v>
      </c>
      <c r="G976" s="106" t="str">
        <f>Cadastro!$G908</f>
        <v>0</v>
      </c>
      <c r="H976" s="106" t="str">
        <f>Cadastro!$H908</f>
        <v>0</v>
      </c>
      <c r="I976" s="104" t="str">
        <f>Cadastro!$I908</f>
        <v>siscop</v>
      </c>
      <c r="J976" s="104" t="str">
        <f>Cadastro!$J908</f>
        <v>Siscop1234</v>
      </c>
      <c r="K976" s="104" t="s">
        <v>4536</v>
      </c>
      <c r="L976" s="104" t="s">
        <v>26</v>
      </c>
      <c r="M976" s="104" t="s">
        <v>27</v>
      </c>
      <c r="N976" s="108" t="str">
        <f t="shared" si="1"/>
        <v>GMC-CURITIBA</v>
      </c>
      <c r="O976" s="112" t="str">
        <f>Cadastro!$O908</f>
        <v>#</v>
      </c>
      <c r="P976" s="106">
        <f>Cadastro!$P908</f>
        <v>0</v>
      </c>
    </row>
    <row r="977">
      <c r="A977" s="104" t="str">
        <f>Cadastro!$A909</f>
        <v>GMC-CURITIBA</v>
      </c>
      <c r="B977" s="104" t="str">
        <f>Cadastro!$B909</f>
        <v>CURITIBA</v>
      </c>
      <c r="C977" s="107" t="str">
        <f>Cadastro!$C909</f>
        <v>https://monitoramento.pm.pr.gov.br/proxy_image_16/</v>
      </c>
      <c r="D977" s="105">
        <f>Cadastro!$D909</f>
        <v>8601</v>
      </c>
      <c r="E977" s="104" t="str">
        <f>Cadastro!$E909</f>
        <v>GCM30</v>
      </c>
      <c r="F977" s="104" t="str">
        <f>Cadastro!$F909</f>
        <v>#</v>
      </c>
      <c r="G977" s="106" t="str">
        <f>Cadastro!$G909</f>
        <v>0</v>
      </c>
      <c r="H977" s="106" t="str">
        <f>Cadastro!$H909</f>
        <v>0</v>
      </c>
      <c r="I977" s="104" t="str">
        <f>Cadastro!$I909</f>
        <v>siscop</v>
      </c>
      <c r="J977" s="104" t="str">
        <f>Cadastro!$J909</f>
        <v>Siscop1234</v>
      </c>
      <c r="K977" s="104" t="s">
        <v>4536</v>
      </c>
      <c r="L977" s="104" t="s">
        <v>26</v>
      </c>
      <c r="M977" s="104" t="s">
        <v>27</v>
      </c>
      <c r="N977" s="108" t="str">
        <f t="shared" si="1"/>
        <v>GMC-CURITIBA</v>
      </c>
      <c r="O977" s="112" t="str">
        <f>Cadastro!$O909</f>
        <v>#</v>
      </c>
      <c r="P977" s="106">
        <f>Cadastro!$P909</f>
        <v>0</v>
      </c>
    </row>
    <row r="978">
      <c r="A978" s="104" t="str">
        <f>Cadastro!$A910</f>
        <v>GMC-CURITIBA</v>
      </c>
      <c r="B978" s="104" t="str">
        <f>Cadastro!$B910</f>
        <v>CURITIBA</v>
      </c>
      <c r="C978" s="107" t="str">
        <f>Cadastro!$C910</f>
        <v>https://monitoramento.pm.pr.gov.br/proxy_image_16/</v>
      </c>
      <c r="D978" s="105">
        <f>Cadastro!$D910</f>
        <v>8601</v>
      </c>
      <c r="E978" s="104" t="str">
        <f>Cadastro!$E910</f>
        <v>GCM31</v>
      </c>
      <c r="F978" s="104" t="str">
        <f>Cadastro!$F910</f>
        <v>R. MAL. DEODORO R. AL. DR.MURICY</v>
      </c>
      <c r="G978" s="106" t="str">
        <f>Cadastro!$G910</f>
        <v>-25.432548</v>
      </c>
      <c r="H978" s="106" t="str">
        <f>Cadastro!$H910</f>
        <v>-49.272140</v>
      </c>
      <c r="I978" s="104" t="str">
        <f>Cadastro!$I910</f>
        <v>siscop</v>
      </c>
      <c r="J978" s="104" t="str">
        <f>Cadastro!$J910</f>
        <v>Siscop1234</v>
      </c>
      <c r="K978" s="104" t="s">
        <v>4536</v>
      </c>
      <c r="L978" s="104" t="s">
        <v>26</v>
      </c>
      <c r="M978" s="104" t="s">
        <v>27</v>
      </c>
      <c r="N978" s="108" t="str">
        <f t="shared" si="1"/>
        <v>GMC-CURITIBA</v>
      </c>
      <c r="O978" s="109" t="str">
        <f>Cadastro!$O910</f>
        <v>https://monitoramento.pm.pr.gov.br/proxy_image_16/Interface/Cameras/GetJPEGStream?Camera=GCM31&amp;AuthUser=siscop&amp;AuthPass=Siscop1234&amp;Width=1024&amp;Height=768&amp;Quality=70&amp;FPS=10&amp;ResponseFormat=Text</v>
      </c>
      <c r="P978" s="106">
        <f>Cadastro!$P910</f>
        <v>1</v>
      </c>
    </row>
    <row r="979">
      <c r="A979" s="104" t="str">
        <f>Cadastro!$A911</f>
        <v>GMC-CURITIBA</v>
      </c>
      <c r="B979" s="104" t="str">
        <f>Cadastro!$B911</f>
        <v>CURITIBA</v>
      </c>
      <c r="C979" s="107" t="str">
        <f>Cadastro!$C911</f>
        <v>https://monitoramento.pm.pr.gov.br/proxy_image_16/</v>
      </c>
      <c r="D979" s="105">
        <f>Cadastro!$D911</f>
        <v>8601</v>
      </c>
      <c r="E979" s="104" t="str">
        <f>Cadastro!$E911</f>
        <v>GCM32</v>
      </c>
      <c r="F979" s="104" t="str">
        <f>Cadastro!$F911</f>
        <v>R. MAL. DEODORO </v>
      </c>
      <c r="G979" s="106" t="str">
        <f>Cadastro!$G911</f>
        <v>-25.432039</v>
      </c>
      <c r="H979" s="106" t="str">
        <f>Cadastro!$H911</f>
        <v>-49.271528</v>
      </c>
      <c r="I979" s="104" t="str">
        <f>Cadastro!$I911</f>
        <v>siscop</v>
      </c>
      <c r="J979" s="104" t="str">
        <f>Cadastro!$J911</f>
        <v>Siscop1234</v>
      </c>
      <c r="K979" s="104" t="s">
        <v>4536</v>
      </c>
      <c r="L979" s="104" t="s">
        <v>26</v>
      </c>
      <c r="M979" s="104" t="s">
        <v>27</v>
      </c>
      <c r="N979" s="108" t="str">
        <f t="shared" si="1"/>
        <v>GMC-CURITIBA</v>
      </c>
      <c r="O979" s="109" t="str">
        <f>Cadastro!$O911</f>
        <v>https://monitoramento.pm.pr.gov.br/proxy_image_16/Interface/Cameras/GetJPEGStream?Camera=GCM32&amp;AuthUser=siscop&amp;AuthPass=Siscop1234&amp;Width=1024&amp;Height=768&amp;Quality=70&amp;FPS=10&amp;ResponseFormat=Text</v>
      </c>
      <c r="P979" s="106">
        <f>Cadastro!$P911</f>
        <v>1</v>
      </c>
    </row>
    <row r="980">
      <c r="A980" s="104" t="str">
        <f>Cadastro!$A912</f>
        <v>GMC-CURITIBA</v>
      </c>
      <c r="B980" s="104" t="str">
        <f>Cadastro!$B912</f>
        <v>CURITIBA</v>
      </c>
      <c r="C980" s="107" t="str">
        <f>Cadastro!$C912</f>
        <v>https://monitoramento.pm.pr.gov.br/proxy_image_16/</v>
      </c>
      <c r="D980" s="105">
        <f>Cadastro!$D912</f>
        <v>8601</v>
      </c>
      <c r="E980" s="104" t="str">
        <f>Cadastro!$E912</f>
        <v>GCM33</v>
      </c>
      <c r="F980" s="104" t="str">
        <f>Cadastro!$F912</f>
        <v>AV. MAL DEODORO</v>
      </c>
      <c r="G980" s="106" t="str">
        <f>Cadastro!$G912</f>
        <v>-25.430973</v>
      </c>
      <c r="H980" s="106" t="str">
        <f>Cadastro!$H912</f>
        <v>-49.268947</v>
      </c>
      <c r="I980" s="104" t="str">
        <f>Cadastro!$I912</f>
        <v>siscop</v>
      </c>
      <c r="J980" s="104" t="str">
        <f>Cadastro!$J912</f>
        <v>Siscop1234</v>
      </c>
      <c r="K980" s="104" t="s">
        <v>4536</v>
      </c>
      <c r="L980" s="104" t="s">
        <v>26</v>
      </c>
      <c r="M980" s="104" t="s">
        <v>27</v>
      </c>
      <c r="N980" s="108" t="str">
        <f t="shared" si="1"/>
        <v>GMC-CURITIBA</v>
      </c>
      <c r="O980" s="109" t="str">
        <f>Cadastro!$O912</f>
        <v>https://monitoramento.pm.pr.gov.br/proxy_image_16/Interface/Cameras/GetJPEGStream?Camera=GCM33&amp;AuthUser=siscop&amp;AuthPass=Siscop1234&amp;Width=1024&amp;Height=768&amp;Quality=70&amp;FPS=10&amp;ResponseFormat=Text</v>
      </c>
      <c r="P980" s="106">
        <f>Cadastro!$P912</f>
        <v>1</v>
      </c>
    </row>
    <row r="981">
      <c r="A981" s="104" t="str">
        <f>Cadastro!$A913</f>
        <v>GMC-CURITIBA</v>
      </c>
      <c r="B981" s="104" t="str">
        <f>Cadastro!$B913</f>
        <v>CURITIBA</v>
      </c>
      <c r="C981" s="107" t="str">
        <f>Cadastro!$C913</f>
        <v>https://monitoramento.pm.pr.gov.br/proxy_image_16/</v>
      </c>
      <c r="D981" s="105">
        <f>Cadastro!$D913</f>
        <v>8601</v>
      </c>
      <c r="E981" s="104" t="str">
        <f>Cadastro!$E913</f>
        <v>GCM34</v>
      </c>
      <c r="F981" s="104" t="str">
        <f>Cadastro!$F913</f>
        <v>RUA MAL.DEODORO R. CONS. LAURINDO</v>
      </c>
      <c r="G981" s="106" t="str">
        <f>Cadastro!$G913</f>
        <v>-25.429573</v>
      </c>
      <c r="H981" s="106" t="str">
        <f>Cadastro!$H913</f>
        <v>-49.265175</v>
      </c>
      <c r="I981" s="104" t="str">
        <f>Cadastro!$I913</f>
        <v>siscop</v>
      </c>
      <c r="J981" s="104" t="str">
        <f>Cadastro!$J913</f>
        <v>Siscop1234</v>
      </c>
      <c r="K981" s="104" t="s">
        <v>4536</v>
      </c>
      <c r="L981" s="104" t="s">
        <v>26</v>
      </c>
      <c r="M981" s="104" t="s">
        <v>27</v>
      </c>
      <c r="N981" s="108" t="str">
        <f t="shared" si="1"/>
        <v>GMC-CURITIBA</v>
      </c>
      <c r="O981" s="109" t="str">
        <f>Cadastro!$O913</f>
        <v>https://monitoramento.pm.pr.gov.br/proxy_image_16/Interface/Cameras/GetJPEGStream?Camera=GCM34&amp;AuthUser=siscop&amp;AuthPass=Siscop1234&amp;Width=1024&amp;Height=768&amp;Quality=70&amp;FPS=10&amp;ResponseFormat=Text</v>
      </c>
      <c r="P981" s="106">
        <f>Cadastro!$P913</f>
        <v>1</v>
      </c>
    </row>
    <row r="982">
      <c r="A982" s="104" t="str">
        <f>Cadastro!$A914</f>
        <v>GMC-CURITIBA</v>
      </c>
      <c r="B982" s="104" t="str">
        <f>Cadastro!$B914</f>
        <v>CURITIBA</v>
      </c>
      <c r="C982" s="107" t="str">
        <f>Cadastro!$C914</f>
        <v>https://monitoramento.pm.pr.gov.br/proxy_image_16/</v>
      </c>
      <c r="D982" s="105">
        <f>Cadastro!$D914</f>
        <v>8601</v>
      </c>
      <c r="E982" s="104" t="str">
        <f>Cadastro!$E914</f>
        <v>GCM35</v>
      </c>
      <c r="F982" s="104" t="str">
        <f>Cadastro!$F914</f>
        <v>RUA. MARECHAL DEODORO COM R. MARIANO TORRES</v>
      </c>
      <c r="G982" s="106" t="str">
        <f>Cadastro!$G914</f>
        <v>-25.428765</v>
      </c>
      <c r="H982" s="106" t="str">
        <f>Cadastro!$H914</f>
        <v>-49.263219</v>
      </c>
      <c r="I982" s="104" t="str">
        <f>Cadastro!$I914</f>
        <v>siscop</v>
      </c>
      <c r="J982" s="104" t="str">
        <f>Cadastro!$J914</f>
        <v>Siscop1234</v>
      </c>
      <c r="K982" s="104" t="s">
        <v>4536</v>
      </c>
      <c r="L982" s="104" t="s">
        <v>26</v>
      </c>
      <c r="M982" s="104" t="s">
        <v>27</v>
      </c>
      <c r="N982" s="108" t="str">
        <f t="shared" si="1"/>
        <v>GMC-CURITIBA</v>
      </c>
      <c r="O982" s="109" t="str">
        <f>Cadastro!$O914</f>
        <v>https://monitoramento.pm.pr.gov.br/proxy_image_16/Interface/Cameras/GetJPEGStream?Camera=GCM35&amp;AuthUser=siscop&amp;AuthPass=Siscop1234&amp;Width=1024&amp;Height=768&amp;Quality=70&amp;FPS=10&amp;ResponseFormat=Text</v>
      </c>
      <c r="P982" s="106">
        <f>Cadastro!$P914</f>
        <v>1</v>
      </c>
    </row>
    <row r="983">
      <c r="A983" s="104" t="str">
        <f>Cadastro!$A915</f>
        <v>GMC-CURITIBA</v>
      </c>
      <c r="B983" s="104" t="str">
        <f>Cadastro!$B915</f>
        <v>CURITIBA</v>
      </c>
      <c r="C983" s="107" t="str">
        <f>Cadastro!$C915</f>
        <v>https://monitoramento.pm.pr.gov.br/proxy_image_16/</v>
      </c>
      <c r="D983" s="105">
        <f>Cadastro!$D915</f>
        <v>8601</v>
      </c>
      <c r="E983" s="104" t="str">
        <f>Cadastro!$E915</f>
        <v>GCM36</v>
      </c>
      <c r="F983" s="104" t="str">
        <f>Cadastro!$F915</f>
        <v>R. PRES. FARIAS R. 13 DE MAIO</v>
      </c>
      <c r="G983" s="106" t="str">
        <f>Cadastro!$G915</f>
        <v>-25.427360</v>
      </c>
      <c r="H983" s="106" t="str">
        <f>Cadastro!$H915</f>
        <v>-49.268612</v>
      </c>
      <c r="I983" s="104" t="str">
        <f>Cadastro!$I915</f>
        <v>siscop</v>
      </c>
      <c r="J983" s="104" t="str">
        <f>Cadastro!$J915</f>
        <v>Siscop1234</v>
      </c>
      <c r="K983" s="104" t="s">
        <v>4536</v>
      </c>
      <c r="L983" s="104" t="s">
        <v>26</v>
      </c>
      <c r="M983" s="104" t="s">
        <v>27</v>
      </c>
      <c r="N983" s="108" t="str">
        <f t="shared" si="1"/>
        <v>GMC-CURITIBA</v>
      </c>
      <c r="O983" s="109" t="str">
        <f>Cadastro!$O915</f>
        <v>https://monitoramento.pm.pr.gov.br/proxy_image_16/Interface/Cameras/GetJPEGStream?Camera=GCM36&amp;AuthUser=siscop&amp;AuthPass=Siscop1234&amp;Width=1024&amp;Height=768&amp;Quality=70&amp;FPS=10&amp;ResponseFormat=Text</v>
      </c>
      <c r="P983" s="106">
        <f>Cadastro!$P915</f>
        <v>1</v>
      </c>
    </row>
    <row r="984">
      <c r="A984" s="104" t="str">
        <f>Cadastro!$A916</f>
        <v>GMC-CURITIBA</v>
      </c>
      <c r="B984" s="104" t="str">
        <f>Cadastro!$B916</f>
        <v>CURITIBA</v>
      </c>
      <c r="C984" s="107" t="str">
        <f>Cadastro!$C916</f>
        <v>https://monitoramento.pm.pr.gov.br/proxy_image_16/</v>
      </c>
      <c r="D984" s="105">
        <f>Cadastro!$D916</f>
        <v>8601</v>
      </c>
      <c r="E984" s="104" t="str">
        <f>Cadastro!$E916</f>
        <v>GCM37</v>
      </c>
      <c r="F984" s="104" t="str">
        <f>Cadastro!$F916</f>
        <v>R. PRES. CARLOS CAVALCANTI R. RIACHUELO</v>
      </c>
      <c r="G984" s="104" t="str">
        <f>Cadastro!$G916</f>
        <v>-25.426174</v>
      </c>
      <c r="H984" s="104" t="str">
        <f>Cadastro!$H916</f>
        <v>-49.269521</v>
      </c>
      <c r="I984" s="104" t="str">
        <f>Cadastro!$I916</f>
        <v>siscop</v>
      </c>
      <c r="J984" s="104" t="str">
        <f>Cadastro!$J916</f>
        <v>Siscop1234</v>
      </c>
      <c r="K984" s="104" t="s">
        <v>4536</v>
      </c>
      <c r="L984" s="104" t="s">
        <v>26</v>
      </c>
      <c r="M984" s="104" t="s">
        <v>27</v>
      </c>
      <c r="N984" s="108" t="str">
        <f t="shared" si="1"/>
        <v>GMC-CURITIBA</v>
      </c>
      <c r="O984" s="109" t="str">
        <f>Cadastro!$O916</f>
        <v>https://monitoramento.pm.pr.gov.br/proxy_image_16/Interface/Cameras/GetJPEGStream?Camera=GCM37&amp;AuthUser=siscop&amp;AuthPass=Siscop1234&amp;Width=1024&amp;Height=768&amp;Quality=70&amp;FPS=10&amp;ResponseFormat=Text</v>
      </c>
      <c r="P984" s="106">
        <f>Cadastro!$P916</f>
        <v>1</v>
      </c>
    </row>
    <row r="985">
      <c r="A985" s="104" t="str">
        <f>Cadastro!$A917</f>
        <v>GMC-CURITIBA</v>
      </c>
      <c r="B985" s="104" t="str">
        <f>Cadastro!$B917</f>
        <v>CURITIBA</v>
      </c>
      <c r="C985" s="107" t="str">
        <f>Cadastro!$C917</f>
        <v>https://monitoramento.pm.pr.gov.br/proxy_image_16/</v>
      </c>
      <c r="D985" s="105">
        <f>Cadastro!$D917</f>
        <v>8601</v>
      </c>
      <c r="E985" s="104" t="str">
        <f>Cadastro!$E917</f>
        <v>GCM39</v>
      </c>
      <c r="F985" s="104" t="str">
        <f>Cadastro!$F917</f>
        <v>#</v>
      </c>
      <c r="G985" s="106" t="str">
        <f>Cadastro!$G917</f>
        <v>0</v>
      </c>
      <c r="H985" s="106" t="str">
        <f>Cadastro!$H917</f>
        <v>0</v>
      </c>
      <c r="I985" s="104" t="str">
        <f>Cadastro!$I917</f>
        <v>siscop</v>
      </c>
      <c r="J985" s="104" t="str">
        <f>Cadastro!$J917</f>
        <v>Siscop1234</v>
      </c>
      <c r="K985" s="104" t="s">
        <v>4536</v>
      </c>
      <c r="L985" s="104" t="s">
        <v>26</v>
      </c>
      <c r="M985" s="104" t="s">
        <v>27</v>
      </c>
      <c r="N985" s="108" t="str">
        <f t="shared" si="1"/>
        <v>GMC-CURITIBA</v>
      </c>
      <c r="O985" s="112" t="str">
        <f>Cadastro!$O917</f>
        <v>#</v>
      </c>
      <c r="P985" s="106">
        <f>Cadastro!$P917</f>
        <v>0</v>
      </c>
    </row>
    <row r="986">
      <c r="A986" s="104" t="str">
        <f>Cadastro!$A918</f>
        <v>GMC-CURITIBA</v>
      </c>
      <c r="B986" s="104" t="str">
        <f>Cadastro!$B918</f>
        <v>CURITIBA</v>
      </c>
      <c r="C986" s="107" t="str">
        <f>Cadastro!$C918</f>
        <v>https://monitoramento.pm.pr.gov.br/proxy_image_16/</v>
      </c>
      <c r="D986" s="105">
        <f>Cadastro!$D918</f>
        <v>8601</v>
      </c>
      <c r="E986" s="104" t="str">
        <f>Cadastro!$E918</f>
        <v>GCM38</v>
      </c>
      <c r="F986" s="104" t="str">
        <f>Cadastro!$F918</f>
        <v>#</v>
      </c>
      <c r="G986" s="106" t="str">
        <f>Cadastro!$G918</f>
        <v>0</v>
      </c>
      <c r="H986" s="106" t="str">
        <f>Cadastro!$H918</f>
        <v>0</v>
      </c>
      <c r="I986" s="104" t="str">
        <f>Cadastro!$I918</f>
        <v>siscop</v>
      </c>
      <c r="J986" s="104" t="str">
        <f>Cadastro!$J918</f>
        <v>Siscop1234</v>
      </c>
      <c r="K986" s="104" t="s">
        <v>4536</v>
      </c>
      <c r="L986" s="104" t="s">
        <v>26</v>
      </c>
      <c r="M986" s="104" t="s">
        <v>27</v>
      </c>
      <c r="N986" s="108" t="str">
        <f t="shared" si="1"/>
        <v>GMC-CURITIBA</v>
      </c>
      <c r="O986" s="112" t="str">
        <f>Cadastro!$O918</f>
        <v>#</v>
      </c>
      <c r="P986" s="106">
        <f>Cadastro!$P918</f>
        <v>0</v>
      </c>
    </row>
    <row r="987">
      <c r="A987" s="104" t="str">
        <f>Cadastro!$A919</f>
        <v>GMC-CURITIBA</v>
      </c>
      <c r="B987" s="104" t="str">
        <f>Cadastro!$B919</f>
        <v>CURITIBA</v>
      </c>
      <c r="C987" s="107" t="str">
        <f>Cadastro!$C919</f>
        <v>https://monitoramento.pm.pr.gov.br/proxy_image_16/</v>
      </c>
      <c r="D987" s="105">
        <f>Cadastro!$D919</f>
        <v>8601</v>
      </c>
      <c r="E987" s="104" t="str">
        <f>Cadastro!$E919</f>
        <v>GCM40</v>
      </c>
      <c r="F987" s="104" t="str">
        <f>Cadastro!$F919</f>
        <v>#</v>
      </c>
      <c r="G987" s="106" t="str">
        <f>Cadastro!$G919</f>
        <v>0</v>
      </c>
      <c r="H987" s="106" t="str">
        <f>Cadastro!$H919</f>
        <v>0</v>
      </c>
      <c r="I987" s="104" t="str">
        <f>Cadastro!$I919</f>
        <v>siscop</v>
      </c>
      <c r="J987" s="104" t="str">
        <f>Cadastro!$J919</f>
        <v>Siscop1234</v>
      </c>
      <c r="K987" s="104" t="s">
        <v>4536</v>
      </c>
      <c r="L987" s="104" t="s">
        <v>26</v>
      </c>
      <c r="M987" s="104" t="s">
        <v>27</v>
      </c>
      <c r="N987" s="108" t="str">
        <f t="shared" si="1"/>
        <v>GMC-CURITIBA</v>
      </c>
      <c r="O987" s="112" t="str">
        <f>Cadastro!$O919</f>
        <v>#</v>
      </c>
      <c r="P987" s="106">
        <f>Cadastro!$P919</f>
        <v>0</v>
      </c>
    </row>
    <row r="988">
      <c r="A988" s="104" t="str">
        <f>Cadastro!$A920</f>
        <v>GMC-CURITIBA</v>
      </c>
      <c r="B988" s="104" t="str">
        <f>Cadastro!$B920</f>
        <v>CURITIBA</v>
      </c>
      <c r="C988" s="107" t="str">
        <f>Cadastro!$C920</f>
        <v>https://monitoramento.pm.pr.gov.br/proxy_image_16/</v>
      </c>
      <c r="D988" s="105">
        <f>Cadastro!$D920</f>
        <v>8601</v>
      </c>
      <c r="E988" s="104" t="str">
        <f>Cadastro!$E920</f>
        <v>GCM41</v>
      </c>
      <c r="F988" s="104" t="str">
        <f>Cadastro!$F920</f>
        <v>#</v>
      </c>
      <c r="G988" s="106" t="str">
        <f>Cadastro!$G920</f>
        <v>0</v>
      </c>
      <c r="H988" s="106" t="str">
        <f>Cadastro!$H920</f>
        <v>0</v>
      </c>
      <c r="I988" s="104" t="str">
        <f>Cadastro!$I920</f>
        <v>siscop</v>
      </c>
      <c r="J988" s="104" t="str">
        <f>Cadastro!$J920</f>
        <v>Siscop1234</v>
      </c>
      <c r="K988" s="104" t="s">
        <v>4536</v>
      </c>
      <c r="L988" s="104" t="s">
        <v>26</v>
      </c>
      <c r="M988" s="104" t="s">
        <v>27</v>
      </c>
      <c r="N988" s="108" t="str">
        <f t="shared" si="1"/>
        <v>GMC-CURITIBA</v>
      </c>
      <c r="O988" s="112" t="str">
        <f>Cadastro!$O920</f>
        <v>#</v>
      </c>
      <c r="P988" s="106">
        <f>Cadastro!$P920</f>
        <v>0</v>
      </c>
    </row>
    <row r="989">
      <c r="A989" s="104" t="str">
        <f>Cadastro!$A921</f>
        <v>GMC-CURITIBA</v>
      </c>
      <c r="B989" s="104" t="str">
        <f>Cadastro!$B921</f>
        <v>CURITIBA</v>
      </c>
      <c r="C989" s="107" t="str">
        <f>Cadastro!$C921</f>
        <v>https://monitoramento.pm.pr.gov.br/proxy_image_16/</v>
      </c>
      <c r="D989" s="105">
        <f>Cadastro!$D921</f>
        <v>8601</v>
      </c>
      <c r="E989" s="104" t="str">
        <f>Cadastro!$E921</f>
        <v>GCM42</v>
      </c>
      <c r="F989" s="104" t="str">
        <f>Cadastro!$F921</f>
        <v>R .CANDIDO DE ABREU R.INACIO LUSTOSA</v>
      </c>
      <c r="G989" s="106" t="str">
        <f>Cadastro!$G921</f>
        <v>-25.424529</v>
      </c>
      <c r="H989" s="106" t="str">
        <f>Cadastro!$H921</f>
        <v>-49.269971</v>
      </c>
      <c r="I989" s="104" t="str">
        <f>Cadastro!$I921</f>
        <v>siscop</v>
      </c>
      <c r="J989" s="104" t="str">
        <f>Cadastro!$J921</f>
        <v>Siscop1234</v>
      </c>
      <c r="K989" s="104" t="s">
        <v>4536</v>
      </c>
      <c r="L989" s="104" t="s">
        <v>26</v>
      </c>
      <c r="M989" s="104" t="s">
        <v>27</v>
      </c>
      <c r="N989" s="108" t="str">
        <f t="shared" si="1"/>
        <v>GMC-CURITIBA</v>
      </c>
      <c r="O989" s="109" t="str">
        <f>Cadastro!$O921</f>
        <v>https://monitoramento.pm.pr.gov.br/proxy_image_16/Interface/Cameras/GetJPEGStream?Camera=GCM42&amp;AuthUser=siscop&amp;AuthPass=Siscop1234&amp;Width=1024&amp;Height=768&amp;Quality=70&amp;FPS=10&amp;ResponseFormat=Text</v>
      </c>
      <c r="P989" s="106">
        <f>Cadastro!$P921</f>
        <v>1</v>
      </c>
    </row>
    <row r="990">
      <c r="A990" s="104" t="str">
        <f>Cadastro!$A922</f>
        <v>GMC-CURITIBA</v>
      </c>
      <c r="B990" s="104" t="str">
        <f>Cadastro!$B922</f>
        <v>CURITIBA</v>
      </c>
      <c r="C990" s="107" t="str">
        <f>Cadastro!$C922</f>
        <v>https://monitoramento.pm.pr.gov.br/proxy_image_16/</v>
      </c>
      <c r="D990" s="105">
        <f>Cadastro!$D922</f>
        <v>8601</v>
      </c>
      <c r="E990" s="104" t="str">
        <f>Cadastro!$E922</f>
        <v>GCM43</v>
      </c>
      <c r="F990" s="104" t="str">
        <f>Cadastro!$F922</f>
        <v>PREFEITURA MUNICIPAL</v>
      </c>
      <c r="G990" s="106" t="str">
        <f>Cadastro!$G922</f>
        <v>-25.417076</v>
      </c>
      <c r="H990" s="106" t="str">
        <f>Cadastro!$H922</f>
        <v>-49.269327</v>
      </c>
      <c r="I990" s="104" t="str">
        <f>Cadastro!$I922</f>
        <v>siscop</v>
      </c>
      <c r="J990" s="104" t="str">
        <f>Cadastro!$J922</f>
        <v>Siscop1234</v>
      </c>
      <c r="K990" s="104" t="s">
        <v>4536</v>
      </c>
      <c r="L990" s="104" t="s">
        <v>26</v>
      </c>
      <c r="M990" s="104" t="s">
        <v>27</v>
      </c>
      <c r="N990" s="108" t="str">
        <f t="shared" si="1"/>
        <v>GMC-CURITIBA</v>
      </c>
      <c r="O990" s="109" t="str">
        <f>Cadastro!$O922</f>
        <v>https://monitoramento.pm.pr.gov.br/proxy_image_16/Interface/Cameras/GetJPEGStream?Camera=GCM43&amp;AuthUser=siscop&amp;AuthPass=Siscop1234&amp;Width=1024&amp;Height=768&amp;Quality=70&amp;FPS=10&amp;ResponseFormat=Text</v>
      </c>
      <c r="P990" s="106">
        <f>Cadastro!$P922</f>
        <v>1</v>
      </c>
    </row>
    <row r="991">
      <c r="A991" s="104" t="str">
        <f>Cadastro!$A923</f>
        <v>GMC-CURITIBA</v>
      </c>
      <c r="B991" s="104" t="str">
        <f>Cadastro!$B923</f>
        <v>CURITIBA</v>
      </c>
      <c r="C991" s="107" t="str">
        <f>Cadastro!$C923</f>
        <v>https://monitoramento.pm.pr.gov.br/proxy_image_16/</v>
      </c>
      <c r="D991" s="105">
        <f>Cadastro!$D923</f>
        <v>8601</v>
      </c>
      <c r="E991" s="104" t="str">
        <f>Cadastro!$E923</f>
        <v>GCM44</v>
      </c>
      <c r="F991" s="104" t="str">
        <f>Cadastro!$F923</f>
        <v>ESTACIONAMENTO PMC FIXA</v>
      </c>
      <c r="G991" s="106" t="str">
        <f>Cadastro!$G923</f>
        <v>-25.417202</v>
      </c>
      <c r="H991" s="106" t="str">
        <f>Cadastro!$H923</f>
        <v>-49.269319</v>
      </c>
      <c r="I991" s="104" t="str">
        <f>Cadastro!$I923</f>
        <v>siscop</v>
      </c>
      <c r="J991" s="104" t="str">
        <f>Cadastro!$J923</f>
        <v>Siscop1234</v>
      </c>
      <c r="K991" s="104" t="s">
        <v>4536</v>
      </c>
      <c r="L991" s="104" t="s">
        <v>26</v>
      </c>
      <c r="M991" s="104" t="s">
        <v>27</v>
      </c>
      <c r="N991" s="108" t="str">
        <f t="shared" si="1"/>
        <v>GMC-CURITIBA</v>
      </c>
      <c r="O991" s="109" t="str">
        <f>Cadastro!$O923</f>
        <v>https://monitoramento.pm.pr.gov.br/proxy_image_16/Interface/Cameras/GetJPEGStream?Camera=GCM44&amp;AuthUser=siscop&amp;AuthPass=Siscop1234&amp;Width=1024&amp;Height=768&amp;Quality=70&amp;FPS=10&amp;ResponseFormat=Text</v>
      </c>
      <c r="P991" s="106">
        <f>Cadastro!$P923</f>
        <v>1</v>
      </c>
    </row>
    <row r="992">
      <c r="A992" s="104" t="str">
        <f>Cadastro!$A924</f>
        <v>GMC-CURITIBA</v>
      </c>
      <c r="B992" s="104" t="str">
        <f>Cadastro!$B924</f>
        <v>CURITIBA</v>
      </c>
      <c r="C992" s="107" t="str">
        <f>Cadastro!$C924</f>
        <v>https://monitoramento.pm.pr.gov.br/proxy_image_16/</v>
      </c>
      <c r="D992" s="105">
        <f>Cadastro!$D924</f>
        <v>8601</v>
      </c>
      <c r="E992" s="104" t="str">
        <f>Cadastro!$E924</f>
        <v>GCM45</v>
      </c>
      <c r="F992" s="104" t="str">
        <f>Cadastro!$F924</f>
        <v>PCA. N. SRA. DA SALETE</v>
      </c>
      <c r="G992" s="106" t="str">
        <f>Cadastro!$G924</f>
        <v>-25.416614</v>
      </c>
      <c r="H992" s="106" t="str">
        <f>Cadastro!$H924</f>
        <v>-49.268563</v>
      </c>
      <c r="I992" s="104" t="str">
        <f>Cadastro!$I924</f>
        <v>siscop</v>
      </c>
      <c r="J992" s="104" t="str">
        <f>Cadastro!$J924</f>
        <v>Siscop1234</v>
      </c>
      <c r="K992" s="104" t="s">
        <v>4536</v>
      </c>
      <c r="L992" s="104" t="s">
        <v>26</v>
      </c>
      <c r="M992" s="104" t="s">
        <v>27</v>
      </c>
      <c r="N992" s="108" t="str">
        <f t="shared" si="1"/>
        <v>GMC-CURITIBA</v>
      </c>
      <c r="O992" s="109" t="str">
        <f>Cadastro!$O924</f>
        <v>https://monitoramento.pm.pr.gov.br/proxy_image_16/Interface/Cameras/GetJPEGStream?Camera=GCM45&amp;AuthUser=siscop&amp;AuthPass=Siscop1234&amp;Width=1024&amp;Height=768&amp;Quality=70&amp;FPS=10&amp;ResponseFormat=Text</v>
      </c>
      <c r="P992" s="106">
        <f>Cadastro!$P924</f>
        <v>1</v>
      </c>
    </row>
    <row r="993">
      <c r="A993" s="104" t="str">
        <f>Cadastro!$A925</f>
        <v>GMC-CURITIBA</v>
      </c>
      <c r="B993" s="104" t="str">
        <f>Cadastro!$B925</f>
        <v>CURITIBA</v>
      </c>
      <c r="C993" s="107" t="str">
        <f>Cadastro!$C925</f>
        <v>https://monitoramento.pm.pr.gov.br/proxy_image_16/</v>
      </c>
      <c r="D993" s="105">
        <f>Cadastro!$D925</f>
        <v>8601</v>
      </c>
      <c r="E993" s="104" t="str">
        <f>Cadastro!$E925</f>
        <v>GCM46</v>
      </c>
      <c r="F993" s="104" t="str">
        <f>Cadastro!$F925</f>
        <v>PRAÇA NOSSA SENHORA DA SALETE-FIXA</v>
      </c>
      <c r="G993" s="106" t="str">
        <f>Cadastro!$G925</f>
        <v>-25.416650</v>
      </c>
      <c r="H993" s="106" t="str">
        <f>Cadastro!$H925</f>
        <v>-49.268488</v>
      </c>
      <c r="I993" s="104" t="str">
        <f>Cadastro!$I925</f>
        <v>siscop</v>
      </c>
      <c r="J993" s="104" t="str">
        <f>Cadastro!$J925</f>
        <v>Siscop1234</v>
      </c>
      <c r="K993" s="104" t="s">
        <v>4536</v>
      </c>
      <c r="L993" s="104" t="s">
        <v>26</v>
      </c>
      <c r="M993" s="104" t="s">
        <v>27</v>
      </c>
      <c r="N993" s="108" t="str">
        <f t="shared" si="1"/>
        <v>GMC-CURITIBA</v>
      </c>
      <c r="O993" s="109" t="str">
        <f>Cadastro!$O925</f>
        <v>https://monitoramento.pm.pr.gov.br/proxy_image_16/Interface/Cameras/GetJPEGStream?Camera=GCM46&amp;AuthUser=siscop&amp;AuthPass=Siscop1234&amp;Width=1024&amp;Height=768&amp;Quality=70&amp;FPS=10&amp;ResponseFormat=Text</v>
      </c>
      <c r="P993" s="106">
        <f>Cadastro!$P925</f>
        <v>1</v>
      </c>
    </row>
    <row r="994">
      <c r="A994" s="104" t="str">
        <f>Cadastro!$A926</f>
        <v>GMC-CURITIBA</v>
      </c>
      <c r="B994" s="104" t="str">
        <f>Cadastro!$B926</f>
        <v>CURITIBA</v>
      </c>
      <c r="C994" s="107" t="str">
        <f>Cadastro!$C926</f>
        <v>https://monitoramento.pm.pr.gov.br/proxy_image_16/</v>
      </c>
      <c r="D994" s="105">
        <f>Cadastro!$D926</f>
        <v>8601</v>
      </c>
      <c r="E994" s="104" t="str">
        <f>Cadastro!$E926</f>
        <v>GCM47</v>
      </c>
      <c r="F994" s="104" t="str">
        <f>Cadastro!$F926</f>
        <v>#</v>
      </c>
      <c r="G994" s="106" t="str">
        <f>Cadastro!$G926</f>
        <v>0</v>
      </c>
      <c r="H994" s="106" t="str">
        <f>Cadastro!$H926</f>
        <v>0</v>
      </c>
      <c r="I994" s="104" t="str">
        <f>Cadastro!$I926</f>
        <v>siscop</v>
      </c>
      <c r="J994" s="104" t="str">
        <f>Cadastro!$J926</f>
        <v>Siscop1234</v>
      </c>
      <c r="K994" s="104" t="s">
        <v>4536</v>
      </c>
      <c r="L994" s="104" t="s">
        <v>26</v>
      </c>
      <c r="M994" s="104" t="s">
        <v>27</v>
      </c>
      <c r="N994" s="108" t="str">
        <f t="shared" si="1"/>
        <v>GMC-CURITIBA</v>
      </c>
      <c r="O994" s="112" t="str">
        <f>Cadastro!$O926</f>
        <v>#</v>
      </c>
      <c r="P994" s="106">
        <f>Cadastro!$P926</f>
        <v>0</v>
      </c>
    </row>
    <row r="995">
      <c r="A995" s="104" t="str">
        <f>Cadastro!$A927</f>
        <v>GMC-CURITIBA</v>
      </c>
      <c r="B995" s="104" t="str">
        <f>Cadastro!$B927</f>
        <v>CURITIBA</v>
      </c>
      <c r="C995" s="107" t="str">
        <f>Cadastro!$C927</f>
        <v>https://monitoramento.pm.pr.gov.br/proxy_image_16/</v>
      </c>
      <c r="D995" s="105">
        <f>Cadastro!$D927</f>
        <v>8601</v>
      </c>
      <c r="E995" s="104" t="str">
        <f>Cadastro!$E927</f>
        <v>GCM48</v>
      </c>
      <c r="F995" s="104" t="str">
        <f>Cadastro!$F927</f>
        <v>PRAÇA DA ESPANHA- LADO SALDANHA MARINHO- 3496</v>
      </c>
      <c r="G995" s="106" t="str">
        <f>Cadastro!$G927</f>
        <v>-25.434573</v>
      </c>
      <c r="H995" s="106" t="str">
        <f>Cadastro!$H927</f>
        <v>-49.287123</v>
      </c>
      <c r="I995" s="104" t="str">
        <f>Cadastro!$I927</f>
        <v>siscop</v>
      </c>
      <c r="J995" s="104" t="str">
        <f>Cadastro!$J927</f>
        <v>Siscop1234</v>
      </c>
      <c r="K995" s="104" t="s">
        <v>4536</v>
      </c>
      <c r="L995" s="104" t="s">
        <v>26</v>
      </c>
      <c r="M995" s="104" t="s">
        <v>27</v>
      </c>
      <c r="N995" s="108" t="str">
        <f t="shared" si="1"/>
        <v>GMC-CURITIBA</v>
      </c>
      <c r="O995" s="109" t="str">
        <f>Cadastro!$O927</f>
        <v>https://monitoramento.pm.pr.gov.br/proxy_image_16/Interface/Cameras/GetJPEGStream?Camera=GCM48&amp;AuthUser=siscop&amp;AuthPass=Siscop1234&amp;Width=1024&amp;Height=768&amp;Quality=70&amp;FPS=10&amp;ResponseFormat=Text</v>
      </c>
      <c r="P995" s="106">
        <f>Cadastro!$P927</f>
        <v>1</v>
      </c>
    </row>
    <row r="996">
      <c r="A996" s="104" t="str">
        <f>Cadastro!$A928</f>
        <v>GMC-CURITIBA</v>
      </c>
      <c r="B996" s="104" t="str">
        <f>Cadastro!$B928</f>
        <v>CURITIBA</v>
      </c>
      <c r="C996" s="107" t="str">
        <f>Cadastro!$C928</f>
        <v>https://monitoramento.pm.pr.gov.br/proxy_image_16/</v>
      </c>
      <c r="D996" s="105">
        <f>Cadastro!$D928</f>
        <v>8601</v>
      </c>
      <c r="E996" s="104" t="str">
        <f>Cadastro!$E928</f>
        <v>GCM49</v>
      </c>
      <c r="F996" s="104" t="str">
        <f>Cadastro!$F928</f>
        <v>RUA INÁCIO LUSTOSA ESQ. RUA TRAJANO REIS- 3501</v>
      </c>
      <c r="G996" s="106" t="str">
        <f>Cadastro!$G928</f>
        <v>-25.423791</v>
      </c>
      <c r="H996" s="106" t="str">
        <f>Cadastro!$H928</f>
        <v>-49.274141</v>
      </c>
      <c r="I996" s="104" t="str">
        <f>Cadastro!$I928</f>
        <v>siscop</v>
      </c>
      <c r="J996" s="104" t="str">
        <f>Cadastro!$J928</f>
        <v>Siscop1234</v>
      </c>
      <c r="K996" s="104" t="s">
        <v>4536</v>
      </c>
      <c r="L996" s="104" t="s">
        <v>26</v>
      </c>
      <c r="M996" s="104" t="s">
        <v>27</v>
      </c>
      <c r="N996" s="108" t="str">
        <f t="shared" si="1"/>
        <v>GMC-CURITIBA</v>
      </c>
      <c r="O996" s="109" t="str">
        <f>Cadastro!$O928</f>
        <v>https://monitoramento.pm.pr.gov.br/proxy_image_16/Interface/Cameras/GetJPEGStream?Camera=GCM49&amp;AuthUser=siscop&amp;AuthPass=Siscop1234&amp;Width=1024&amp;Height=768&amp;Quality=70&amp;FPS=10&amp;ResponseFormat=Text</v>
      </c>
      <c r="P996" s="106">
        <f>Cadastro!$P928</f>
        <v>1</v>
      </c>
    </row>
    <row r="997">
      <c r="A997" s="104" t="str">
        <f>Cadastro!$A929</f>
        <v>GMC-CURITIBA</v>
      </c>
      <c r="B997" s="104" t="str">
        <f>Cadastro!$B929</f>
        <v>CURITIBA</v>
      </c>
      <c r="C997" s="107" t="str">
        <f>Cadastro!$C929</f>
        <v>https://monitoramento.pm.pr.gov.br/proxy_image_16/</v>
      </c>
      <c r="D997" s="105">
        <f>Cadastro!$D929</f>
        <v>8601</v>
      </c>
      <c r="E997" s="104" t="str">
        <f>Cadastro!$E929</f>
        <v>GCM50</v>
      </c>
      <c r="F997" s="104" t="str">
        <f>Cadastro!$F929</f>
        <v>RUA TRAJANO REIS ESQ R. TREZE DE MAIO- LOJA MASIERO</v>
      </c>
      <c r="G997" s="106" t="str">
        <f>Cadastro!$G929</f>
        <v>-25.426505</v>
      </c>
      <c r="H997" s="106" t="str">
        <f>Cadastro!$H929</f>
        <v>-49.273705</v>
      </c>
      <c r="I997" s="104" t="str">
        <f>Cadastro!$I929</f>
        <v>siscop</v>
      </c>
      <c r="J997" s="104" t="str">
        <f>Cadastro!$J929</f>
        <v>Siscop1234</v>
      </c>
      <c r="K997" s="104" t="s">
        <v>4536</v>
      </c>
      <c r="L997" s="104" t="s">
        <v>26</v>
      </c>
      <c r="M997" s="104" t="s">
        <v>27</v>
      </c>
      <c r="N997" s="108" t="str">
        <f t="shared" si="1"/>
        <v>GMC-CURITIBA</v>
      </c>
      <c r="O997" s="109" t="str">
        <f>Cadastro!$O929</f>
        <v>https://monitoramento.pm.pr.gov.br/proxy_image_16/Interface/Cameras/GetJPEGStream?Camera=GCM50&amp;AuthUser=siscop&amp;AuthPass=Siscop1234&amp;Width=1024&amp;Height=768&amp;Quality=70&amp;FPS=10&amp;ResponseFormat=Text</v>
      </c>
      <c r="P997" s="106">
        <f>Cadastro!$P929</f>
        <v>1</v>
      </c>
    </row>
    <row r="998">
      <c r="A998" s="104" t="str">
        <f>Cadastro!$A930</f>
        <v>GMC-CURITIBA</v>
      </c>
      <c r="B998" s="104" t="str">
        <f>Cadastro!$B930</f>
        <v>CURITIBA</v>
      </c>
      <c r="C998" s="107" t="str">
        <f>Cadastro!$C930</f>
        <v>https://monitoramento.pm.pr.gov.br/proxy_image_16/</v>
      </c>
      <c r="D998" s="105">
        <f>Cadastro!$D930</f>
        <v>8601</v>
      </c>
      <c r="E998" s="104" t="str">
        <f>Cadastro!$E930</f>
        <v>GCM51</v>
      </c>
      <c r="F998" s="104" t="str">
        <f>Cadastro!$F930</f>
        <v>RUA MARIA CLARA COM RUA AMÂNICO MORO- IGREJA 2432</v>
      </c>
      <c r="G998" s="106" t="str">
        <f>Cadastro!$G930</f>
        <v>-25.421110</v>
      </c>
      <c r="H998" s="106" t="str">
        <f>Cadastro!$H930</f>
        <v>-49.261513</v>
      </c>
      <c r="I998" s="104" t="str">
        <f>Cadastro!$I930</f>
        <v>siscop</v>
      </c>
      <c r="J998" s="104" t="str">
        <f>Cadastro!$J930</f>
        <v>Siscop1234</v>
      </c>
      <c r="K998" s="104" t="s">
        <v>4536</v>
      </c>
      <c r="L998" s="104" t="s">
        <v>26</v>
      </c>
      <c r="M998" s="104" t="s">
        <v>27</v>
      </c>
      <c r="N998" s="108" t="str">
        <f t="shared" si="1"/>
        <v>GMC-CURITIBA</v>
      </c>
      <c r="O998" s="109" t="str">
        <f>Cadastro!$O930</f>
        <v>https://monitoramento.pm.pr.gov.br/proxy_image_16/Interface/Cameras/GetJPEGStream?Camera=GCM51&amp;AuthUser=siscop&amp;AuthPass=Siscop1234&amp;Width=1024&amp;Height=768&amp;Quality=70&amp;FPS=10&amp;ResponseFormat=Text</v>
      </c>
      <c r="P998" s="106">
        <f>Cadastro!$P930</f>
        <v>1</v>
      </c>
    </row>
    <row r="999">
      <c r="A999" s="104" t="str">
        <f>Cadastro!$A931</f>
        <v>GMC-CURITIBA</v>
      </c>
      <c r="B999" s="104" t="str">
        <f>Cadastro!$B931</f>
        <v>CURITIBA</v>
      </c>
      <c r="C999" s="107" t="str">
        <f>Cadastro!$C931</f>
        <v>https://monitoramento.pm.pr.gov.br/proxy_image_16/</v>
      </c>
      <c r="D999" s="105">
        <f>Cadastro!$D931</f>
        <v>8601</v>
      </c>
      <c r="E999" s="104" t="str">
        <f>Cadastro!$E931</f>
        <v>GCM52</v>
      </c>
      <c r="F999" s="104" t="str">
        <f>Cadastro!$F931</f>
        <v>R. IVO ESQ R. AMÂNCIO-MORO</v>
      </c>
      <c r="G999" s="106" t="str">
        <f>Cadastro!$G931</f>
        <v>-25.420776</v>
      </c>
      <c r="H999" s="106" t="str">
        <f>Cadastro!$H931</f>
        <v>-49.261066</v>
      </c>
      <c r="I999" s="104" t="str">
        <f>Cadastro!$I931</f>
        <v>siscop</v>
      </c>
      <c r="J999" s="104" t="str">
        <f>Cadastro!$J931</f>
        <v>Siscop1234</v>
      </c>
      <c r="K999" s="104" t="s">
        <v>4536</v>
      </c>
      <c r="L999" s="104" t="s">
        <v>26</v>
      </c>
      <c r="M999" s="104" t="s">
        <v>27</v>
      </c>
      <c r="N999" s="108" t="str">
        <f t="shared" si="1"/>
        <v>GMC-CURITIBA</v>
      </c>
      <c r="O999" s="109" t="str">
        <f>Cadastro!$O931</f>
        <v>https://monitoramento.pm.pr.gov.br/proxy_image_16/Interface/Cameras/GetJPEGStream?Camera=GCM52&amp;AuthUser=siscop&amp;AuthPass=Siscop1234&amp;Width=1024&amp;Height=768&amp;Quality=70&amp;FPS=10&amp;ResponseFormat=Text</v>
      </c>
      <c r="P999" s="106">
        <f>Cadastro!$P931</f>
        <v>1</v>
      </c>
    </row>
    <row r="1000">
      <c r="A1000" s="104" t="str">
        <f>Cadastro!$A932</f>
        <v>GMC-CURITIBA</v>
      </c>
      <c r="B1000" s="104" t="str">
        <f>Cadastro!$B932</f>
        <v>CURITIBA</v>
      </c>
      <c r="C1000" s="107" t="str">
        <f>Cadastro!$C932</f>
        <v>https://monitoramento.pm.pr.gov.br/proxy_image_16/</v>
      </c>
      <c r="D1000" s="105">
        <f>Cadastro!$D932</f>
        <v>8601</v>
      </c>
      <c r="E1000" s="104" t="str">
        <f>Cadastro!$E932</f>
        <v>GCM53</v>
      </c>
      <c r="F1000" s="104" t="str">
        <f>Cadastro!$F932</f>
        <v>#</v>
      </c>
      <c r="G1000" s="106" t="str">
        <f>Cadastro!$G932</f>
        <v>0</v>
      </c>
      <c r="H1000" s="106" t="str">
        <f>Cadastro!$H932</f>
        <v>0</v>
      </c>
      <c r="I1000" s="104" t="str">
        <f>Cadastro!$I932</f>
        <v>siscop</v>
      </c>
      <c r="J1000" s="104" t="str">
        <f>Cadastro!$J932</f>
        <v>Siscop1234</v>
      </c>
      <c r="K1000" s="104" t="s">
        <v>4536</v>
      </c>
      <c r="L1000" s="104" t="s">
        <v>26</v>
      </c>
      <c r="M1000" s="104" t="s">
        <v>27</v>
      </c>
      <c r="N1000" s="108" t="str">
        <f t="shared" si="1"/>
        <v>GMC-CURITIBA</v>
      </c>
      <c r="O1000" s="112" t="str">
        <f>Cadastro!$O932</f>
        <v>#</v>
      </c>
      <c r="P1000" s="106">
        <f>Cadastro!$P932</f>
        <v>0</v>
      </c>
    </row>
    <row r="1001">
      <c r="A1001" s="104" t="str">
        <f>Cadastro!$A933</f>
        <v>GMC-CURITIBA</v>
      </c>
      <c r="B1001" s="104" t="str">
        <f>Cadastro!$B933</f>
        <v>CURITIBA</v>
      </c>
      <c r="C1001" s="107" t="str">
        <f>Cadastro!$C933</f>
        <v>https://monitoramento.pm.pr.gov.br/proxy_image_16/</v>
      </c>
      <c r="D1001" s="105">
        <f>Cadastro!$D933</f>
        <v>8601</v>
      </c>
      <c r="E1001" s="104" t="str">
        <f>Cadastro!$E933</f>
        <v>GCM54</v>
      </c>
      <c r="F1001" s="104" t="str">
        <f>Cadastro!$F933</f>
        <v>R. BRIGADEIRO FRANCO ESQ R.COMENDADOR ARAÚJO</v>
      </c>
      <c r="G1001" s="106" t="str">
        <f>Cadastro!$G933</f>
        <v>-25.436699</v>
      </c>
      <c r="H1001" s="106" t="str">
        <f>Cadastro!$H933</f>
        <v>-49.279929</v>
      </c>
      <c r="I1001" s="104" t="str">
        <f>Cadastro!$I933</f>
        <v>siscop</v>
      </c>
      <c r="J1001" s="104" t="str">
        <f>Cadastro!$J933</f>
        <v>Siscop1234</v>
      </c>
      <c r="K1001" s="104" t="s">
        <v>4536</v>
      </c>
      <c r="L1001" s="104" t="s">
        <v>26</v>
      </c>
      <c r="M1001" s="104" t="s">
        <v>27</v>
      </c>
      <c r="N1001" s="108" t="str">
        <f t="shared" si="1"/>
        <v>GMC-CURITIBA</v>
      </c>
      <c r="O1001" s="109" t="str">
        <f>Cadastro!$O933</f>
        <v>https://monitoramento.pm.pr.gov.br/proxy_image_16/Interface/Cameras/GetJPEGStream?Camera=GCM54&amp;AuthUser=siscop&amp;AuthPass=Siscop1234&amp;Width=1024&amp;Height=768&amp;Quality=70&amp;FPS=10&amp;ResponseFormat=Text</v>
      </c>
      <c r="P1001" s="106">
        <f>Cadastro!$P933</f>
        <v>1</v>
      </c>
    </row>
    <row r="1002">
      <c r="A1002" s="104" t="str">
        <f>Cadastro!$A934</f>
        <v>GMC-CURITIBA</v>
      </c>
      <c r="B1002" s="104" t="str">
        <f>Cadastro!$B934</f>
        <v>CURITIBA</v>
      </c>
      <c r="C1002" s="107" t="str">
        <f>Cadastro!$C934</f>
        <v>https://monitoramento.pm.pr.gov.br/proxy_image_16/</v>
      </c>
      <c r="D1002" s="105">
        <f>Cadastro!$D934</f>
        <v>8601</v>
      </c>
      <c r="E1002" s="104" t="str">
        <f>Cadastro!$E934</f>
        <v>GCM55</v>
      </c>
      <c r="F1002" s="104" t="str">
        <f>Cadastro!$F934</f>
        <v>R. BRIGADEIRO FRANCO ESQ CELL MENNA BARRETO MONCLARO</v>
      </c>
      <c r="G1002" s="106" t="str">
        <f>Cadastro!$G934</f>
        <v>-25.437311</v>
      </c>
      <c r="H1002" s="106" t="str">
        <f>Cadastro!$H934</f>
        <v>-49.279009</v>
      </c>
      <c r="I1002" s="104" t="str">
        <f>Cadastro!$I934</f>
        <v>siscop</v>
      </c>
      <c r="J1002" s="104" t="str">
        <f>Cadastro!$J934</f>
        <v>Siscop1234</v>
      </c>
      <c r="K1002" s="104" t="s">
        <v>4536</v>
      </c>
      <c r="L1002" s="104" t="s">
        <v>26</v>
      </c>
      <c r="M1002" s="104" t="s">
        <v>27</v>
      </c>
      <c r="N1002" s="108" t="str">
        <f t="shared" si="1"/>
        <v>GMC-CURITIBA</v>
      </c>
      <c r="O1002" s="109" t="str">
        <f>Cadastro!$O934</f>
        <v>https://monitoramento.pm.pr.gov.br/proxy_image_16/Interface/Cameras/GetJPEGStream?Camera=GCM55&amp;AuthUser=siscop&amp;AuthPass=Siscop1234&amp;Width=1024&amp;Height=768&amp;Quality=70&amp;FPS=10&amp;ResponseFormat=Text</v>
      </c>
      <c r="P1002" s="106">
        <f>Cadastro!$P934</f>
        <v>1</v>
      </c>
    </row>
    <row r="1003">
      <c r="A1003" s="104" t="str">
        <f>Cadastro!$A935</f>
        <v>GMC-CURITIBA</v>
      </c>
      <c r="B1003" s="104" t="str">
        <f>Cadastro!$B935</f>
        <v>CURITIBA</v>
      </c>
      <c r="C1003" s="107" t="str">
        <f>Cadastro!$C935</f>
        <v>https://monitoramento.pm.pr.gov.br/proxy_image_16/</v>
      </c>
      <c r="D1003" s="105">
        <f>Cadastro!$D935</f>
        <v>8601</v>
      </c>
      <c r="E1003" s="104" t="str">
        <f>Cadastro!$E935</f>
        <v>GCM56</v>
      </c>
      <c r="F1003" s="104" t="str">
        <f>Cadastro!$F935</f>
        <v>R.JOAO NEGRÃO ESQ ANDRE DE BARROS- LOJA DA MODA 4022</v>
      </c>
      <c r="G1003" s="106" t="str">
        <f>Cadastro!$G935</f>
        <v>-25.433308</v>
      </c>
      <c r="H1003" s="106" t="str">
        <f>Cadastro!$H935</f>
        <v>-49.265282</v>
      </c>
      <c r="I1003" s="104" t="str">
        <f>Cadastro!$I935</f>
        <v>siscop</v>
      </c>
      <c r="J1003" s="104" t="str">
        <f>Cadastro!$J935</f>
        <v>Siscop1234</v>
      </c>
      <c r="K1003" s="104" t="s">
        <v>4536</v>
      </c>
      <c r="L1003" s="104" t="s">
        <v>26</v>
      </c>
      <c r="M1003" s="104" t="s">
        <v>27</v>
      </c>
      <c r="N1003" s="108" t="str">
        <f t="shared" si="1"/>
        <v>GMC-CURITIBA</v>
      </c>
      <c r="O1003" s="109" t="str">
        <f>Cadastro!$O935</f>
        <v>https://monitoramento.pm.pr.gov.br/proxy_image_16/Interface/Cameras/GetJPEGStream?Camera=GCM56&amp;AuthUser=siscop&amp;AuthPass=Siscop1234&amp;Width=1024&amp;Height=768&amp;Quality=70&amp;FPS=10&amp;ResponseFormat=Text</v>
      </c>
      <c r="P1003" s="106">
        <f>Cadastro!$P935</f>
        <v>1</v>
      </c>
    </row>
    <row r="1004">
      <c r="A1004" s="104" t="str">
        <f>Cadastro!$A936</f>
        <v>GMC-CURITIBA</v>
      </c>
      <c r="B1004" s="104" t="str">
        <f>Cadastro!$B936</f>
        <v>CURITIBA</v>
      </c>
      <c r="C1004" s="107" t="str">
        <f>Cadastro!$C936</f>
        <v>https://monitoramento.pm.pr.gov.br/proxy_image_16/</v>
      </c>
      <c r="D1004" s="105">
        <f>Cadastro!$D936</f>
        <v>8601</v>
      </c>
      <c r="E1004" s="104" t="str">
        <f>Cadastro!$E936</f>
        <v>GCM57</v>
      </c>
      <c r="F1004" s="104" t="str">
        <f>Cadastro!$F936</f>
        <v>#</v>
      </c>
      <c r="G1004" s="106" t="str">
        <f>Cadastro!$G936</f>
        <v>0</v>
      </c>
      <c r="H1004" s="106" t="str">
        <f>Cadastro!$H936</f>
        <v>0</v>
      </c>
      <c r="I1004" s="104" t="str">
        <f>Cadastro!$I936</f>
        <v>siscop</v>
      </c>
      <c r="J1004" s="104" t="str">
        <f>Cadastro!$J936</f>
        <v>Siscop1234</v>
      </c>
      <c r="K1004" s="104" t="s">
        <v>4536</v>
      </c>
      <c r="L1004" s="104" t="s">
        <v>26</v>
      </c>
      <c r="M1004" s="104" t="s">
        <v>27</v>
      </c>
      <c r="N1004" s="108" t="str">
        <f t="shared" si="1"/>
        <v>GMC-CURITIBA</v>
      </c>
      <c r="O1004" s="112" t="str">
        <f>Cadastro!$O936</f>
        <v>#</v>
      </c>
      <c r="P1004" s="106">
        <f>Cadastro!$P936</f>
        <v>0</v>
      </c>
    </row>
    <row r="1005">
      <c r="A1005" s="104" t="str">
        <f>Cadastro!$A937</f>
        <v>GMC-CURITIBA</v>
      </c>
      <c r="B1005" s="104" t="str">
        <f>Cadastro!$B937</f>
        <v>CURITIBA</v>
      </c>
      <c r="C1005" s="107" t="str">
        <f>Cadastro!$C937</f>
        <v>https://monitoramento.pm.pr.gov.br/proxy_image_16/</v>
      </c>
      <c r="D1005" s="105">
        <f>Cadastro!$D937</f>
        <v>8601</v>
      </c>
      <c r="E1005" s="104" t="str">
        <f>Cadastro!$E937</f>
        <v>GCM58</v>
      </c>
      <c r="F1005" s="104" t="str">
        <f>Cadastro!$F937</f>
        <v>#</v>
      </c>
      <c r="G1005" s="106" t="str">
        <f>Cadastro!$G937</f>
        <v>0</v>
      </c>
      <c r="H1005" s="106" t="str">
        <f>Cadastro!$H937</f>
        <v>0</v>
      </c>
      <c r="I1005" s="104" t="str">
        <f>Cadastro!$I937</f>
        <v>siscop</v>
      </c>
      <c r="J1005" s="104" t="str">
        <f>Cadastro!$J937</f>
        <v>Siscop1234</v>
      </c>
      <c r="K1005" s="104" t="s">
        <v>4536</v>
      </c>
      <c r="L1005" s="104" t="s">
        <v>26</v>
      </c>
      <c r="M1005" s="104" t="s">
        <v>27</v>
      </c>
      <c r="N1005" s="108" t="str">
        <f t="shared" si="1"/>
        <v>GMC-CURITIBA</v>
      </c>
      <c r="O1005" s="112" t="str">
        <f>Cadastro!$O937</f>
        <v>#</v>
      </c>
      <c r="P1005" s="106">
        <f>Cadastro!$P937</f>
        <v>0</v>
      </c>
    </row>
    <row r="1006">
      <c r="A1006" s="104" t="str">
        <f>Cadastro!$A938</f>
        <v>GMC-CURITIBA</v>
      </c>
      <c r="B1006" s="104" t="str">
        <f>Cadastro!$B938</f>
        <v>CURITIBA</v>
      </c>
      <c r="C1006" s="107" t="str">
        <f>Cadastro!$C938</f>
        <v>https://monitoramento.pm.pr.gov.br/proxy_image_16/</v>
      </c>
      <c r="D1006" s="105">
        <f>Cadastro!$D938</f>
        <v>8601</v>
      </c>
      <c r="E1006" s="104" t="str">
        <f>Cadastro!$E938</f>
        <v>GCM59</v>
      </c>
      <c r="F1006" s="104" t="str">
        <f>Cadastro!$F938</f>
        <v>#</v>
      </c>
      <c r="G1006" s="106" t="str">
        <f>Cadastro!$G938</f>
        <v>0</v>
      </c>
      <c r="H1006" s="106" t="str">
        <f>Cadastro!$H938</f>
        <v>0</v>
      </c>
      <c r="I1006" s="104" t="str">
        <f>Cadastro!$I938</f>
        <v>siscop</v>
      </c>
      <c r="J1006" s="104" t="str">
        <f>Cadastro!$J938</f>
        <v>Siscop1234</v>
      </c>
      <c r="K1006" s="104" t="s">
        <v>4536</v>
      </c>
      <c r="L1006" s="104" t="s">
        <v>26</v>
      </c>
      <c r="M1006" s="104" t="s">
        <v>27</v>
      </c>
      <c r="N1006" s="108" t="str">
        <f t="shared" si="1"/>
        <v>GMC-CURITIBA</v>
      </c>
      <c r="O1006" s="112" t="str">
        <f>Cadastro!$O938</f>
        <v>#</v>
      </c>
      <c r="P1006" s="106">
        <f>Cadastro!$P938</f>
        <v>0</v>
      </c>
    </row>
    <row r="1007">
      <c r="A1007" s="104" t="str">
        <f>Cadastro!$A939</f>
        <v>GMC-CURITIBA</v>
      </c>
      <c r="B1007" s="104" t="str">
        <f>Cadastro!$B939</f>
        <v>CURITIBA</v>
      </c>
      <c r="C1007" s="107" t="str">
        <f>Cadastro!$C939</f>
        <v>https://monitoramento.pm.pr.gov.br/proxy_image_16/</v>
      </c>
      <c r="D1007" s="105">
        <f>Cadastro!$D939</f>
        <v>8601</v>
      </c>
      <c r="E1007" s="104" t="str">
        <f>Cadastro!$E939</f>
        <v>GCM60</v>
      </c>
      <c r="F1007" s="104" t="str">
        <f>Cadastro!$F939</f>
        <v>#</v>
      </c>
      <c r="G1007" s="106" t="str">
        <f>Cadastro!$G939</f>
        <v>0</v>
      </c>
      <c r="H1007" s="106" t="str">
        <f>Cadastro!$H939</f>
        <v>0</v>
      </c>
      <c r="I1007" s="104" t="str">
        <f>Cadastro!$I939</f>
        <v>siscop</v>
      </c>
      <c r="J1007" s="104" t="str">
        <f>Cadastro!$J939</f>
        <v>Siscop1234</v>
      </c>
      <c r="K1007" s="104" t="s">
        <v>4536</v>
      </c>
      <c r="L1007" s="104" t="s">
        <v>26</v>
      </c>
      <c r="M1007" s="104" t="s">
        <v>27</v>
      </c>
      <c r="N1007" s="108" t="str">
        <f t="shared" si="1"/>
        <v>GMC-CURITIBA</v>
      </c>
      <c r="O1007" s="112" t="str">
        <f>Cadastro!$O939</f>
        <v>#</v>
      </c>
      <c r="P1007" s="106">
        <f>Cadastro!$P939</f>
        <v>0</v>
      </c>
    </row>
    <row r="1008">
      <c r="A1008" s="104" t="str">
        <f>Cadastro!$A940</f>
        <v>GMC-CURITIBA</v>
      </c>
      <c r="B1008" s="104" t="str">
        <f>Cadastro!$B940</f>
        <v>CURITIBA</v>
      </c>
      <c r="C1008" s="107" t="str">
        <f>Cadastro!$C940</f>
        <v>https://monitoramento.pm.pr.gov.br/proxy_image_16/</v>
      </c>
      <c r="D1008" s="105">
        <f>Cadastro!$D940</f>
        <v>8601</v>
      </c>
      <c r="E1008" s="104" t="str">
        <f>Cadastro!$E940</f>
        <v>GCM61</v>
      </c>
      <c r="F1008" s="104" t="str">
        <f>Cadastro!$F940</f>
        <v>AV.PRES.AFFONSO CAMARGO ESQ GENERAL CARNEIRO(RODOF.)</v>
      </c>
      <c r="G1008" s="106" t="str">
        <f>Cadastro!$G940</f>
        <v>-25.435865</v>
      </c>
      <c r="H1008" s="106" t="str">
        <f>Cadastro!$H940</f>
        <v>-49.257104</v>
      </c>
      <c r="I1008" s="104" t="str">
        <f>Cadastro!$I940</f>
        <v>siscop</v>
      </c>
      <c r="J1008" s="104" t="str">
        <f>Cadastro!$J940</f>
        <v>Siscop1234</v>
      </c>
      <c r="K1008" s="104" t="s">
        <v>4536</v>
      </c>
      <c r="L1008" s="104" t="s">
        <v>26</v>
      </c>
      <c r="M1008" s="104" t="s">
        <v>27</v>
      </c>
      <c r="N1008" s="108" t="str">
        <f t="shared" si="1"/>
        <v>GMC-CURITIBA</v>
      </c>
      <c r="O1008" s="109" t="str">
        <f>Cadastro!$O940</f>
        <v>https://monitoramento.pm.pr.gov.br/proxy_image_16/Interface/Cameras/GetJPEGStream?Camera=GCM61&amp;AuthUser=siscop&amp;AuthPass=Siscop1234&amp;Width=1024&amp;Height=768&amp;Quality=70&amp;FPS=10&amp;ResponseFormat=Text</v>
      </c>
      <c r="P1008" s="106">
        <f>Cadastro!$P940</f>
        <v>1</v>
      </c>
    </row>
    <row r="1009">
      <c r="A1009" s="104" t="str">
        <f>Cadastro!$A941</f>
        <v>GMC-CURITIBA</v>
      </c>
      <c r="B1009" s="104" t="str">
        <f>Cadastro!$B941</f>
        <v>CURITIBA</v>
      </c>
      <c r="C1009" s="107" t="str">
        <f>Cadastro!$C941</f>
        <v>https://monitoramento.pm.pr.gov.br/proxy_image_16/</v>
      </c>
      <c r="D1009" s="105">
        <f>Cadastro!$D941</f>
        <v>8601</v>
      </c>
      <c r="E1009" s="104" t="str">
        <f>Cadastro!$E941</f>
        <v>GCM62</v>
      </c>
      <c r="F1009" s="104" t="str">
        <f>Cadastro!$F941</f>
        <v>AV. PRES, AFFONSO CAMARGO ESQ MARIANO TORRES-LOJA DE CARROS</v>
      </c>
      <c r="G1009" s="106" t="str">
        <f>Cadastro!$G941</f>
        <v>-25.435640</v>
      </c>
      <c r="H1009" s="106" t="str">
        <f>Cadastro!$H941</f>
        <v>-49.260186</v>
      </c>
      <c r="I1009" s="104" t="str">
        <f>Cadastro!$I941</f>
        <v>siscop</v>
      </c>
      <c r="J1009" s="104" t="str">
        <f>Cadastro!$J941</f>
        <v>Siscop1234</v>
      </c>
      <c r="K1009" s="104" t="s">
        <v>4536</v>
      </c>
      <c r="L1009" s="104" t="s">
        <v>26</v>
      </c>
      <c r="M1009" s="104" t="s">
        <v>27</v>
      </c>
      <c r="N1009" s="108" t="str">
        <f t="shared" si="1"/>
        <v>GMC-CURITIBA</v>
      </c>
      <c r="O1009" s="109" t="str">
        <f>Cadastro!$O941</f>
        <v>https://monitoramento.pm.pr.gov.br/proxy_image_16/Interface/Cameras/GetJPEGStream?Camera=GCM62&amp;AuthUser=siscop&amp;AuthPass=Siscop1234&amp;Width=1024&amp;Height=768&amp;Quality=70&amp;FPS=10&amp;ResponseFormat=Text</v>
      </c>
      <c r="P1009" s="106">
        <f>Cadastro!$P941</f>
        <v>1</v>
      </c>
    </row>
    <row r="1010">
      <c r="A1010" s="104" t="str">
        <f>Cadastro!$A942</f>
        <v>GMC-CURITIBA</v>
      </c>
      <c r="B1010" s="104" t="str">
        <f>Cadastro!$B942</f>
        <v>CURITIBA</v>
      </c>
      <c r="C1010" s="107" t="str">
        <f>Cadastro!$C942</f>
        <v>https://monitoramento.pm.pr.gov.br/proxy_image_16/</v>
      </c>
      <c r="D1010" s="105">
        <f>Cadastro!$D942</f>
        <v>8601</v>
      </c>
      <c r="E1010" s="104" t="str">
        <f>Cadastro!$E942</f>
        <v>GCM63</v>
      </c>
      <c r="F1010" s="104" t="str">
        <f>Cadastro!$F942</f>
        <v>#</v>
      </c>
      <c r="G1010" s="106" t="str">
        <f>Cadastro!$G942</f>
        <v>0</v>
      </c>
      <c r="H1010" s="106" t="str">
        <f>Cadastro!$H942</f>
        <v>0</v>
      </c>
      <c r="I1010" s="104" t="str">
        <f>Cadastro!$I942</f>
        <v>siscop</v>
      </c>
      <c r="J1010" s="104" t="str">
        <f>Cadastro!$J942</f>
        <v>Siscop1234</v>
      </c>
      <c r="K1010" s="104" t="s">
        <v>4536</v>
      </c>
      <c r="L1010" s="104" t="s">
        <v>26</v>
      </c>
      <c r="M1010" s="104" t="s">
        <v>27</v>
      </c>
      <c r="N1010" s="108" t="str">
        <f t="shared" si="1"/>
        <v>GMC-CURITIBA</v>
      </c>
      <c r="O1010" s="112" t="str">
        <f>Cadastro!$O942</f>
        <v>#</v>
      </c>
      <c r="P1010" s="106">
        <f>Cadastro!$P942</f>
        <v>0</v>
      </c>
    </row>
    <row r="1011">
      <c r="A1011" s="104" t="str">
        <f>Cadastro!$A943</f>
        <v>GMC-CURITIBA</v>
      </c>
      <c r="B1011" s="104" t="str">
        <f>Cadastro!$B943</f>
        <v>CURITIBA</v>
      </c>
      <c r="C1011" s="107" t="str">
        <f>Cadastro!$C943</f>
        <v>https://monitoramento.pm.pr.gov.br/proxy_image_16/</v>
      </c>
      <c r="D1011" s="105">
        <f>Cadastro!$D943</f>
        <v>8601</v>
      </c>
      <c r="E1011" s="104" t="str">
        <f>Cadastro!$E943</f>
        <v>GCM64</v>
      </c>
      <c r="F1011" s="104" t="str">
        <f>Cadastro!$F943</f>
        <v>RUA WILSTON CHURCHILL,969- CTA3504</v>
      </c>
      <c r="G1011" s="106" t="str">
        <f>Cadastro!$G943</f>
        <v>-25.504648</v>
      </c>
      <c r="H1011" s="106" t="str">
        <f>Cadastro!$H943</f>
        <v>-49.296017</v>
      </c>
      <c r="I1011" s="104" t="str">
        <f>Cadastro!$I943</f>
        <v>siscop</v>
      </c>
      <c r="J1011" s="104" t="str">
        <f>Cadastro!$J943</f>
        <v>Siscop1234</v>
      </c>
      <c r="K1011" s="104" t="s">
        <v>4536</v>
      </c>
      <c r="L1011" s="104" t="s">
        <v>26</v>
      </c>
      <c r="M1011" s="104" t="s">
        <v>27</v>
      </c>
      <c r="N1011" s="108" t="str">
        <f t="shared" si="1"/>
        <v>GMC-CURITIBA</v>
      </c>
      <c r="O1011" s="109" t="str">
        <f>Cadastro!$O943</f>
        <v>https://monitoramento.pm.pr.gov.br/proxy_image_16/Interface/Cameras/GetJPEGStream?Camera=GCM64&amp;AuthUser=siscop&amp;AuthPass=Siscop1234&amp;Width=1024&amp;Height=768&amp;Quality=70&amp;FPS=10&amp;ResponseFormat=Text</v>
      </c>
      <c r="P1011" s="106">
        <f>Cadastro!$P943</f>
        <v>1</v>
      </c>
    </row>
    <row r="1012">
      <c r="A1012" s="104" t="str">
        <f>Cadastro!$A944</f>
        <v>GMC-CURITIBA</v>
      </c>
      <c r="B1012" s="104" t="str">
        <f>Cadastro!$B944</f>
        <v>CURITIBA</v>
      </c>
      <c r="C1012" s="107" t="str">
        <f>Cadastro!$C944</f>
        <v>https://monitoramento.pm.pr.gov.br/proxy_image_16/</v>
      </c>
      <c r="D1012" s="105">
        <f>Cadastro!$D944</f>
        <v>8601</v>
      </c>
      <c r="E1012" s="104" t="str">
        <f>Cadastro!$E944</f>
        <v>GCM65</v>
      </c>
      <c r="F1012" s="104" t="str">
        <f>Cadastro!$F944</f>
        <v>AV.SETE DE SETEMBRO ESQ JOÃO NEGRÃO (PONTE PRETA)</v>
      </c>
      <c r="G1012" s="106" t="str">
        <f>Cadastro!$G944</f>
        <v>-25.436531</v>
      </c>
      <c r="H1012" s="106" t="str">
        <f>Cadastro!$H944</f>
        <v>-49.263693</v>
      </c>
      <c r="I1012" s="104" t="str">
        <f>Cadastro!$I944</f>
        <v>siscop</v>
      </c>
      <c r="J1012" s="104" t="str">
        <f>Cadastro!$J944</f>
        <v>Siscop1234</v>
      </c>
      <c r="K1012" s="104" t="s">
        <v>4536</v>
      </c>
      <c r="L1012" s="104" t="s">
        <v>26</v>
      </c>
      <c r="M1012" s="104" t="s">
        <v>27</v>
      </c>
      <c r="N1012" s="108" t="str">
        <f t="shared" si="1"/>
        <v>GMC-CURITIBA</v>
      </c>
      <c r="O1012" s="109" t="str">
        <f>Cadastro!$O944</f>
        <v>https://monitoramento.pm.pr.gov.br/proxy_image_16/Interface/Cameras/GetJPEGStream?Camera=GCM65&amp;AuthUser=siscop&amp;AuthPass=Siscop1234&amp;Width=1024&amp;Height=768&amp;Quality=70&amp;FPS=10&amp;ResponseFormat=Text</v>
      </c>
      <c r="P1012" s="106">
        <f>Cadastro!$P944</f>
        <v>1</v>
      </c>
    </row>
    <row r="1013">
      <c r="A1013" s="104" t="str">
        <f>Cadastro!$A945</f>
        <v>GMC-CURITIBA</v>
      </c>
      <c r="B1013" s="104" t="str">
        <f>Cadastro!$B945</f>
        <v>CURITIBA</v>
      </c>
      <c r="C1013" s="107" t="str">
        <f>Cadastro!$C945</f>
        <v>https://monitoramento.pm.pr.gov.br/proxy_image_16/</v>
      </c>
      <c r="D1013" s="105">
        <f>Cadastro!$D945</f>
        <v>8601</v>
      </c>
      <c r="E1013" s="104" t="str">
        <f>Cadastro!$E945</f>
        <v>GCM66</v>
      </c>
      <c r="F1013" s="104" t="str">
        <f>Cadastro!$F945</f>
        <v>AV. SETE DE SETEMBRO ESQ TIBAGI</v>
      </c>
      <c r="G1013" s="106" t="str">
        <f>Cadastro!$G945</f>
        <v>-25.435611</v>
      </c>
      <c r="H1013" s="106" t="str">
        <f>Cadastro!$H945</f>
        <v>-49.261387</v>
      </c>
      <c r="I1013" s="104" t="str">
        <f>Cadastro!$I945</f>
        <v>siscop</v>
      </c>
      <c r="J1013" s="104" t="str">
        <f>Cadastro!$J945</f>
        <v>Siscop1234</v>
      </c>
      <c r="K1013" s="104" t="s">
        <v>4536</v>
      </c>
      <c r="L1013" s="104" t="s">
        <v>26</v>
      </c>
      <c r="M1013" s="104" t="s">
        <v>27</v>
      </c>
      <c r="N1013" s="108" t="str">
        <f t="shared" si="1"/>
        <v>GMC-CURITIBA</v>
      </c>
      <c r="O1013" s="109" t="str">
        <f>Cadastro!$O945</f>
        <v>https://monitoramento.pm.pr.gov.br/proxy_image_16/Interface/Cameras/GetJPEGStream?Camera=GCM66&amp;AuthUser=siscop&amp;AuthPass=Siscop1234&amp;Width=1024&amp;Height=768&amp;Quality=70&amp;FPS=10&amp;ResponseFormat=Text</v>
      </c>
      <c r="P1013" s="106">
        <f>Cadastro!$P945</f>
        <v>1</v>
      </c>
    </row>
    <row r="1014">
      <c r="A1014" s="104" t="str">
        <f>Cadastro!$A946</f>
        <v>GMC-CURITIBA</v>
      </c>
      <c r="B1014" s="104" t="str">
        <f>Cadastro!$B946</f>
        <v>CURITIBA</v>
      </c>
      <c r="C1014" s="107" t="str">
        <f>Cadastro!$C946</f>
        <v>https://monitoramento.pm.pr.gov.br/proxy_image_16/</v>
      </c>
      <c r="D1014" s="105">
        <f>Cadastro!$D946</f>
        <v>8601</v>
      </c>
      <c r="E1014" s="104" t="str">
        <f>Cadastro!$E946</f>
        <v>GCM67</v>
      </c>
      <c r="F1014" s="104" t="str">
        <f>Cadastro!$F946</f>
        <v>AV. SETE DE SETEMBRO ESQ VIADUTO DO CAPEMA</v>
      </c>
      <c r="G1014" s="106" t="str">
        <f>Cadastro!$G946</f>
        <v>-25.435643</v>
      </c>
      <c r="H1014" s="106" t="str">
        <f>Cadastro!$H946</f>
        <v>-49.254925</v>
      </c>
      <c r="I1014" s="104" t="str">
        <f>Cadastro!$I946</f>
        <v>siscop</v>
      </c>
      <c r="J1014" s="104" t="str">
        <f>Cadastro!$J946</f>
        <v>Siscop1234</v>
      </c>
      <c r="K1014" s="104" t="s">
        <v>4536</v>
      </c>
      <c r="L1014" s="104" t="s">
        <v>26</v>
      </c>
      <c r="M1014" s="104" t="s">
        <v>27</v>
      </c>
      <c r="N1014" s="108" t="str">
        <f t="shared" si="1"/>
        <v>GMC-CURITIBA</v>
      </c>
      <c r="O1014" s="109" t="str">
        <f>Cadastro!$O946</f>
        <v>https://monitoramento.pm.pr.gov.br/proxy_image_16/Interface/Cameras/GetJPEGStream?Camera=GCM67&amp;AuthUser=siscop&amp;AuthPass=Siscop1234&amp;Width=1024&amp;Height=768&amp;Quality=70&amp;FPS=10&amp;ResponseFormat=Text</v>
      </c>
      <c r="P1014" s="106">
        <f>Cadastro!$P946</f>
        <v>1</v>
      </c>
    </row>
    <row r="1015">
      <c r="A1015" s="104" t="str">
        <f>Cadastro!$A947</f>
        <v>GMC-CURITIBA</v>
      </c>
      <c r="B1015" s="104" t="str">
        <f>Cadastro!$B947</f>
        <v>CURITIBA</v>
      </c>
      <c r="C1015" s="107" t="str">
        <f>Cadastro!$C947</f>
        <v>https://monitoramento.pm.pr.gov.br/proxy_image_16/</v>
      </c>
      <c r="D1015" s="105">
        <f>Cadastro!$D947</f>
        <v>8601</v>
      </c>
      <c r="E1015" s="104" t="str">
        <f>Cadastro!$E947</f>
        <v>GCM68</v>
      </c>
      <c r="F1015" s="104" t="str">
        <f>Cadastro!$F947</f>
        <v>#</v>
      </c>
      <c r="G1015" s="106" t="str">
        <f>Cadastro!$G947</f>
        <v>0</v>
      </c>
      <c r="H1015" s="106" t="str">
        <f>Cadastro!$H947</f>
        <v>0</v>
      </c>
      <c r="I1015" s="104" t="str">
        <f>Cadastro!$I947</f>
        <v>siscop</v>
      </c>
      <c r="J1015" s="104" t="str">
        <f>Cadastro!$J947</f>
        <v>Siscop1234</v>
      </c>
      <c r="K1015" s="104" t="s">
        <v>4536</v>
      </c>
      <c r="L1015" s="104" t="s">
        <v>26</v>
      </c>
      <c r="M1015" s="104" t="s">
        <v>27</v>
      </c>
      <c r="N1015" s="108" t="str">
        <f t="shared" si="1"/>
        <v>GMC-CURITIBA</v>
      </c>
      <c r="O1015" s="112" t="str">
        <f>Cadastro!$O947</f>
        <v>#</v>
      </c>
      <c r="P1015" s="106">
        <f>Cadastro!$P947</f>
        <v>0</v>
      </c>
    </row>
    <row r="1016">
      <c r="A1016" s="104" t="str">
        <f>Cadastro!$A948</f>
        <v>GMC-CURITIBA</v>
      </c>
      <c r="B1016" s="104" t="str">
        <f>Cadastro!$B948</f>
        <v>CURITIBA</v>
      </c>
      <c r="C1016" s="107" t="str">
        <f>Cadastro!$C948</f>
        <v>https://monitoramento.pm.pr.gov.br/proxy_image_16/</v>
      </c>
      <c r="D1016" s="105">
        <f>Cadastro!$D948</f>
        <v>8601</v>
      </c>
      <c r="E1016" s="104" t="str">
        <f>Cadastro!$E948</f>
        <v>GCM69</v>
      </c>
      <c r="F1016" s="104" t="str">
        <f>Cadastro!$F948</f>
        <v>#</v>
      </c>
      <c r="G1016" s="106" t="str">
        <f>Cadastro!$G948</f>
        <v>0</v>
      </c>
      <c r="H1016" s="106" t="str">
        <f>Cadastro!$H948</f>
        <v>0</v>
      </c>
      <c r="I1016" s="104" t="str">
        <f>Cadastro!$I948</f>
        <v>siscop</v>
      </c>
      <c r="J1016" s="104" t="str">
        <f>Cadastro!$J948</f>
        <v>Siscop1234</v>
      </c>
      <c r="K1016" s="104" t="s">
        <v>4536</v>
      </c>
      <c r="L1016" s="104" t="s">
        <v>26</v>
      </c>
      <c r="M1016" s="104" t="s">
        <v>27</v>
      </c>
      <c r="N1016" s="108" t="str">
        <f t="shared" si="1"/>
        <v>GMC-CURITIBA</v>
      </c>
      <c r="O1016" s="112" t="str">
        <f>Cadastro!$O948</f>
        <v>#</v>
      </c>
      <c r="P1016" s="106">
        <f>Cadastro!$P948</f>
        <v>0</v>
      </c>
    </row>
    <row r="1017">
      <c r="A1017" s="104" t="str">
        <f>Cadastro!$A949</f>
        <v>GMC-CURITIBA</v>
      </c>
      <c r="B1017" s="104" t="str">
        <f>Cadastro!$B949</f>
        <v>CURITIBA</v>
      </c>
      <c r="C1017" s="107" t="str">
        <f>Cadastro!$C949</f>
        <v>https://monitoramento.pm.pr.gov.br/proxy_image_16/</v>
      </c>
      <c r="D1017" s="105">
        <f>Cadastro!$D949</f>
        <v>8601</v>
      </c>
      <c r="E1017" s="104" t="str">
        <f>Cadastro!$E949</f>
        <v>GCM70</v>
      </c>
      <c r="F1017" s="104" t="str">
        <f>Cadastro!$F949</f>
        <v>#</v>
      </c>
      <c r="G1017" s="106" t="str">
        <f>Cadastro!$G949</f>
        <v>0</v>
      </c>
      <c r="H1017" s="106" t="str">
        <f>Cadastro!$H949</f>
        <v>0</v>
      </c>
      <c r="I1017" s="104" t="str">
        <f>Cadastro!$I949</f>
        <v>siscop</v>
      </c>
      <c r="J1017" s="104" t="str">
        <f>Cadastro!$J949</f>
        <v>Siscop1234</v>
      </c>
      <c r="K1017" s="104" t="s">
        <v>4536</v>
      </c>
      <c r="L1017" s="104" t="s">
        <v>26</v>
      </c>
      <c r="M1017" s="104" t="s">
        <v>27</v>
      </c>
      <c r="N1017" s="108" t="str">
        <f t="shared" si="1"/>
        <v>GMC-CURITIBA</v>
      </c>
      <c r="O1017" s="112" t="str">
        <f>Cadastro!$O949</f>
        <v>#</v>
      </c>
      <c r="P1017" s="106">
        <f>Cadastro!$P949</f>
        <v>0</v>
      </c>
    </row>
    <row r="1018">
      <c r="A1018" s="104" t="str">
        <f>Cadastro!$A950</f>
        <v>GMC-CURITIBA</v>
      </c>
      <c r="B1018" s="104" t="str">
        <f>Cadastro!$B950</f>
        <v>CURITIBA</v>
      </c>
      <c r="C1018" s="107" t="str">
        <f>Cadastro!$C950</f>
        <v>https://monitoramento.pm.pr.gov.br/proxy_image_16/</v>
      </c>
      <c r="D1018" s="105">
        <f>Cadastro!$D950</f>
        <v>8601</v>
      </c>
      <c r="E1018" s="104" t="str">
        <f>Cadastro!$E950</f>
        <v>GCM71</v>
      </c>
      <c r="F1018" s="104" t="str">
        <f>Cadastro!$F950</f>
        <v>#</v>
      </c>
      <c r="G1018" s="106" t="str">
        <f>Cadastro!$G950</f>
        <v>0</v>
      </c>
      <c r="H1018" s="106" t="str">
        <f>Cadastro!$H950</f>
        <v>0</v>
      </c>
      <c r="I1018" s="104" t="str">
        <f>Cadastro!$I950</f>
        <v>siscop</v>
      </c>
      <c r="J1018" s="104" t="str">
        <f>Cadastro!$J950</f>
        <v>Siscop1234</v>
      </c>
      <c r="K1018" s="104" t="s">
        <v>4536</v>
      </c>
      <c r="L1018" s="104" t="s">
        <v>26</v>
      </c>
      <c r="M1018" s="104" t="s">
        <v>27</v>
      </c>
      <c r="N1018" s="108" t="str">
        <f t="shared" si="1"/>
        <v>GMC-CURITIBA</v>
      </c>
      <c r="O1018" s="112" t="str">
        <f>Cadastro!$O950</f>
        <v>#</v>
      </c>
      <c r="P1018" s="106">
        <f>Cadastro!$P950</f>
        <v>0</v>
      </c>
    </row>
    <row r="1019">
      <c r="A1019" s="104" t="str">
        <f>Cadastro!$A951</f>
        <v>GMC-CURITIBA</v>
      </c>
      <c r="B1019" s="104" t="str">
        <f>Cadastro!$B951</f>
        <v>CURITIBA</v>
      </c>
      <c r="C1019" s="107" t="str">
        <f>Cadastro!$C951</f>
        <v>https://monitoramento.pm.pr.gov.br/proxy_image_16/</v>
      </c>
      <c r="D1019" s="105">
        <f>Cadastro!$D951</f>
        <v>8601</v>
      </c>
      <c r="E1019" s="104" t="str">
        <f>Cadastro!$E951</f>
        <v>GCM72</v>
      </c>
      <c r="F1019" s="104" t="str">
        <f>Cadastro!$F951</f>
        <v>CONSELHEIRO LAURINDO ESQ PEDRO IVO.</v>
      </c>
      <c r="G1019" s="106" t="str">
        <f>Cadastro!$G951</f>
        <v>-25.432127</v>
      </c>
      <c r="H1019" s="106" t="str">
        <f>Cadastro!$H951</f>
        <v>-49.264183</v>
      </c>
      <c r="I1019" s="104" t="str">
        <f>Cadastro!$I951</f>
        <v>siscop</v>
      </c>
      <c r="J1019" s="104" t="str">
        <f>Cadastro!$J951</f>
        <v>Siscop1234</v>
      </c>
      <c r="K1019" s="104" t="s">
        <v>4536</v>
      </c>
      <c r="L1019" s="104" t="s">
        <v>26</v>
      </c>
      <c r="M1019" s="104" t="s">
        <v>27</v>
      </c>
      <c r="N1019" s="108" t="str">
        <f t="shared" si="1"/>
        <v>GMC-CURITIBA</v>
      </c>
      <c r="O1019" s="109" t="str">
        <f>Cadastro!$O951</f>
        <v>https://monitoramento.pm.pr.gov.br/proxy_image_16/Interface/Cameras/GetJPEGStream?Camera=GCM72&amp;AuthUser=siscop&amp;AuthPass=Siscop1234&amp;Width=1024&amp;Height=768&amp;Quality=70&amp;FPS=10&amp;ResponseFormat=Text</v>
      </c>
      <c r="P1019" s="106">
        <f>Cadastro!$P951</f>
        <v>1</v>
      </c>
    </row>
    <row r="1020">
      <c r="A1020" s="104" t="str">
        <f>Cadastro!$A952</f>
        <v>GMC-CURITIBA</v>
      </c>
      <c r="B1020" s="104" t="str">
        <f>Cadastro!$B952</f>
        <v>CURITIBA</v>
      </c>
      <c r="C1020" s="107" t="str">
        <f>Cadastro!$C952</f>
        <v>https://monitoramento.pm.pr.gov.br/proxy_image_16/</v>
      </c>
      <c r="D1020" s="105">
        <f>Cadastro!$D952</f>
        <v>8601</v>
      </c>
      <c r="E1020" s="104" t="str">
        <f>Cadastro!$E952</f>
        <v>GCM73</v>
      </c>
      <c r="F1020" s="104" t="str">
        <f>Cadastro!$F952</f>
        <v>RUA IZAAC FERREIRA DA CRUZ ESQ FILOSOFO-HUMBERTO  RONDEN- CTA 2424</v>
      </c>
      <c r="G1020" s="106" t="str">
        <f>Cadastro!$G952</f>
        <v>-25.537872</v>
      </c>
      <c r="H1020" s="106" t="str">
        <f>Cadastro!$H952</f>
        <v>-49.278005</v>
      </c>
      <c r="I1020" s="104" t="str">
        <f>Cadastro!$I952</f>
        <v>siscop</v>
      </c>
      <c r="J1020" s="104" t="str">
        <f>Cadastro!$J952</f>
        <v>Siscop1234</v>
      </c>
      <c r="K1020" s="104" t="s">
        <v>4536</v>
      </c>
      <c r="L1020" s="104" t="s">
        <v>26</v>
      </c>
      <c r="M1020" s="104" t="s">
        <v>27</v>
      </c>
      <c r="N1020" s="108" t="str">
        <f t="shared" si="1"/>
        <v>GMC-CURITIBA</v>
      </c>
      <c r="O1020" s="109" t="str">
        <f>Cadastro!$O952</f>
        <v>https://monitoramento.pm.pr.gov.br/proxy_image_16/Interface/Cameras/GetJPEGStream?Camera=GCM73&amp;AuthUser=siscop&amp;AuthPass=Siscop1234&amp;Width=1024&amp;Height=768&amp;Quality=70&amp;FPS=10&amp;ResponseFormat=Text</v>
      </c>
      <c r="P1020" s="106">
        <f>Cadastro!$P952</f>
        <v>1</v>
      </c>
    </row>
    <row r="1021">
      <c r="A1021" s="104" t="str">
        <f>Cadastro!$A953</f>
        <v>GMC-CURITIBA</v>
      </c>
      <c r="B1021" s="104" t="str">
        <f>Cadastro!$B953</f>
        <v>CURITIBA</v>
      </c>
      <c r="C1021" s="107" t="str">
        <f>Cadastro!$C953</f>
        <v>https://monitoramento.pm.pr.gov.br/proxy_image_16/</v>
      </c>
      <c r="D1021" s="105">
        <f>Cadastro!$D953</f>
        <v>8601</v>
      </c>
      <c r="E1021" s="104" t="str">
        <f>Cadastro!$E953</f>
        <v>GCM74</v>
      </c>
      <c r="F1021" s="104" t="str">
        <f>Cadastro!$F953</f>
        <v>LOURENÇO PINTO, 339- ENTRADA LATERA DA CAMERA MUNICIPAL DE CURITIBA-CTA 2346</v>
      </c>
      <c r="G1021" s="106" t="str">
        <f>Cadastro!$G953</f>
        <v>-25.437000</v>
      </c>
      <c r="H1021" s="106" t="str">
        <f>Cadastro!$H953</f>
        <v>-49.267636</v>
      </c>
      <c r="I1021" s="104" t="str">
        <f>Cadastro!$I953</f>
        <v>siscop</v>
      </c>
      <c r="J1021" s="104" t="str">
        <f>Cadastro!$J953</f>
        <v>Siscop1234</v>
      </c>
      <c r="K1021" s="104" t="s">
        <v>4536</v>
      </c>
      <c r="L1021" s="104" t="s">
        <v>26</v>
      </c>
      <c r="M1021" s="104" t="s">
        <v>27</v>
      </c>
      <c r="N1021" s="108" t="str">
        <f t="shared" si="1"/>
        <v>GMC-CURITIBA</v>
      </c>
      <c r="O1021" s="109" t="str">
        <f>Cadastro!$O953</f>
        <v>https://monitoramento.pm.pr.gov.br/proxy_image_16/Interface/Cameras/GetJPEGStream?Camera=GCM74&amp;AuthUser=siscop&amp;AuthPass=Siscop1234&amp;Width=1024&amp;Height=768&amp;Quality=70&amp;FPS=10&amp;ResponseFormat=Text</v>
      </c>
      <c r="P1021" s="106">
        <f>Cadastro!$P953</f>
        <v>1</v>
      </c>
    </row>
    <row r="1022">
      <c r="A1022" s="104" t="str">
        <f>Cadastro!$A954</f>
        <v>GMC-CURITIBA</v>
      </c>
      <c r="B1022" s="104" t="str">
        <f>Cadastro!$B954</f>
        <v>CURITIBA</v>
      </c>
      <c r="C1022" s="107" t="str">
        <f>Cadastro!$C954</f>
        <v>https://monitoramento.pm.pr.gov.br/proxy_image_16/</v>
      </c>
      <c r="D1022" s="105">
        <f>Cadastro!$D954</f>
        <v>8601</v>
      </c>
      <c r="E1022" s="104" t="str">
        <f>Cadastro!$E954</f>
        <v>GCM75</v>
      </c>
      <c r="F1022" s="104" t="str">
        <f>Cadastro!$F954</f>
        <v>#</v>
      </c>
      <c r="G1022" s="106" t="str">
        <f>Cadastro!$G954</f>
        <v>0</v>
      </c>
      <c r="H1022" s="106" t="str">
        <f>Cadastro!$H954</f>
        <v>0</v>
      </c>
      <c r="I1022" s="104" t="str">
        <f>Cadastro!$I954</f>
        <v>siscop</v>
      </c>
      <c r="J1022" s="104" t="str">
        <f>Cadastro!$J954</f>
        <v>Siscop1234</v>
      </c>
      <c r="K1022" s="104" t="s">
        <v>4536</v>
      </c>
      <c r="L1022" s="104" t="s">
        <v>26</v>
      </c>
      <c r="M1022" s="104" t="s">
        <v>27</v>
      </c>
      <c r="N1022" s="108" t="str">
        <f t="shared" si="1"/>
        <v>GMC-CURITIBA</v>
      </c>
      <c r="O1022" s="112" t="str">
        <f>Cadastro!$O954</f>
        <v>#</v>
      </c>
      <c r="P1022" s="106">
        <f>Cadastro!$P954</f>
        <v>0</v>
      </c>
    </row>
    <row r="1023">
      <c r="A1023" s="104" t="str">
        <f>Cadastro!$A955</f>
        <v>GMC-CURITIBA</v>
      </c>
      <c r="B1023" s="104" t="str">
        <f>Cadastro!$B955</f>
        <v>CURITIBA</v>
      </c>
      <c r="C1023" s="107" t="str">
        <f>Cadastro!$C955</f>
        <v>https://monitoramento.pm.pr.gov.br/proxy_image_16/</v>
      </c>
      <c r="D1023" s="105">
        <f>Cadastro!$D955</f>
        <v>8601</v>
      </c>
      <c r="E1023" s="104" t="str">
        <f>Cadastro!$E955</f>
        <v>GCM76</v>
      </c>
      <c r="F1023" s="104" t="str">
        <f>Cadastro!$F955</f>
        <v>#</v>
      </c>
      <c r="G1023" s="106" t="str">
        <f>Cadastro!$G955</f>
        <v>0</v>
      </c>
      <c r="H1023" s="106" t="str">
        <f>Cadastro!$H955</f>
        <v>0</v>
      </c>
      <c r="I1023" s="104" t="str">
        <f>Cadastro!$I955</f>
        <v>siscop</v>
      </c>
      <c r="J1023" s="104" t="str">
        <f>Cadastro!$J955</f>
        <v>Siscop1234</v>
      </c>
      <c r="K1023" s="104" t="s">
        <v>4536</v>
      </c>
      <c r="L1023" s="104" t="s">
        <v>26</v>
      </c>
      <c r="M1023" s="104" t="s">
        <v>27</v>
      </c>
      <c r="N1023" s="108" t="str">
        <f t="shared" si="1"/>
        <v>GMC-CURITIBA</v>
      </c>
      <c r="O1023" s="112" t="str">
        <f>Cadastro!$O955</f>
        <v>#</v>
      </c>
      <c r="P1023" s="106">
        <f>Cadastro!$P955</f>
        <v>0</v>
      </c>
    </row>
    <row r="1024">
      <c r="A1024" s="104" t="str">
        <f>Cadastro!$A956</f>
        <v>GMC-CURITIBA</v>
      </c>
      <c r="B1024" s="104" t="str">
        <f>Cadastro!$B956</f>
        <v>CURITIBA</v>
      </c>
      <c r="C1024" s="107" t="str">
        <f>Cadastro!$C956</f>
        <v>https://monitoramento.pm.pr.gov.br/proxy_image_16/</v>
      </c>
      <c r="D1024" s="105">
        <f>Cadastro!$D956</f>
        <v>8601</v>
      </c>
      <c r="E1024" s="104" t="str">
        <f>Cadastro!$E956</f>
        <v>GCM77</v>
      </c>
      <c r="F1024" s="104" t="str">
        <f>Cadastro!$F956</f>
        <v>#</v>
      </c>
      <c r="G1024" s="106" t="str">
        <f>Cadastro!$G956</f>
        <v>0</v>
      </c>
      <c r="H1024" s="106" t="str">
        <f>Cadastro!$H956</f>
        <v>0</v>
      </c>
      <c r="I1024" s="104" t="str">
        <f>Cadastro!$I956</f>
        <v>siscop</v>
      </c>
      <c r="J1024" s="104" t="str">
        <f>Cadastro!$J956</f>
        <v>Siscop1234</v>
      </c>
      <c r="K1024" s="104" t="s">
        <v>4536</v>
      </c>
      <c r="L1024" s="104" t="s">
        <v>26</v>
      </c>
      <c r="M1024" s="104" t="s">
        <v>27</v>
      </c>
      <c r="N1024" s="108" t="str">
        <f t="shared" si="1"/>
        <v>GMC-CURITIBA</v>
      </c>
      <c r="O1024" s="112" t="str">
        <f>Cadastro!$O956</f>
        <v>#</v>
      </c>
      <c r="P1024" s="106">
        <f>Cadastro!$P956</f>
        <v>0</v>
      </c>
    </row>
    <row r="1025">
      <c r="A1025" s="104" t="str">
        <f>Cadastro!$A957</f>
        <v>GMC-CURITIBA</v>
      </c>
      <c r="B1025" s="104" t="str">
        <f>Cadastro!$B957</f>
        <v>CURITIBA</v>
      </c>
      <c r="C1025" s="107" t="str">
        <f>Cadastro!$C957</f>
        <v>https://monitoramento.pm.pr.gov.br/proxy_image_16/</v>
      </c>
      <c r="D1025" s="105">
        <f>Cadastro!$D957</f>
        <v>8601</v>
      </c>
      <c r="E1025" s="104" t="str">
        <f>Cadastro!$E957</f>
        <v>GCM78</v>
      </c>
      <c r="F1025" s="104" t="str">
        <f>Cadastro!$F957</f>
        <v>#</v>
      </c>
      <c r="G1025" s="106" t="str">
        <f>Cadastro!$G957</f>
        <v>0</v>
      </c>
      <c r="H1025" s="106" t="str">
        <f>Cadastro!$H957</f>
        <v>0</v>
      </c>
      <c r="I1025" s="104" t="str">
        <f>Cadastro!$I957</f>
        <v>siscop</v>
      </c>
      <c r="J1025" s="104" t="str">
        <f>Cadastro!$J957</f>
        <v>Siscop1234</v>
      </c>
      <c r="K1025" s="104" t="s">
        <v>4536</v>
      </c>
      <c r="L1025" s="104" t="s">
        <v>26</v>
      </c>
      <c r="M1025" s="104" t="s">
        <v>27</v>
      </c>
      <c r="N1025" s="108" t="str">
        <f t="shared" si="1"/>
        <v>GMC-CURITIBA</v>
      </c>
      <c r="O1025" s="112" t="str">
        <f>Cadastro!$O957</f>
        <v>#</v>
      </c>
      <c r="P1025" s="106">
        <f>Cadastro!$P957</f>
        <v>0</v>
      </c>
    </row>
    <row r="1026">
      <c r="A1026" s="104" t="str">
        <f>Cadastro!$A958</f>
        <v>GMC-CURITIBA</v>
      </c>
      <c r="B1026" s="104" t="str">
        <f>Cadastro!$B958</f>
        <v>CURITIBA</v>
      </c>
      <c r="C1026" s="107" t="str">
        <f>Cadastro!$C958</f>
        <v>https://monitoramento.pm.pr.gov.br/proxy_image_16/</v>
      </c>
      <c r="D1026" s="105">
        <f>Cadastro!$D958</f>
        <v>8601</v>
      </c>
      <c r="E1026" s="104" t="str">
        <f>Cadastro!$E958</f>
        <v>GCM79</v>
      </c>
      <c r="F1026" s="104" t="str">
        <f>Cadastro!$F958</f>
        <v>RUA DA CIDADANIA BAIRRO NOVO- RUA TIJUCAS DO SUL, 1700-CTA-</v>
      </c>
      <c r="G1026" s="106" t="str">
        <f>Cadastro!$G958</f>
        <v>-25.544893</v>
      </c>
      <c r="H1026" s="106" t="str">
        <f>Cadastro!$H958</f>
        <v>-49.266035</v>
      </c>
      <c r="I1026" s="104" t="str">
        <f>Cadastro!$I958</f>
        <v>siscop</v>
      </c>
      <c r="J1026" s="104" t="str">
        <f>Cadastro!$J958</f>
        <v>Siscop1234</v>
      </c>
      <c r="K1026" s="104" t="s">
        <v>4536</v>
      </c>
      <c r="L1026" s="104" t="s">
        <v>26</v>
      </c>
      <c r="M1026" s="104" t="s">
        <v>27</v>
      </c>
      <c r="N1026" s="108" t="str">
        <f t="shared" si="1"/>
        <v>GMC-CURITIBA</v>
      </c>
      <c r="O1026" s="109" t="str">
        <f>Cadastro!$O958</f>
        <v>https://monitoramento.pm.pr.gov.br/proxy_image_16/Interface/Cameras/GetJPEGStream?Camera=GCM79&amp;AuthUser=siscop&amp;AuthPass=Siscop1234&amp;Width=1024&amp;Height=768&amp;Quality=70&amp;FPS=10&amp;ResponseFormat=Text</v>
      </c>
      <c r="P1026" s="106">
        <f>Cadastro!$P958</f>
        <v>1</v>
      </c>
    </row>
    <row r="1027">
      <c r="A1027" s="104" t="str">
        <f>Cadastro!$A959</f>
        <v>GMC-CURITIBA</v>
      </c>
      <c r="B1027" s="104" t="str">
        <f>Cadastro!$B959</f>
        <v>CURITIBA</v>
      </c>
      <c r="C1027" s="107" t="str">
        <f>Cadastro!$C959</f>
        <v>https://monitoramento.pm.pr.gov.br/proxy_image_16/</v>
      </c>
      <c r="D1027" s="105">
        <f>Cadastro!$D959</f>
        <v>8601</v>
      </c>
      <c r="E1027" s="104" t="str">
        <f>Cadastro!$E959</f>
        <v>GCM80</v>
      </c>
      <c r="F1027" s="104" t="str">
        <f>Cadastro!$F959</f>
        <v>R. TIJUCAS DO SUL ESQ NOVA AURORA</v>
      </c>
      <c r="G1027" s="106" t="str">
        <f>Cadastro!$G959</f>
        <v>-25.545411</v>
      </c>
      <c r="H1027" s="106" t="str">
        <f>Cadastro!$H959</f>
        <v>-49.264964</v>
      </c>
      <c r="I1027" s="104" t="str">
        <f>Cadastro!$I959</f>
        <v>siscop</v>
      </c>
      <c r="J1027" s="104" t="str">
        <f>Cadastro!$J959</f>
        <v>Siscop1234</v>
      </c>
      <c r="K1027" s="104" t="s">
        <v>4536</v>
      </c>
      <c r="L1027" s="104" t="s">
        <v>26</v>
      </c>
      <c r="M1027" s="104" t="s">
        <v>27</v>
      </c>
      <c r="N1027" s="108" t="str">
        <f t="shared" si="1"/>
        <v>GMC-CURITIBA</v>
      </c>
      <c r="O1027" s="109" t="str">
        <f>Cadastro!$O959</f>
        <v>https://monitoramento.pm.pr.gov.br/proxy_image_16/Interface/Cameras/GetJPEGStream?Camera=GCM80&amp;AuthUser=siscop&amp;AuthPass=Siscop1234&amp;Width=1024&amp;Height=768&amp;Quality=70&amp;FPS=10&amp;ResponseFormat=Text</v>
      </c>
      <c r="P1027" s="106">
        <f>Cadastro!$P959</f>
        <v>1</v>
      </c>
    </row>
    <row r="1028">
      <c r="A1028" s="104" t="str">
        <f>Cadastro!$A960</f>
        <v>GMC-CURITIBA</v>
      </c>
      <c r="B1028" s="104" t="str">
        <f>Cadastro!$B960</f>
        <v>CURITIBA</v>
      </c>
      <c r="C1028" s="107" t="str">
        <f>Cadastro!$C960</f>
        <v>https://monitoramento.pm.pr.gov.br/proxy_image_16/</v>
      </c>
      <c r="D1028" s="105">
        <f>Cadastro!$D960</f>
        <v>8601</v>
      </c>
      <c r="E1028" s="104" t="str">
        <f>Cadastro!$E960</f>
        <v>GCM81</v>
      </c>
      <c r="F1028" s="104" t="str">
        <f>Cadastro!$F960</f>
        <v>#</v>
      </c>
      <c r="G1028" s="106" t="str">
        <f>Cadastro!$G960</f>
        <v>0</v>
      </c>
      <c r="H1028" s="106" t="str">
        <f>Cadastro!$H960</f>
        <v>0</v>
      </c>
      <c r="I1028" s="104" t="str">
        <f>Cadastro!$I960</f>
        <v>siscop</v>
      </c>
      <c r="J1028" s="104" t="str">
        <f>Cadastro!$J960</f>
        <v>Siscop1234</v>
      </c>
      <c r="K1028" s="104" t="s">
        <v>4536</v>
      </c>
      <c r="L1028" s="104" t="s">
        <v>26</v>
      </c>
      <c r="M1028" s="104" t="s">
        <v>27</v>
      </c>
      <c r="N1028" s="108" t="str">
        <f t="shared" si="1"/>
        <v>GMC-CURITIBA</v>
      </c>
      <c r="O1028" s="112" t="str">
        <f>Cadastro!$O960</f>
        <v>#</v>
      </c>
      <c r="P1028" s="106">
        <f>Cadastro!$P960</f>
        <v>0</v>
      </c>
    </row>
    <row r="1029">
      <c r="A1029" s="104" t="str">
        <f>Cadastro!$A961</f>
        <v>GMC-CURITIBA</v>
      </c>
      <c r="B1029" s="104" t="str">
        <f>Cadastro!$B961</f>
        <v>CURITIBA</v>
      </c>
      <c r="C1029" s="107" t="str">
        <f>Cadastro!$C961</f>
        <v>https://monitoramento.pm.pr.gov.br/proxy_image_16/</v>
      </c>
      <c r="D1029" s="105">
        <f>Cadastro!$D961</f>
        <v>8601</v>
      </c>
      <c r="E1029" s="104" t="str">
        <f>Cadastro!$E961</f>
        <v>GCM82</v>
      </c>
      <c r="F1029" s="104" t="str">
        <f>Cadastro!$F961</f>
        <v>#</v>
      </c>
      <c r="G1029" s="106" t="str">
        <f>Cadastro!$G961</f>
        <v>0</v>
      </c>
      <c r="H1029" s="106" t="str">
        <f>Cadastro!$H961</f>
        <v>0</v>
      </c>
      <c r="I1029" s="104" t="str">
        <f>Cadastro!$I961</f>
        <v>siscop</v>
      </c>
      <c r="J1029" s="104" t="str">
        <f>Cadastro!$J961</f>
        <v>Siscop1234</v>
      </c>
      <c r="K1029" s="104" t="s">
        <v>4536</v>
      </c>
      <c r="L1029" s="104" t="s">
        <v>26</v>
      </c>
      <c r="M1029" s="104" t="s">
        <v>27</v>
      </c>
      <c r="N1029" s="108" t="str">
        <f t="shared" si="1"/>
        <v>GMC-CURITIBA</v>
      </c>
      <c r="O1029" s="112" t="str">
        <f>Cadastro!$O961</f>
        <v>#</v>
      </c>
      <c r="P1029" s="106">
        <f>Cadastro!$P961</f>
        <v>0</v>
      </c>
    </row>
    <row r="1030">
      <c r="A1030" s="104" t="str">
        <f>Cadastro!$A962</f>
        <v>GMC-CURITIBA</v>
      </c>
      <c r="B1030" s="104" t="str">
        <f>Cadastro!$B962</f>
        <v>CURITIBA</v>
      </c>
      <c r="C1030" s="107" t="str">
        <f>Cadastro!$C962</f>
        <v>https://monitoramento.pm.pr.gov.br/proxy_image_16/</v>
      </c>
      <c r="D1030" s="105">
        <f>Cadastro!$D962</f>
        <v>8601</v>
      </c>
      <c r="E1030" s="104" t="str">
        <f>Cadastro!$E962</f>
        <v>GCM83</v>
      </c>
      <c r="F1030" s="104" t="str">
        <f>Cadastro!$F962</f>
        <v>#</v>
      </c>
      <c r="G1030" s="106" t="str">
        <f>Cadastro!$G962</f>
        <v>0</v>
      </c>
      <c r="H1030" s="106" t="str">
        <f>Cadastro!$H962</f>
        <v>0</v>
      </c>
      <c r="I1030" s="104" t="str">
        <f>Cadastro!$I962</f>
        <v>siscop</v>
      </c>
      <c r="J1030" s="104" t="str">
        <f>Cadastro!$J962</f>
        <v>Siscop1234</v>
      </c>
      <c r="K1030" s="104" t="s">
        <v>4536</v>
      </c>
      <c r="L1030" s="104" t="s">
        <v>26</v>
      </c>
      <c r="M1030" s="104" t="s">
        <v>27</v>
      </c>
      <c r="N1030" s="108" t="str">
        <f t="shared" si="1"/>
        <v>GMC-CURITIBA</v>
      </c>
      <c r="O1030" s="112" t="str">
        <f>Cadastro!$O962</f>
        <v>#</v>
      </c>
      <c r="P1030" s="106">
        <f>Cadastro!$P962</f>
        <v>0</v>
      </c>
    </row>
    <row r="1031">
      <c r="A1031" s="104" t="str">
        <f>Cadastro!$A963</f>
        <v>GMC-CURITIBA</v>
      </c>
      <c r="B1031" s="104" t="str">
        <f>Cadastro!$B963</f>
        <v>CURITIBA</v>
      </c>
      <c r="C1031" s="107" t="str">
        <f>Cadastro!$C963</f>
        <v>https://monitoramento.pm.pr.gov.br/proxy_image_16/</v>
      </c>
      <c r="D1031" s="105">
        <f>Cadastro!$D963</f>
        <v>8601</v>
      </c>
      <c r="E1031" s="104" t="str">
        <f>Cadastro!$E963</f>
        <v>GCM84</v>
      </c>
      <c r="F1031" s="104" t="str">
        <f>Cadastro!$F963</f>
        <v>PRAÇA ARISTIDIS O,H, FILHO- R, CELESTE TORTADO C/ R. FILOSOFO H. ROHDEN</v>
      </c>
      <c r="G1031" s="106" t="str">
        <f>Cadastro!$G963</f>
        <v>-25.541408</v>
      </c>
      <c r="H1031" s="106" t="str">
        <f>Cadastro!$H963</f>
        <v>-49.272188</v>
      </c>
      <c r="I1031" s="104" t="str">
        <f>Cadastro!$I963</f>
        <v>siscop</v>
      </c>
      <c r="J1031" s="104" t="str">
        <f>Cadastro!$J963</f>
        <v>Siscop1234</v>
      </c>
      <c r="K1031" s="104" t="s">
        <v>4536</v>
      </c>
      <c r="L1031" s="104" t="s">
        <v>26</v>
      </c>
      <c r="M1031" s="104" t="s">
        <v>27</v>
      </c>
      <c r="N1031" s="108" t="str">
        <f t="shared" si="1"/>
        <v>GMC-CURITIBA</v>
      </c>
      <c r="O1031" s="109" t="str">
        <f>Cadastro!$O963</f>
        <v>https://monitoramento.pm.pr.gov.br/proxy_image_16/Interface/Cameras/GetJPEGStream?Camera=GCM84&amp;AuthUser=siscop&amp;AuthPass=Siscop1234&amp;Width=1024&amp;Height=768&amp;Quality=70&amp;FPS=10&amp;ResponseFormat=Text</v>
      </c>
      <c r="P1031" s="106">
        <f>Cadastro!$P963</f>
        <v>1</v>
      </c>
    </row>
    <row r="1032">
      <c r="A1032" s="104" t="str">
        <f>Cadastro!$A964</f>
        <v>GMC-CURITIBA</v>
      </c>
      <c r="B1032" s="104" t="str">
        <f>Cadastro!$B964</f>
        <v>CURITIBA</v>
      </c>
      <c r="C1032" s="107" t="str">
        <f>Cadastro!$C964</f>
        <v>https://monitoramento.pm.pr.gov.br/proxy_image_16/</v>
      </c>
      <c r="D1032" s="105">
        <f>Cadastro!$D964</f>
        <v>8601</v>
      </c>
      <c r="E1032" s="104" t="str">
        <f>Cadastro!$E964</f>
        <v>GCM85</v>
      </c>
      <c r="F1032" s="104" t="str">
        <f>Cadastro!$F964</f>
        <v>#</v>
      </c>
      <c r="G1032" s="106" t="str">
        <f>Cadastro!$G964</f>
        <v>0</v>
      </c>
      <c r="H1032" s="106" t="str">
        <f>Cadastro!$H964</f>
        <v>0</v>
      </c>
      <c r="I1032" s="104" t="str">
        <f>Cadastro!$I964</f>
        <v>siscop</v>
      </c>
      <c r="J1032" s="104" t="str">
        <f>Cadastro!$J964</f>
        <v>Siscop1234</v>
      </c>
      <c r="K1032" s="104" t="s">
        <v>4536</v>
      </c>
      <c r="L1032" s="104" t="s">
        <v>26</v>
      </c>
      <c r="M1032" s="104" t="s">
        <v>27</v>
      </c>
      <c r="N1032" s="108" t="str">
        <f t="shared" si="1"/>
        <v>GMC-CURITIBA</v>
      </c>
      <c r="O1032" s="112" t="str">
        <f>Cadastro!$O964</f>
        <v>#</v>
      </c>
      <c r="P1032" s="106">
        <f>Cadastro!$P964</f>
        <v>0</v>
      </c>
    </row>
    <row r="1033">
      <c r="A1033" s="104" t="str">
        <f>Cadastro!$A965</f>
        <v>GMC-CURITIBA</v>
      </c>
      <c r="B1033" s="104" t="str">
        <f>Cadastro!$B965</f>
        <v>CURITIBA</v>
      </c>
      <c r="C1033" s="107" t="str">
        <f>Cadastro!$C965</f>
        <v>https://monitoramento.pm.pr.gov.br/proxy_image_16/</v>
      </c>
      <c r="D1033" s="105">
        <f>Cadastro!$D965</f>
        <v>8601</v>
      </c>
      <c r="E1033" s="104" t="str">
        <f>Cadastro!$E965</f>
        <v>GCM86</v>
      </c>
      <c r="F1033" s="104" t="str">
        <f>Cadastro!$F965</f>
        <v>#</v>
      </c>
      <c r="G1033" s="106" t="str">
        <f>Cadastro!$G965</f>
        <v>0</v>
      </c>
      <c r="H1033" s="106" t="str">
        <f>Cadastro!$H965</f>
        <v>0</v>
      </c>
      <c r="I1033" s="104" t="str">
        <f>Cadastro!$I965</f>
        <v>siscop</v>
      </c>
      <c r="J1033" s="104" t="str">
        <f>Cadastro!$J965</f>
        <v>Siscop1234</v>
      </c>
      <c r="K1033" s="104" t="s">
        <v>4536</v>
      </c>
      <c r="L1033" s="104" t="s">
        <v>26</v>
      </c>
      <c r="M1033" s="104" t="s">
        <v>27</v>
      </c>
      <c r="N1033" s="108" t="str">
        <f t="shared" si="1"/>
        <v>GMC-CURITIBA</v>
      </c>
      <c r="O1033" s="112" t="str">
        <f>Cadastro!$O965</f>
        <v>#</v>
      </c>
      <c r="P1033" s="106">
        <f>Cadastro!$P965</f>
        <v>0</v>
      </c>
    </row>
    <row r="1034">
      <c r="A1034" s="104" t="str">
        <f>Cadastro!$A966</f>
        <v>GMC-CURITIBA</v>
      </c>
      <c r="B1034" s="104" t="str">
        <f>Cadastro!$B966</f>
        <v>CURITIBA</v>
      </c>
      <c r="C1034" s="107" t="str">
        <f>Cadastro!$C966</f>
        <v>https://monitoramento.pm.pr.gov.br/proxy_image_16/</v>
      </c>
      <c r="D1034" s="105">
        <f>Cadastro!$D966</f>
        <v>8601</v>
      </c>
      <c r="E1034" s="104" t="str">
        <f>Cadastro!$E966</f>
        <v>GCM87</v>
      </c>
      <c r="F1034" s="104" t="str">
        <f>Cadastro!$F966</f>
        <v>R. SÃO JOSÉ DOS PINHAIS ESQ R. OURIZONA</v>
      </c>
      <c r="G1034" s="106" t="str">
        <f>Cadastro!$G966</f>
        <v>-25.543590</v>
      </c>
      <c r="H1034" s="106" t="str">
        <f>Cadastro!$H966</f>
        <v>-49.261215</v>
      </c>
      <c r="I1034" s="104" t="str">
        <f>Cadastro!$I966</f>
        <v>siscop</v>
      </c>
      <c r="J1034" s="104" t="str">
        <f>Cadastro!$J966</f>
        <v>Siscop1234</v>
      </c>
      <c r="K1034" s="104" t="s">
        <v>4536</v>
      </c>
      <c r="L1034" s="104" t="s">
        <v>26</v>
      </c>
      <c r="M1034" s="104" t="s">
        <v>27</v>
      </c>
      <c r="N1034" s="108" t="str">
        <f t="shared" si="1"/>
        <v>GMC-CURITIBA</v>
      </c>
      <c r="O1034" s="109" t="str">
        <f>Cadastro!$O966</f>
        <v>https://monitoramento.pm.pr.gov.br/proxy_image_16/Interface/Cameras/GetJPEGStream?Camera=GCM87&amp;AuthUser=siscop&amp;AuthPass=Siscop1234&amp;Width=1024&amp;Height=768&amp;Quality=70&amp;FPS=10&amp;ResponseFormat=Text</v>
      </c>
      <c r="P1034" s="106">
        <f>Cadastro!$P966</f>
        <v>1</v>
      </c>
    </row>
    <row r="1035">
      <c r="A1035" s="104" t="str">
        <f>Cadastro!$A967</f>
        <v>GMC-CURITIBA</v>
      </c>
      <c r="B1035" s="104" t="str">
        <f>Cadastro!$B967</f>
        <v>CURITIBA</v>
      </c>
      <c r="C1035" s="107" t="str">
        <f>Cadastro!$C967</f>
        <v>https://monitoramento.pm.pr.gov.br/proxy_image_16/</v>
      </c>
      <c r="D1035" s="105">
        <f>Cadastro!$D967</f>
        <v>8601</v>
      </c>
      <c r="E1035" s="104" t="str">
        <f>Cadastro!$E967</f>
        <v>GCM88</v>
      </c>
      <c r="F1035" s="104" t="str">
        <f>Cadastro!$F967</f>
        <v>R. SÃO JOSÉ DOS PINHAIS ESQ EDGARD C. DE ALBEQUERQUE</v>
      </c>
      <c r="G1035" s="106" t="str">
        <f>Cadastro!$G967</f>
        <v>-25.544387</v>
      </c>
      <c r="H1035" s="106" t="str">
        <f>Cadastro!$H967</f>
        <v>-49.259828</v>
      </c>
      <c r="I1035" s="104" t="str">
        <f>Cadastro!$I967</f>
        <v>siscop</v>
      </c>
      <c r="J1035" s="104" t="str">
        <f>Cadastro!$J967</f>
        <v>Siscop1234</v>
      </c>
      <c r="K1035" s="104" t="s">
        <v>4536</v>
      </c>
      <c r="L1035" s="104" t="s">
        <v>26</v>
      </c>
      <c r="M1035" s="104" t="s">
        <v>27</v>
      </c>
      <c r="N1035" s="108" t="str">
        <f t="shared" si="1"/>
        <v>GMC-CURITIBA</v>
      </c>
      <c r="O1035" s="109" t="str">
        <f>Cadastro!$O967</f>
        <v>https://monitoramento.pm.pr.gov.br/proxy_image_16/Interface/Cameras/GetJPEGStream?Camera=GCM88&amp;AuthUser=siscop&amp;AuthPass=Siscop1234&amp;Width=1024&amp;Height=768&amp;Quality=70&amp;FPS=10&amp;ResponseFormat=Text</v>
      </c>
      <c r="P1035" s="106">
        <f>Cadastro!$P967</f>
        <v>1</v>
      </c>
    </row>
    <row r="1036">
      <c r="A1036" s="104" t="str">
        <f>Cadastro!$A968</f>
        <v>GMC-CURITIBA</v>
      </c>
      <c r="B1036" s="104" t="str">
        <f>Cadastro!$B968</f>
        <v>CURITIBA</v>
      </c>
      <c r="C1036" s="107" t="str">
        <f>Cadastro!$C968</f>
        <v>https://monitoramento.pm.pr.gov.br/proxy_image_16/</v>
      </c>
      <c r="D1036" s="105">
        <f>Cadastro!$D968</f>
        <v>8601</v>
      </c>
      <c r="E1036" s="104" t="str">
        <f>Cadastro!$E968</f>
        <v>GCM89</v>
      </c>
      <c r="F1036" s="104" t="str">
        <f>Cadastro!$F968</f>
        <v>R.TIJUCAS DO SUL COM R. JUSSARA-ESTAÇÃO TURBO-HOSPITAL-CTA 2456</v>
      </c>
      <c r="G1036" s="106" t="str">
        <f>Cadastro!$G968</f>
        <v>-25.547548</v>
      </c>
      <c r="H1036" s="106" t="str">
        <f>Cadastro!$H968</f>
        <v>-49.260355</v>
      </c>
      <c r="I1036" s="104" t="str">
        <f>Cadastro!$I968</f>
        <v>siscop</v>
      </c>
      <c r="J1036" s="104" t="str">
        <f>Cadastro!$J968</f>
        <v>Siscop1234</v>
      </c>
      <c r="K1036" s="104" t="s">
        <v>4536</v>
      </c>
      <c r="L1036" s="104" t="s">
        <v>26</v>
      </c>
      <c r="M1036" s="104" t="s">
        <v>27</v>
      </c>
      <c r="N1036" s="108" t="str">
        <f t="shared" si="1"/>
        <v>GMC-CURITIBA</v>
      </c>
      <c r="O1036" s="109" t="str">
        <f>Cadastro!$O968</f>
        <v>https://monitoramento.pm.pr.gov.br/proxy_image_16/Interface/Cameras/GetJPEGStream?Camera=GCM89&amp;AuthUser=siscop&amp;AuthPass=Siscop1234&amp;Width=1024&amp;Height=768&amp;Quality=70&amp;FPS=10&amp;ResponseFormat=Text</v>
      </c>
      <c r="P1036" s="106">
        <f>Cadastro!$P968</f>
        <v>1</v>
      </c>
    </row>
    <row r="1037">
      <c r="A1037" s="104" t="str">
        <f>Cadastro!$A969</f>
        <v>GMC-CURITIBA</v>
      </c>
      <c r="B1037" s="104" t="str">
        <f>Cadastro!$B969</f>
        <v>CURITIBA</v>
      </c>
      <c r="C1037" s="107" t="str">
        <f>Cadastro!$C969</f>
        <v>https://monitoramento.pm.pr.gov.br/proxy_image_16/</v>
      </c>
      <c r="D1037" s="105">
        <f>Cadastro!$D969</f>
        <v>8601</v>
      </c>
      <c r="E1037" s="104" t="str">
        <f>Cadastro!$E969</f>
        <v>GCM90</v>
      </c>
      <c r="F1037" s="104" t="str">
        <f>Cadastro!$F969</f>
        <v>#</v>
      </c>
      <c r="G1037" s="106" t="str">
        <f>Cadastro!$G969</f>
        <v>0</v>
      </c>
      <c r="H1037" s="106" t="str">
        <f>Cadastro!$H969</f>
        <v>0</v>
      </c>
      <c r="I1037" s="104" t="str">
        <f>Cadastro!$I969</f>
        <v>siscop</v>
      </c>
      <c r="J1037" s="104" t="str">
        <f>Cadastro!$J969</f>
        <v>Siscop1234</v>
      </c>
      <c r="K1037" s="104" t="s">
        <v>4536</v>
      </c>
      <c r="L1037" s="104" t="s">
        <v>26</v>
      </c>
      <c r="M1037" s="104" t="s">
        <v>27</v>
      </c>
      <c r="N1037" s="108" t="str">
        <f t="shared" si="1"/>
        <v>GMC-CURITIBA</v>
      </c>
      <c r="O1037" s="112" t="str">
        <f>Cadastro!$O969</f>
        <v>#</v>
      </c>
      <c r="P1037" s="106">
        <f>Cadastro!$P969</f>
        <v>0</v>
      </c>
    </row>
    <row r="1038">
      <c r="A1038" s="104" t="str">
        <f>Cadastro!$A970</f>
        <v>GMC-CURITIBA</v>
      </c>
      <c r="B1038" s="104" t="str">
        <f>Cadastro!$B970</f>
        <v>CURITIBA</v>
      </c>
      <c r="C1038" s="107" t="str">
        <f>Cadastro!$C970</f>
        <v>https://monitoramento.pm.pr.gov.br/proxy_image_16/</v>
      </c>
      <c r="D1038" s="105">
        <f>Cadastro!$D970</f>
        <v>8601</v>
      </c>
      <c r="E1038" s="104" t="str">
        <f>Cadastro!$E970</f>
        <v>GCM91</v>
      </c>
      <c r="F1038" s="104" t="str">
        <f>Cadastro!$F970</f>
        <v>R. IZAAC FERREIRA DA CRUZ ESQ DAVID TOWS</v>
      </c>
      <c r="G1038" s="106" t="str">
        <f>Cadastro!$G970</f>
        <v>-25.537258</v>
      </c>
      <c r="H1038" s="106" t="str">
        <f>Cadastro!$H970</f>
        <v>-49.276009</v>
      </c>
      <c r="I1038" s="104" t="str">
        <f>Cadastro!$I970</f>
        <v>siscop</v>
      </c>
      <c r="J1038" s="104" t="str">
        <f>Cadastro!$J970</f>
        <v>Siscop1234</v>
      </c>
      <c r="K1038" s="104" t="s">
        <v>4536</v>
      </c>
      <c r="L1038" s="104" t="s">
        <v>26</v>
      </c>
      <c r="M1038" s="104" t="s">
        <v>27</v>
      </c>
      <c r="N1038" s="108" t="str">
        <f t="shared" si="1"/>
        <v>GMC-CURITIBA</v>
      </c>
      <c r="O1038" s="109" t="str">
        <f>Cadastro!$O970</f>
        <v>https://monitoramento.pm.pr.gov.br/proxy_image_16/Interface/Cameras/GetJPEGStream?Camera=GCM91&amp;AuthUser=siscop&amp;AuthPass=Siscop1234&amp;Width=1024&amp;Height=768&amp;Quality=70&amp;FPS=10&amp;ResponseFormat=Text</v>
      </c>
      <c r="P1038" s="106">
        <f>Cadastro!$P970</f>
        <v>1</v>
      </c>
    </row>
    <row r="1039">
      <c r="A1039" s="104" t="str">
        <f>Cadastro!$A971</f>
        <v>GMC-CURITIBA</v>
      </c>
      <c r="B1039" s="104" t="str">
        <f>Cadastro!$B971</f>
        <v>CURITIBA</v>
      </c>
      <c r="C1039" s="107" t="str">
        <f>Cadastro!$C971</f>
        <v>https://monitoramento.pm.pr.gov.br/proxy_image_16/</v>
      </c>
      <c r="D1039" s="105">
        <f>Cadastro!$D971</f>
        <v>8601</v>
      </c>
      <c r="E1039" s="104" t="str">
        <f>Cadastro!$E971</f>
        <v>GCM92</v>
      </c>
      <c r="F1039" s="104" t="str">
        <f>Cadastro!$F971</f>
        <v>R. IZAAC FERREIRA DA CRUZ N 3560-TERMINAL SITIO CERCADO</v>
      </c>
      <c r="G1039" s="106" t="str">
        <f>Cadastro!$G971</f>
        <v>-25.534105</v>
      </c>
      <c r="H1039" s="106" t="str">
        <f>Cadastro!$H971</f>
        <v>-49.266977</v>
      </c>
      <c r="I1039" s="104" t="str">
        <f>Cadastro!$I971</f>
        <v>siscop</v>
      </c>
      <c r="J1039" s="104" t="str">
        <f>Cadastro!$J971</f>
        <v>Siscop1234</v>
      </c>
      <c r="K1039" s="104" t="s">
        <v>4536</v>
      </c>
      <c r="L1039" s="104" t="s">
        <v>26</v>
      </c>
      <c r="M1039" s="104" t="s">
        <v>27</v>
      </c>
      <c r="N1039" s="108" t="str">
        <f t="shared" si="1"/>
        <v>GMC-CURITIBA</v>
      </c>
      <c r="O1039" s="109" t="str">
        <f>Cadastro!$O971</f>
        <v>https://monitoramento.pm.pr.gov.br/proxy_image_16/Interface/Cameras/GetJPEGStream?Camera=GCM92&amp;AuthUser=siscop&amp;AuthPass=Siscop1234&amp;Width=1024&amp;Height=768&amp;Quality=70&amp;FPS=10&amp;ResponseFormat=Text</v>
      </c>
      <c r="P1039" s="106">
        <f>Cadastro!$P971</f>
        <v>1</v>
      </c>
    </row>
    <row r="1040">
      <c r="A1040" s="104" t="str">
        <f>Cadastro!$A972</f>
        <v>GMC-CURITIBA</v>
      </c>
      <c r="B1040" s="104" t="str">
        <f>Cadastro!$B972</f>
        <v>CURITIBA</v>
      </c>
      <c r="C1040" s="107" t="str">
        <f>Cadastro!$C972</f>
        <v>https://monitoramento.pm.pr.gov.br/proxy_image_16/</v>
      </c>
      <c r="D1040" s="105">
        <f>Cadastro!$D972</f>
        <v>8601</v>
      </c>
      <c r="E1040" s="104" t="str">
        <f>Cadastro!$E972</f>
        <v>GCM93</v>
      </c>
      <c r="F1040" s="104" t="str">
        <f>Cadastro!$F972</f>
        <v>R. IZAAC FERREIRA DA CRUZ N 3540-TERMINAL SITIO CERCADO</v>
      </c>
      <c r="G1040" s="106" t="str">
        <f>Cadastro!$G972</f>
        <v>-25.534877</v>
      </c>
      <c r="H1040" s="106" t="str">
        <f>Cadastro!$H972</f>
        <v>-49.268838</v>
      </c>
      <c r="I1040" s="104" t="str">
        <f>Cadastro!$I972</f>
        <v>siscop</v>
      </c>
      <c r="J1040" s="104" t="str">
        <f>Cadastro!$J972</f>
        <v>Siscop1234</v>
      </c>
      <c r="K1040" s="104" t="s">
        <v>4536</v>
      </c>
      <c r="L1040" s="104" t="s">
        <v>26</v>
      </c>
      <c r="M1040" s="104" t="s">
        <v>27</v>
      </c>
      <c r="N1040" s="108" t="str">
        <f t="shared" si="1"/>
        <v>GMC-CURITIBA</v>
      </c>
      <c r="O1040" s="109" t="str">
        <f>Cadastro!$O972</f>
        <v>https://monitoramento.pm.pr.gov.br/proxy_image_16/Interface/Cameras/GetJPEGStream?Camera=GCM93&amp;AuthUser=siscop&amp;AuthPass=Siscop1234&amp;Width=1024&amp;Height=768&amp;Quality=70&amp;FPS=10&amp;ResponseFormat=Text</v>
      </c>
      <c r="P1040" s="106">
        <f>Cadastro!$P972</f>
        <v>1</v>
      </c>
    </row>
    <row r="1041">
      <c r="A1041" s="104" t="str">
        <f>Cadastro!$A973</f>
        <v>GMC-CURITIBA</v>
      </c>
      <c r="B1041" s="104" t="str">
        <f>Cadastro!$B973</f>
        <v>CURITIBA</v>
      </c>
      <c r="C1041" s="107" t="str">
        <f>Cadastro!$C973</f>
        <v>https://monitoramento.pm.pr.gov.br/proxy_image_16/</v>
      </c>
      <c r="D1041" s="105">
        <f>Cadastro!$D973</f>
        <v>8601</v>
      </c>
      <c r="E1041" s="104" t="str">
        <f>Cadastro!$E973</f>
        <v>GCM94</v>
      </c>
      <c r="F1041" s="104" t="str">
        <f>Cadastro!$F973</f>
        <v>R. IZAAC FERREIRA DA CRUZ N 3173 ESQ R.PIRAQUARA(BANCO ITAÚ)</v>
      </c>
      <c r="G1041" s="106" t="str">
        <f>Cadastro!$G973</f>
        <v>-25.535953</v>
      </c>
      <c r="H1041" s="106" t="str">
        <f>Cadastro!$H973</f>
        <v>-49.272312</v>
      </c>
      <c r="I1041" s="104" t="str">
        <f>Cadastro!$I973</f>
        <v>siscop</v>
      </c>
      <c r="J1041" s="104" t="str">
        <f>Cadastro!$J973</f>
        <v>Siscop1234</v>
      </c>
      <c r="K1041" s="104" t="s">
        <v>4536</v>
      </c>
      <c r="L1041" s="104" t="s">
        <v>26</v>
      </c>
      <c r="M1041" s="104" t="s">
        <v>27</v>
      </c>
      <c r="N1041" s="108" t="str">
        <f t="shared" si="1"/>
        <v>GMC-CURITIBA</v>
      </c>
      <c r="O1041" s="109" t="str">
        <f>Cadastro!$O973</f>
        <v>https://monitoramento.pm.pr.gov.br/proxy_image_16/Interface/Cameras/GetJPEGStream?Camera=GCM94&amp;AuthUser=siscop&amp;AuthPass=Siscop1234&amp;Width=1024&amp;Height=768&amp;Quality=70&amp;FPS=10&amp;ResponseFormat=Text</v>
      </c>
      <c r="P1041" s="106">
        <f>Cadastro!$P973</f>
        <v>1</v>
      </c>
    </row>
    <row r="1042">
      <c r="A1042" s="104" t="str">
        <f>Cadastro!$A974</f>
        <v>GMC-CURITIBA</v>
      </c>
      <c r="B1042" s="104" t="str">
        <f>Cadastro!$B974</f>
        <v>CURITIBA</v>
      </c>
      <c r="C1042" s="107" t="str">
        <f>Cadastro!$C974</f>
        <v>https://monitoramento.pm.pr.gov.br/proxy_image_16/</v>
      </c>
      <c r="D1042" s="105">
        <f>Cadastro!$D974</f>
        <v>8601</v>
      </c>
      <c r="E1042" s="104" t="str">
        <f>Cadastro!$E974</f>
        <v>GCM95</v>
      </c>
      <c r="F1042" s="104" t="str">
        <f>Cadastro!$F974</f>
        <v>#</v>
      </c>
      <c r="G1042" s="106" t="str">
        <f>Cadastro!$G974</f>
        <v>0</v>
      </c>
      <c r="H1042" s="106" t="str">
        <f>Cadastro!$H974</f>
        <v>0</v>
      </c>
      <c r="I1042" s="104" t="str">
        <f>Cadastro!$I974</f>
        <v>siscop</v>
      </c>
      <c r="J1042" s="104" t="str">
        <f>Cadastro!$J974</f>
        <v>Siscop1234</v>
      </c>
      <c r="K1042" s="104" t="s">
        <v>4536</v>
      </c>
      <c r="L1042" s="104" t="s">
        <v>26</v>
      </c>
      <c r="M1042" s="104" t="s">
        <v>27</v>
      </c>
      <c r="N1042" s="108" t="str">
        <f t="shared" si="1"/>
        <v>GMC-CURITIBA</v>
      </c>
      <c r="O1042" s="112" t="str">
        <f>Cadastro!$O974</f>
        <v>#</v>
      </c>
      <c r="P1042" s="106">
        <f>Cadastro!$P974</f>
        <v>0</v>
      </c>
    </row>
    <row r="1043">
      <c r="A1043" s="104" t="str">
        <f>Cadastro!$A975</f>
        <v>GMC-CURITIBA</v>
      </c>
      <c r="B1043" s="104" t="str">
        <f>Cadastro!$B975</f>
        <v>CURITIBA</v>
      </c>
      <c r="C1043" s="107" t="str">
        <f>Cadastro!$C975</f>
        <v>https://monitoramento.pm.pr.gov.br/proxy_image_16/</v>
      </c>
      <c r="D1043" s="105">
        <f>Cadastro!$D975</f>
        <v>8601</v>
      </c>
      <c r="E1043" s="104" t="str">
        <f>Cadastro!$E975</f>
        <v>GCM96</v>
      </c>
      <c r="F1043" s="104" t="str">
        <f>Cadastro!$F975</f>
        <v>R. IZAAC FERREIRA DA CRUZ COM R. QUITANDINHA</v>
      </c>
      <c r="G1043" s="106" t="str">
        <f>Cadastro!$G975</f>
        <v>-25.536890</v>
      </c>
      <c r="H1043" s="106" t="str">
        <f>Cadastro!$H975</f>
        <v>-49.275134</v>
      </c>
      <c r="I1043" s="104" t="str">
        <f>Cadastro!$I975</f>
        <v>siscop</v>
      </c>
      <c r="J1043" s="104" t="str">
        <f>Cadastro!$J975</f>
        <v>Siscop1234</v>
      </c>
      <c r="K1043" s="104" t="s">
        <v>4536</v>
      </c>
      <c r="L1043" s="104" t="s">
        <v>26</v>
      </c>
      <c r="M1043" s="104" t="s">
        <v>27</v>
      </c>
      <c r="N1043" s="108" t="str">
        <f t="shared" si="1"/>
        <v>GMC-CURITIBA</v>
      </c>
      <c r="O1043" s="109" t="str">
        <f>Cadastro!$O975</f>
        <v>https://monitoramento.pm.pr.gov.br/proxy_image_16/Interface/Cameras/GetJPEGStream?Camera=GCM96&amp;AuthUser=siscop&amp;AuthPass=Siscop1234&amp;Width=1024&amp;Height=768&amp;Quality=70&amp;FPS=10&amp;ResponseFormat=Text</v>
      </c>
      <c r="P1043" s="106">
        <f>Cadastro!$P975</f>
        <v>1</v>
      </c>
    </row>
    <row r="1044">
      <c r="A1044" s="104" t="str">
        <f>Cadastro!$A976</f>
        <v>GMC-CURITIBA</v>
      </c>
      <c r="B1044" s="104" t="str">
        <f>Cadastro!$B976</f>
        <v>CURITIBA</v>
      </c>
      <c r="C1044" s="107" t="str">
        <f>Cadastro!$C976</f>
        <v>https://monitoramento.pm.pr.gov.br/proxy_image_16/</v>
      </c>
      <c r="D1044" s="105">
        <f>Cadastro!$D976</f>
        <v>8601</v>
      </c>
      <c r="E1044" s="104" t="str">
        <f>Cadastro!$E976</f>
        <v>GCM97</v>
      </c>
      <c r="F1044" s="104" t="str">
        <f>Cadastro!$F976</f>
        <v>#</v>
      </c>
      <c r="G1044" s="106" t="str">
        <f>Cadastro!$G976</f>
        <v>0</v>
      </c>
      <c r="H1044" s="106" t="str">
        <f>Cadastro!$H976</f>
        <v>0</v>
      </c>
      <c r="I1044" s="104" t="str">
        <f>Cadastro!$I976</f>
        <v>siscop</v>
      </c>
      <c r="J1044" s="104" t="str">
        <f>Cadastro!$J976</f>
        <v>Siscop1234</v>
      </c>
      <c r="K1044" s="104" t="s">
        <v>4536</v>
      </c>
      <c r="L1044" s="104" t="s">
        <v>26</v>
      </c>
      <c r="M1044" s="104" t="s">
        <v>27</v>
      </c>
      <c r="N1044" s="108" t="str">
        <f t="shared" si="1"/>
        <v>GMC-CURITIBA</v>
      </c>
      <c r="O1044" s="112" t="str">
        <f>Cadastro!$O976</f>
        <v>#</v>
      </c>
      <c r="P1044" s="106">
        <f>Cadastro!$P976</f>
        <v>0</v>
      </c>
    </row>
    <row r="1045">
      <c r="A1045" s="104" t="str">
        <f>Cadastro!$A977</f>
        <v>GMC-CURITIBA</v>
      </c>
      <c r="B1045" s="104" t="str">
        <f>Cadastro!$B977</f>
        <v>CURITIBA</v>
      </c>
      <c r="C1045" s="107" t="str">
        <f>Cadastro!$C977</f>
        <v>https://monitoramento.pm.pr.gov.br/proxy_image_16/</v>
      </c>
      <c r="D1045" s="105">
        <f>Cadastro!$D977</f>
        <v>8601</v>
      </c>
      <c r="E1045" s="104" t="str">
        <f>Cadastro!$E977</f>
        <v>GCM98</v>
      </c>
      <c r="F1045" s="104" t="str">
        <f>Cadastro!$F977</f>
        <v>R. IZAAC FERREIRA DA CRUZ N 339 COM R, SÃO JOSÉ DOS PINHAIS-FIXA</v>
      </c>
      <c r="G1045" s="106" t="str">
        <f>Cadastro!$G977</f>
        <v>-25.537096</v>
      </c>
      <c r="H1045" s="106" t="str">
        <f>Cadastro!$H977</f>
        <v>-49.275624</v>
      </c>
      <c r="I1045" s="104" t="str">
        <f>Cadastro!$I977</f>
        <v>siscop</v>
      </c>
      <c r="J1045" s="104" t="str">
        <f>Cadastro!$J977</f>
        <v>Siscop1234</v>
      </c>
      <c r="K1045" s="104" t="s">
        <v>4536</v>
      </c>
      <c r="L1045" s="104" t="s">
        <v>26</v>
      </c>
      <c r="M1045" s="104" t="s">
        <v>27</v>
      </c>
      <c r="N1045" s="108" t="str">
        <f t="shared" si="1"/>
        <v>GMC-CURITIBA</v>
      </c>
      <c r="O1045" s="109" t="str">
        <f>Cadastro!$O977</f>
        <v>https://monitoramento.pm.pr.gov.br/proxy_image_16/Interface/Cameras/GetJPEGStream?Camera=GCM98&amp;AuthUser=siscop&amp;AuthPass=Siscop1234&amp;Width=1024&amp;Height=768&amp;Quality=70&amp;FPS=10&amp;ResponseFormat=Text</v>
      </c>
      <c r="P1045" s="106">
        <f>Cadastro!$P977</f>
        <v>1</v>
      </c>
    </row>
    <row r="1046">
      <c r="A1046" s="104" t="str">
        <f>Cadastro!$A978</f>
        <v>GMC-CURITIBA</v>
      </c>
      <c r="B1046" s="104" t="str">
        <f>Cadastro!$B978</f>
        <v>CURITIBA</v>
      </c>
      <c r="C1046" s="107" t="str">
        <f>Cadastro!$C978</f>
        <v>https://monitoramento.pm.pr.gov.br/proxy_image_16/</v>
      </c>
      <c r="D1046" s="105">
        <f>Cadastro!$D978</f>
        <v>8601</v>
      </c>
      <c r="E1046" s="104" t="str">
        <f>Cadastro!$E978</f>
        <v>GCM99</v>
      </c>
      <c r="F1046" s="104" t="str">
        <f>Cadastro!$F978</f>
        <v>#</v>
      </c>
      <c r="G1046" s="106" t="str">
        <f>Cadastro!$G978</f>
        <v>0</v>
      </c>
      <c r="H1046" s="106" t="str">
        <f>Cadastro!$H978</f>
        <v>0</v>
      </c>
      <c r="I1046" s="104" t="str">
        <f>Cadastro!$I978</f>
        <v>siscop</v>
      </c>
      <c r="J1046" s="104" t="str">
        <f>Cadastro!$J978</f>
        <v>Siscop1234</v>
      </c>
      <c r="K1046" s="104" t="s">
        <v>4536</v>
      </c>
      <c r="L1046" s="104" t="s">
        <v>26</v>
      </c>
      <c r="M1046" s="104" t="s">
        <v>27</v>
      </c>
      <c r="N1046" s="108" t="str">
        <f t="shared" si="1"/>
        <v>GMC-CURITIBA</v>
      </c>
      <c r="O1046" s="112" t="str">
        <f>Cadastro!$O978</f>
        <v>#</v>
      </c>
      <c r="P1046" s="106">
        <f>Cadastro!$P978</f>
        <v>0</v>
      </c>
    </row>
    <row r="1047">
      <c r="A1047" s="104" t="str">
        <f>Cadastro!$A979</f>
        <v>GMC-CURITIBA</v>
      </c>
      <c r="B1047" s="104" t="str">
        <f>Cadastro!$B979</f>
        <v>CURITIBA</v>
      </c>
      <c r="C1047" s="107" t="str">
        <f>Cadastro!$C979</f>
        <v>https://monitoramento.pm.pr.gov.br/proxy_image_16/</v>
      </c>
      <c r="D1047" s="105">
        <f>Cadastro!$D979</f>
        <v>8601</v>
      </c>
      <c r="E1047" s="104" t="str">
        <f>Cadastro!$E979</f>
        <v>GCM100</v>
      </c>
      <c r="F1047" s="104" t="str">
        <f>Cadastro!$F979</f>
        <v>#</v>
      </c>
      <c r="G1047" s="106" t="str">
        <f>Cadastro!$G979</f>
        <v>0</v>
      </c>
      <c r="H1047" s="106" t="str">
        <f>Cadastro!$H979</f>
        <v>0</v>
      </c>
      <c r="I1047" s="104" t="str">
        <f>Cadastro!$I979</f>
        <v>siscop</v>
      </c>
      <c r="J1047" s="104" t="str">
        <f>Cadastro!$J979</f>
        <v>Siscop1234</v>
      </c>
      <c r="K1047" s="104" t="s">
        <v>4536</v>
      </c>
      <c r="L1047" s="104" t="s">
        <v>26</v>
      </c>
      <c r="M1047" s="104" t="s">
        <v>27</v>
      </c>
      <c r="N1047" s="108" t="str">
        <f t="shared" si="1"/>
        <v>GMC-CURITIBA</v>
      </c>
      <c r="O1047" s="112" t="str">
        <f>Cadastro!$O979</f>
        <v>#</v>
      </c>
      <c r="P1047" s="106">
        <f>Cadastro!$P979</f>
        <v>0</v>
      </c>
    </row>
    <row r="1048">
      <c r="A1048" s="104" t="str">
        <f>Cadastro!$A980</f>
        <v>GMC-CURITIBA</v>
      </c>
      <c r="B1048" s="104" t="str">
        <f>Cadastro!$B980</f>
        <v>CURITIBA</v>
      </c>
      <c r="C1048" s="107" t="str">
        <f>Cadastro!$C980</f>
        <v>https://monitoramento.pm.pr.gov.br/proxy_image_16/</v>
      </c>
      <c r="D1048" s="105">
        <f>Cadastro!$D980</f>
        <v>8601</v>
      </c>
      <c r="E1048" s="104" t="str">
        <f>Cadastro!$E980</f>
        <v>GCM101</v>
      </c>
      <c r="F1048" s="104" t="str">
        <f>Cadastro!$F980</f>
        <v>RUA DA CIDADANIA BOQUEIRÃO-CANCHAS</v>
      </c>
      <c r="G1048" s="106" t="str">
        <f>Cadastro!$G980</f>
        <v>-25.501615</v>
      </c>
      <c r="H1048" s="106" t="str">
        <f>Cadastro!$H980</f>
        <v>-49.238649</v>
      </c>
      <c r="I1048" s="104" t="str">
        <f>Cadastro!$I980</f>
        <v>siscop</v>
      </c>
      <c r="J1048" s="104" t="str">
        <f>Cadastro!$J980</f>
        <v>Siscop1234</v>
      </c>
      <c r="K1048" s="104" t="s">
        <v>4536</v>
      </c>
      <c r="L1048" s="104" t="s">
        <v>26</v>
      </c>
      <c r="M1048" s="104" t="s">
        <v>27</v>
      </c>
      <c r="N1048" s="108" t="str">
        <f t="shared" si="1"/>
        <v>GMC-CURITIBA</v>
      </c>
      <c r="O1048" s="109" t="str">
        <f>Cadastro!$O980</f>
        <v>https://monitoramento.pm.pr.gov.br/proxy_image_16/Interface/Cameras/GetJPEGStream?Camera=GCM101&amp;AuthUser=siscop&amp;AuthPass=Siscop1234&amp;Width=1024&amp;Height=768&amp;Quality=70&amp;FPS=10&amp;ResponseFormat=Text</v>
      </c>
      <c r="P1048" s="106">
        <f>Cadastro!$P980</f>
        <v>1</v>
      </c>
    </row>
    <row r="1049">
      <c r="A1049" s="104" t="str">
        <f>Cadastro!$A981</f>
        <v>GMC-CURITIBA</v>
      </c>
      <c r="B1049" s="104" t="str">
        <f>Cadastro!$B981</f>
        <v>CURITIBA</v>
      </c>
      <c r="C1049" s="107" t="str">
        <f>Cadastro!$C981</f>
        <v>https://monitoramento.pm.pr.gov.br/proxy_image_16/</v>
      </c>
      <c r="D1049" s="105">
        <f>Cadastro!$D981</f>
        <v>8601</v>
      </c>
      <c r="E1049" s="104" t="str">
        <f>Cadastro!$E981</f>
        <v>GCM102</v>
      </c>
      <c r="F1049" s="104" t="str">
        <f>Cadastro!$F981</f>
        <v>RUA DA CIDADANIA BOQUEIRÃO-ESTACIONAMENTO CORETO</v>
      </c>
      <c r="G1049" s="106" t="str">
        <f>Cadastro!$G981</f>
        <v>-25.501620</v>
      </c>
      <c r="H1049" s="106" t="str">
        <f>Cadastro!$H981</f>
        <v>-49.238642</v>
      </c>
      <c r="I1049" s="104" t="str">
        <f>Cadastro!$I981</f>
        <v>siscop</v>
      </c>
      <c r="J1049" s="104" t="str">
        <f>Cadastro!$J981</f>
        <v>Siscop1234</v>
      </c>
      <c r="K1049" s="104" t="s">
        <v>4536</v>
      </c>
      <c r="L1049" s="104" t="s">
        <v>26</v>
      </c>
      <c r="M1049" s="104" t="s">
        <v>27</v>
      </c>
      <c r="N1049" s="108" t="str">
        <f t="shared" si="1"/>
        <v>GMC-CURITIBA</v>
      </c>
      <c r="O1049" s="109" t="str">
        <f>Cadastro!$O981</f>
        <v>https://monitoramento.pm.pr.gov.br/proxy_image_16/Interface/Cameras/GetJPEGStream?Camera=GCM102&amp;AuthUser=siscop&amp;AuthPass=Siscop1234&amp;Width=1024&amp;Height=768&amp;Quality=70&amp;FPS=10&amp;ResponseFormat=Text</v>
      </c>
      <c r="P1049" s="106">
        <f>Cadastro!$P981</f>
        <v>1</v>
      </c>
    </row>
    <row r="1050">
      <c r="A1050" s="104" t="str">
        <f>Cadastro!$A982</f>
        <v>GMC-CURITIBA</v>
      </c>
      <c r="B1050" s="104" t="str">
        <f>Cadastro!$B982</f>
        <v>CURITIBA</v>
      </c>
      <c r="C1050" s="107" t="str">
        <f>Cadastro!$C982</f>
        <v>https://monitoramento.pm.pr.gov.br/proxy_image_16/</v>
      </c>
      <c r="D1050" s="105">
        <f>Cadastro!$D982</f>
        <v>8601</v>
      </c>
      <c r="E1050" s="104" t="str">
        <f>Cadastro!$E982</f>
        <v>GCM103</v>
      </c>
      <c r="F1050" s="104" t="str">
        <f>Cadastro!$F982</f>
        <v>RUA DA CIDADANIA BOQUEIRÃO-FIXA 1</v>
      </c>
      <c r="G1050" s="106" t="str">
        <f>Cadastro!$G982</f>
        <v>-25.501540</v>
      </c>
      <c r="H1050" s="106" t="str">
        <f>Cadastro!$H982</f>
        <v>-49.238788</v>
      </c>
      <c r="I1050" s="104" t="str">
        <f>Cadastro!$I982</f>
        <v>siscop</v>
      </c>
      <c r="J1050" s="104" t="str">
        <f>Cadastro!$J982</f>
        <v>Siscop1234</v>
      </c>
      <c r="K1050" s="104" t="s">
        <v>4536</v>
      </c>
      <c r="L1050" s="104" t="s">
        <v>26</v>
      </c>
      <c r="M1050" s="104" t="s">
        <v>27</v>
      </c>
      <c r="N1050" s="108" t="str">
        <f t="shared" si="1"/>
        <v>GMC-CURITIBA</v>
      </c>
      <c r="O1050" s="109" t="str">
        <f>Cadastro!$O982</f>
        <v>https://monitoramento.pm.pr.gov.br/proxy_image_16/Interface/Cameras/GetJPEGStream?Camera=GCM103&amp;AuthUser=siscop&amp;AuthPass=Siscop1234&amp;Width=1024&amp;Height=768&amp;Quality=70&amp;FPS=10&amp;ResponseFormat=Text</v>
      </c>
      <c r="P1050" s="106">
        <f>Cadastro!$P982</f>
        <v>1</v>
      </c>
    </row>
    <row r="1051">
      <c r="A1051" s="104" t="str">
        <f>Cadastro!$A983</f>
        <v>GMC-CURITIBA</v>
      </c>
      <c r="B1051" s="104" t="str">
        <f>Cadastro!$B983</f>
        <v>CURITIBA</v>
      </c>
      <c r="C1051" s="107" t="str">
        <f>Cadastro!$C983</f>
        <v>https://monitoramento.pm.pr.gov.br/proxy_image_16/</v>
      </c>
      <c r="D1051" s="105">
        <f>Cadastro!$D983</f>
        <v>8601</v>
      </c>
      <c r="E1051" s="104" t="str">
        <f>Cadastro!$E983</f>
        <v>GCM104</v>
      </c>
      <c r="F1051" s="104" t="str">
        <f>Cadastro!$F983</f>
        <v>RUA DA CIDADANIA BOQUEIRÃO-FIXA 2</v>
      </c>
      <c r="G1051" s="106" t="str">
        <f>Cadastro!$G983</f>
        <v>-25.501623</v>
      </c>
      <c r="H1051" s="106" t="str">
        <f>Cadastro!$H983</f>
        <v>-49.238791</v>
      </c>
      <c r="I1051" s="104" t="str">
        <f>Cadastro!$I983</f>
        <v>siscop</v>
      </c>
      <c r="J1051" s="104" t="str">
        <f>Cadastro!$J983</f>
        <v>Siscop1234</v>
      </c>
      <c r="K1051" s="104" t="s">
        <v>4536</v>
      </c>
      <c r="L1051" s="104" t="s">
        <v>26</v>
      </c>
      <c r="M1051" s="104" t="s">
        <v>27</v>
      </c>
      <c r="N1051" s="108" t="str">
        <f t="shared" si="1"/>
        <v>GMC-CURITIBA</v>
      </c>
      <c r="O1051" s="109" t="str">
        <f>Cadastro!$O983</f>
        <v>https://monitoramento.pm.pr.gov.br/proxy_image_16/Interface/Cameras/GetJPEGStream?Camera=GCM104&amp;AuthUser=siscop&amp;AuthPass=Siscop1234&amp;Width=1024&amp;Height=768&amp;Quality=70&amp;FPS=10&amp;ResponseFormat=Text</v>
      </c>
      <c r="P1051" s="106">
        <f>Cadastro!$P983</f>
        <v>1</v>
      </c>
    </row>
    <row r="1052">
      <c r="A1052" s="104" t="str">
        <f>Cadastro!$A984</f>
        <v>GMC-CURITIBA</v>
      </c>
      <c r="B1052" s="104" t="str">
        <f>Cadastro!$B984</f>
        <v>CURITIBA</v>
      </c>
      <c r="C1052" s="107" t="str">
        <f>Cadastro!$C984</f>
        <v>https://monitoramento.pm.pr.gov.br/proxy_image_16/</v>
      </c>
      <c r="D1052" s="105">
        <f>Cadastro!$D984</f>
        <v>8601</v>
      </c>
      <c r="E1052" s="104" t="str">
        <f>Cadastro!$E984</f>
        <v>GCM105</v>
      </c>
      <c r="F1052" s="104" t="str">
        <f>Cadastro!$F984</f>
        <v>RUA DA CIDADANIA BOQUEIRÃO-FIXA 3</v>
      </c>
      <c r="G1052" s="106" t="str">
        <f>Cadastro!$G984</f>
        <v>-25.501470</v>
      </c>
      <c r="H1052" s="106" t="str">
        <f>Cadastro!$H984</f>
        <v>-49.238826</v>
      </c>
      <c r="I1052" s="104" t="str">
        <f>Cadastro!$I984</f>
        <v>siscop</v>
      </c>
      <c r="J1052" s="104" t="str">
        <f>Cadastro!$J984</f>
        <v>Siscop1234</v>
      </c>
      <c r="K1052" s="104" t="s">
        <v>4536</v>
      </c>
      <c r="L1052" s="104" t="s">
        <v>26</v>
      </c>
      <c r="M1052" s="104" t="s">
        <v>27</v>
      </c>
      <c r="N1052" s="108" t="str">
        <f t="shared" si="1"/>
        <v>GMC-CURITIBA</v>
      </c>
      <c r="O1052" s="109" t="str">
        <f>Cadastro!$O984</f>
        <v>https://monitoramento.pm.pr.gov.br/proxy_image_16/Interface/Cameras/GetJPEGStream?Camera=GCM105&amp;AuthUser=siscop&amp;AuthPass=Siscop1234&amp;Width=1024&amp;Height=768&amp;Quality=70&amp;FPS=10&amp;ResponseFormat=Text</v>
      </c>
      <c r="P1052" s="106">
        <f>Cadastro!$P984</f>
        <v>1</v>
      </c>
    </row>
    <row r="1053">
      <c r="A1053" s="104" t="str">
        <f>Cadastro!$A985</f>
        <v>GMC-CURITIBA</v>
      </c>
      <c r="B1053" s="104" t="str">
        <f>Cadastro!$B985</f>
        <v>CURITIBA</v>
      </c>
      <c r="C1053" s="107" t="str">
        <f>Cadastro!$C985</f>
        <v>https://monitoramento.pm.pr.gov.br/proxy_image_16/</v>
      </c>
      <c r="D1053" s="105">
        <f>Cadastro!$D985</f>
        <v>8601</v>
      </c>
      <c r="E1053" s="104" t="str">
        <f>Cadastro!$E985</f>
        <v>GCM106</v>
      </c>
      <c r="F1053" s="104" t="str">
        <f>Cadastro!$F985</f>
        <v>#</v>
      </c>
      <c r="G1053" s="106" t="str">
        <f>Cadastro!$G985</f>
        <v>0</v>
      </c>
      <c r="H1053" s="106" t="str">
        <f>Cadastro!$H985</f>
        <v>0</v>
      </c>
      <c r="I1053" s="104" t="str">
        <f>Cadastro!$I985</f>
        <v>siscop</v>
      </c>
      <c r="J1053" s="104" t="str">
        <f>Cadastro!$J985</f>
        <v>Siscop1234</v>
      </c>
      <c r="K1053" s="104" t="s">
        <v>4536</v>
      </c>
      <c r="L1053" s="104" t="s">
        <v>26</v>
      </c>
      <c r="M1053" s="104" t="s">
        <v>27</v>
      </c>
      <c r="N1053" s="108" t="str">
        <f t="shared" si="1"/>
        <v>GMC-CURITIBA</v>
      </c>
      <c r="O1053" s="112" t="str">
        <f>Cadastro!$O985</f>
        <v>#</v>
      </c>
      <c r="P1053" s="106">
        <f>Cadastro!$P985</f>
        <v>0</v>
      </c>
    </row>
    <row r="1054">
      <c r="A1054" s="104" t="str">
        <f>Cadastro!$A986</f>
        <v>GMC-CURITIBA</v>
      </c>
      <c r="B1054" s="104" t="str">
        <f>Cadastro!$B986</f>
        <v>CURITIBA</v>
      </c>
      <c r="C1054" s="107" t="str">
        <f>Cadastro!$C986</f>
        <v>https://monitoramento.pm.pr.gov.br/proxy_image_16/</v>
      </c>
      <c r="D1054" s="105">
        <f>Cadastro!$D986</f>
        <v>8601</v>
      </c>
      <c r="E1054" s="104" t="str">
        <f>Cadastro!$E986</f>
        <v>GCM107</v>
      </c>
      <c r="F1054" s="104" t="str">
        <f>Cadastro!$F986</f>
        <v>RUA DA CIDADANIA PINHEIRO-FIXA 1</v>
      </c>
      <c r="G1054" s="106" t="str">
        <f>Cadastro!$G986</f>
        <v>-25.513875</v>
      </c>
      <c r="H1054" s="106" t="str">
        <f>Cadastro!$H986</f>
        <v>-49.295002</v>
      </c>
      <c r="I1054" s="104" t="str">
        <f>Cadastro!$I986</f>
        <v>siscop</v>
      </c>
      <c r="J1054" s="104" t="str">
        <f>Cadastro!$J986</f>
        <v>Siscop1234</v>
      </c>
      <c r="K1054" s="104" t="s">
        <v>4536</v>
      </c>
      <c r="L1054" s="104" t="s">
        <v>26</v>
      </c>
      <c r="M1054" s="104" t="s">
        <v>27</v>
      </c>
      <c r="N1054" s="108" t="str">
        <f t="shared" si="1"/>
        <v>GMC-CURITIBA</v>
      </c>
      <c r="O1054" s="109" t="str">
        <f>Cadastro!$O986</f>
        <v>https://monitoramento.pm.pr.gov.br/proxy_image_16/Interface/Cameras/GetJPEGStream?Camera=GCM107&amp;AuthUser=siscop&amp;AuthPass=Siscop1234&amp;Width=1024&amp;Height=768&amp;Quality=70&amp;FPS=10&amp;ResponseFormat=Text</v>
      </c>
      <c r="P1054" s="106">
        <f>Cadastro!$P986</f>
        <v>1</v>
      </c>
    </row>
    <row r="1055">
      <c r="A1055" s="104" t="str">
        <f>Cadastro!$A987</f>
        <v>GMC-CURITIBA</v>
      </c>
      <c r="B1055" s="104" t="str">
        <f>Cadastro!$B987</f>
        <v>CURITIBA</v>
      </c>
      <c r="C1055" s="107" t="str">
        <f>Cadastro!$C987</f>
        <v>https://monitoramento.pm.pr.gov.br/proxy_image_16/</v>
      </c>
      <c r="D1055" s="105">
        <f>Cadastro!$D987</f>
        <v>8601</v>
      </c>
      <c r="E1055" s="104" t="str">
        <f>Cadastro!$E987</f>
        <v>GCM108</v>
      </c>
      <c r="F1055" s="104" t="str">
        <f>Cadastro!$F987</f>
        <v>RUA DA CIDADANIA PINHEIRO-FIXA 2</v>
      </c>
      <c r="G1055" s="106" t="str">
        <f>Cadastro!$G987</f>
        <v>-25.513902</v>
      </c>
      <c r="H1055" s="106" t="str">
        <f>Cadastro!$H987</f>
        <v>-49.294995</v>
      </c>
      <c r="I1055" s="104" t="str">
        <f>Cadastro!$I987</f>
        <v>siscop</v>
      </c>
      <c r="J1055" s="104" t="str">
        <f>Cadastro!$J987</f>
        <v>Siscop1234</v>
      </c>
      <c r="K1055" s="104" t="s">
        <v>4536</v>
      </c>
      <c r="L1055" s="104" t="s">
        <v>26</v>
      </c>
      <c r="M1055" s="104" t="s">
        <v>27</v>
      </c>
      <c r="N1055" s="108" t="str">
        <f t="shared" si="1"/>
        <v>GMC-CURITIBA</v>
      </c>
      <c r="O1055" s="109" t="str">
        <f>Cadastro!$O987</f>
        <v>https://monitoramento.pm.pr.gov.br/proxy_image_16/Interface/Cameras/GetJPEGStream?Camera=GCM108&amp;AuthUser=siscop&amp;AuthPass=Siscop1234&amp;Width=1024&amp;Height=768&amp;Quality=70&amp;FPS=10&amp;ResponseFormat=Text</v>
      </c>
      <c r="P1055" s="106">
        <f>Cadastro!$P987</f>
        <v>1</v>
      </c>
    </row>
    <row r="1056">
      <c r="A1056" s="104" t="str">
        <f>Cadastro!$A988</f>
        <v>GMC-CURITIBA</v>
      </c>
      <c r="B1056" s="104" t="str">
        <f>Cadastro!$B988</f>
        <v>CURITIBA</v>
      </c>
      <c r="C1056" s="107" t="str">
        <f>Cadastro!$C988</f>
        <v>https://monitoramento.pm.pr.gov.br/proxy_image_16/</v>
      </c>
      <c r="D1056" s="105">
        <f>Cadastro!$D988</f>
        <v>8601</v>
      </c>
      <c r="E1056" s="104" t="str">
        <f>Cadastro!$E988</f>
        <v>GCM109</v>
      </c>
      <c r="F1056" s="104" t="str">
        <f>Cadastro!$F988</f>
        <v>R. WINSTON CHURCHILL COM R. ADEOTADO VOLPI</v>
      </c>
      <c r="G1056" s="106" t="str">
        <f>Cadastro!$G988</f>
        <v>-25.497830</v>
      </c>
      <c r="H1056" s="106" t="str">
        <f>Cadastro!$H988</f>
        <v>-49.295644</v>
      </c>
      <c r="I1056" s="104" t="str">
        <f>Cadastro!$I988</f>
        <v>siscop</v>
      </c>
      <c r="J1056" s="104" t="str">
        <f>Cadastro!$J988</f>
        <v>Siscop1234</v>
      </c>
      <c r="K1056" s="104" t="s">
        <v>4536</v>
      </c>
      <c r="L1056" s="104" t="s">
        <v>26</v>
      </c>
      <c r="M1056" s="104" t="s">
        <v>27</v>
      </c>
      <c r="N1056" s="108" t="str">
        <f t="shared" si="1"/>
        <v>GMC-CURITIBA</v>
      </c>
      <c r="O1056" s="109" t="str">
        <f>Cadastro!$O988</f>
        <v>https://monitoramento.pm.pr.gov.br/proxy_image_16/Interface/Cameras/GetJPEGStream?Camera=GCM109&amp;AuthUser=siscop&amp;AuthPass=Siscop1234&amp;Width=1024&amp;Height=768&amp;Quality=70&amp;FPS=10&amp;ResponseFormat=Text</v>
      </c>
      <c r="P1056" s="106">
        <f>Cadastro!$P988</f>
        <v>1</v>
      </c>
    </row>
    <row r="1057">
      <c r="A1057" s="104" t="str">
        <f>Cadastro!$A989</f>
        <v>GMC-CURITIBA</v>
      </c>
      <c r="B1057" s="104" t="str">
        <f>Cadastro!$B989</f>
        <v>CURITIBA</v>
      </c>
      <c r="C1057" s="107" t="str">
        <f>Cadastro!$C989</f>
        <v>https://monitoramento.pm.pr.gov.br/proxy_image_16/</v>
      </c>
      <c r="D1057" s="105">
        <f>Cadastro!$D989</f>
        <v>8601</v>
      </c>
      <c r="E1057" s="104" t="str">
        <f>Cadastro!$E989</f>
        <v>GCM110</v>
      </c>
      <c r="F1057" s="104" t="str">
        <f>Cadastro!$F989</f>
        <v>RUA WISTON CHURCHILL ESQ R.SANTA MÔNICA.</v>
      </c>
      <c r="G1057" s="106" t="str">
        <f>Cadastro!$G989</f>
        <v>-25.504447</v>
      </c>
      <c r="H1057" s="106" t="str">
        <f>Cadastro!$H989</f>
        <v>-49.296009</v>
      </c>
      <c r="I1057" s="104" t="str">
        <f>Cadastro!$I989</f>
        <v>siscop</v>
      </c>
      <c r="J1057" s="104" t="str">
        <f>Cadastro!$J989</f>
        <v>Siscop1234</v>
      </c>
      <c r="K1057" s="104" t="s">
        <v>4536</v>
      </c>
      <c r="L1057" s="104" t="s">
        <v>26</v>
      </c>
      <c r="M1057" s="104" t="s">
        <v>27</v>
      </c>
      <c r="N1057" s="108" t="str">
        <f t="shared" si="1"/>
        <v>GMC-CURITIBA</v>
      </c>
      <c r="O1057" s="109" t="str">
        <f>Cadastro!$O989</f>
        <v>https://monitoramento.pm.pr.gov.br/proxy_image_16/Interface/Cameras/GetJPEGStream?Camera=GCM110&amp;AuthUser=siscop&amp;AuthPass=Siscop1234&amp;Width=1024&amp;Height=768&amp;Quality=70&amp;FPS=10&amp;ResponseFormat=Text</v>
      </c>
      <c r="P1057" s="106">
        <f>Cadastro!$P989</f>
        <v>1</v>
      </c>
    </row>
    <row r="1058">
      <c r="A1058" s="104" t="str">
        <f>Cadastro!$A990</f>
        <v>GMC-CURITIBA</v>
      </c>
      <c r="B1058" s="104" t="str">
        <f>Cadastro!$B990</f>
        <v>CURITIBA</v>
      </c>
      <c r="C1058" s="107" t="str">
        <f>Cadastro!$C990</f>
        <v>https://monitoramento.pm.pr.gov.br/proxy_image_16/</v>
      </c>
      <c r="D1058" s="105">
        <f>Cadastro!$D990</f>
        <v>8601</v>
      </c>
      <c r="E1058" s="104" t="str">
        <f>Cadastro!$E990</f>
        <v>GCM111</v>
      </c>
      <c r="F1058" s="104" t="str">
        <f>Cadastro!$F990</f>
        <v>AV. BRASILIA ESQ R. INFANTE DOM HENRIQUE</v>
      </c>
      <c r="G1058" s="106" t="str">
        <f>Cadastro!$G990</f>
        <v>-25.495226</v>
      </c>
      <c r="H1058" s="106" t="str">
        <f>Cadastro!$H990</f>
        <v>-49.277213</v>
      </c>
      <c r="I1058" s="104" t="str">
        <f>Cadastro!$I990</f>
        <v>siscop</v>
      </c>
      <c r="J1058" s="104" t="str">
        <f>Cadastro!$J990</f>
        <v>Siscop1234</v>
      </c>
      <c r="K1058" s="104" t="s">
        <v>4536</v>
      </c>
      <c r="L1058" s="104" t="s">
        <v>26</v>
      </c>
      <c r="M1058" s="104" t="s">
        <v>27</v>
      </c>
      <c r="N1058" s="108" t="str">
        <f t="shared" si="1"/>
        <v>GMC-CURITIBA</v>
      </c>
      <c r="O1058" s="109" t="str">
        <f>Cadastro!$O990</f>
        <v>https://monitoramento.pm.pr.gov.br/proxy_image_16/Interface/Cameras/GetJPEGStream?Camera=GCM111&amp;AuthUser=siscop&amp;AuthPass=Siscop1234&amp;Width=1024&amp;Height=768&amp;Quality=70&amp;FPS=10&amp;ResponseFormat=Text</v>
      </c>
      <c r="P1058" s="106">
        <f>Cadastro!$P990</f>
        <v>1</v>
      </c>
    </row>
    <row r="1059">
      <c r="A1059" s="104" t="str">
        <f>Cadastro!$A991</f>
        <v>GMC-CURITIBA</v>
      </c>
      <c r="B1059" s="104" t="str">
        <f>Cadastro!$B991</f>
        <v>CURITIBA</v>
      </c>
      <c r="C1059" s="107" t="str">
        <f>Cadastro!$C991</f>
        <v>https://monitoramento.pm.pr.gov.br/proxy_image_16/</v>
      </c>
      <c r="D1059" s="105">
        <f>Cadastro!$D991</f>
        <v>8601</v>
      </c>
      <c r="E1059" s="104" t="str">
        <f>Cadastro!$E991</f>
        <v>GCM112</v>
      </c>
      <c r="F1059" s="104" t="str">
        <f>Cadastro!$F991</f>
        <v>RUA DA CIDADANIA FAZENDINHA- TERMINAL- ESTACIIONAMENTO</v>
      </c>
      <c r="G1059" s="106" t="str">
        <f>Cadastro!$G991</f>
        <v>-25.477490</v>
      </c>
      <c r="H1059" s="106" t="str">
        <f>Cadastro!$H991</f>
        <v>-49.326840</v>
      </c>
      <c r="I1059" s="104" t="str">
        <f>Cadastro!$I991</f>
        <v>siscop</v>
      </c>
      <c r="J1059" s="104" t="str">
        <f>Cadastro!$J991</f>
        <v>Siscop1234</v>
      </c>
      <c r="K1059" s="104" t="s">
        <v>4536</v>
      </c>
      <c r="L1059" s="104" t="s">
        <v>26</v>
      </c>
      <c r="M1059" s="104" t="s">
        <v>27</v>
      </c>
      <c r="N1059" s="108" t="str">
        <f t="shared" si="1"/>
        <v>GMC-CURITIBA</v>
      </c>
      <c r="O1059" s="109" t="str">
        <f>Cadastro!$O991</f>
        <v>https://monitoramento.pm.pr.gov.br/proxy_image_16/Interface/Cameras/GetJPEGStream?Camera=GCM112&amp;AuthUser=siscop&amp;AuthPass=Siscop1234&amp;Width=1024&amp;Height=768&amp;Quality=70&amp;FPS=10&amp;ResponseFormat=Text</v>
      </c>
      <c r="P1059" s="106">
        <f>Cadastro!$P991</f>
        <v>1</v>
      </c>
    </row>
    <row r="1060">
      <c r="A1060" s="104" t="str">
        <f>Cadastro!$A992</f>
        <v>GMC-CURITIBA</v>
      </c>
      <c r="B1060" s="104" t="str">
        <f>Cadastro!$B992</f>
        <v>CURITIBA</v>
      </c>
      <c r="C1060" s="107" t="str">
        <f>Cadastro!$C992</f>
        <v>https://monitoramento.pm.pr.gov.br/proxy_image_16/</v>
      </c>
      <c r="D1060" s="105">
        <f>Cadastro!$D992</f>
        <v>8601</v>
      </c>
      <c r="E1060" s="104" t="str">
        <f>Cadastro!$E992</f>
        <v>GCM113</v>
      </c>
      <c r="F1060" s="104" t="str">
        <f>Cadastro!$F992</f>
        <v>RUA DA CIDADANIA FAZENDINHA FIXA 1</v>
      </c>
      <c r="G1060" s="106" t="str">
        <f>Cadastro!$G992</f>
        <v>-25.477986</v>
      </c>
      <c r="H1060" s="106" t="str">
        <f>Cadastro!$H992</f>
        <v>-49.326967</v>
      </c>
      <c r="I1060" s="104" t="str">
        <f>Cadastro!$I992</f>
        <v>siscop</v>
      </c>
      <c r="J1060" s="104" t="str">
        <f>Cadastro!$J992</f>
        <v>Siscop1234</v>
      </c>
      <c r="K1060" s="104" t="s">
        <v>4536</v>
      </c>
      <c r="L1060" s="104" t="s">
        <v>26</v>
      </c>
      <c r="M1060" s="104" t="s">
        <v>27</v>
      </c>
      <c r="N1060" s="108" t="str">
        <f t="shared" si="1"/>
        <v>GMC-CURITIBA</v>
      </c>
      <c r="O1060" s="109" t="str">
        <f>Cadastro!$O992</f>
        <v>https://monitoramento.pm.pr.gov.br/proxy_image_16/Interface/Cameras/GetJPEGStream?Camera=GCM113&amp;AuthUser=siscop&amp;AuthPass=Siscop1234&amp;Width=1024&amp;Height=768&amp;Quality=70&amp;FPS=10&amp;ResponseFormat=Text</v>
      </c>
      <c r="P1060" s="106">
        <f>Cadastro!$P992</f>
        <v>1</v>
      </c>
    </row>
    <row r="1061">
      <c r="A1061" s="104" t="str">
        <f>Cadastro!$A993</f>
        <v>GMC-CURITIBA</v>
      </c>
      <c r="B1061" s="104" t="str">
        <f>Cadastro!$B993</f>
        <v>CURITIBA</v>
      </c>
      <c r="C1061" s="107" t="str">
        <f>Cadastro!$C993</f>
        <v>https://monitoramento.pm.pr.gov.br/proxy_image_16/</v>
      </c>
      <c r="D1061" s="105">
        <f>Cadastro!$D993</f>
        <v>8601</v>
      </c>
      <c r="E1061" s="104" t="str">
        <f>Cadastro!$E993</f>
        <v>GCM114</v>
      </c>
      <c r="F1061" s="104" t="str">
        <f>Cadastro!$F993</f>
        <v>RUA DA CIDADANIA FAZENDINHA FIXA 1</v>
      </c>
      <c r="G1061" s="106" t="str">
        <f>Cadastro!$G993</f>
        <v>-25.478078</v>
      </c>
      <c r="H1061" s="106" t="str">
        <f>Cadastro!$H993</f>
        <v>-49.326431</v>
      </c>
      <c r="I1061" s="104" t="str">
        <f>Cadastro!$I993</f>
        <v>siscop</v>
      </c>
      <c r="J1061" s="104" t="str">
        <f>Cadastro!$J993</f>
        <v>Siscop1234</v>
      </c>
      <c r="K1061" s="104" t="s">
        <v>4536</v>
      </c>
      <c r="L1061" s="104" t="s">
        <v>26</v>
      </c>
      <c r="M1061" s="104" t="s">
        <v>27</v>
      </c>
      <c r="N1061" s="108" t="str">
        <f t="shared" si="1"/>
        <v>GMC-CURITIBA</v>
      </c>
      <c r="O1061" s="109" t="str">
        <f>Cadastro!$O993</f>
        <v>https://monitoramento.pm.pr.gov.br/proxy_image_16/Interface/Cameras/GetJPEGStream?Camera=GCM114&amp;AuthUser=siscop&amp;AuthPass=Siscop1234&amp;Width=1024&amp;Height=768&amp;Quality=70&amp;FPS=10&amp;ResponseFormat=Text</v>
      </c>
      <c r="P1061" s="106">
        <f>Cadastro!$P993</f>
        <v>1</v>
      </c>
    </row>
    <row r="1062">
      <c r="A1062" s="104" t="str">
        <f>Cadastro!$A994</f>
        <v>GMC-CURITIBA</v>
      </c>
      <c r="B1062" s="104" t="str">
        <f>Cadastro!$B994</f>
        <v>CURITIBA</v>
      </c>
      <c r="C1062" s="107" t="str">
        <f>Cadastro!$C994</f>
        <v>https://monitoramento.pm.pr.gov.br/proxy_image_16/</v>
      </c>
      <c r="D1062" s="105">
        <f>Cadastro!$D994</f>
        <v>8601</v>
      </c>
      <c r="E1062" s="104" t="str">
        <f>Cadastro!$E994</f>
        <v>GCM115</v>
      </c>
      <c r="F1062" s="104" t="str">
        <f>Cadastro!$F994</f>
        <v>RUA DA CIDADANIA FAZENDINHA FIXA 3</v>
      </c>
      <c r="G1062" s="106" t="str">
        <f>Cadastro!$G994</f>
        <v>-25.478270</v>
      </c>
      <c r="H1062" s="106" t="str">
        <f>Cadastro!$H994</f>
        <v>-49.327010</v>
      </c>
      <c r="I1062" s="104" t="str">
        <f>Cadastro!$I994</f>
        <v>siscop</v>
      </c>
      <c r="J1062" s="104" t="str">
        <f>Cadastro!$J994</f>
        <v>Siscop1234</v>
      </c>
      <c r="K1062" s="104" t="s">
        <v>4536</v>
      </c>
      <c r="L1062" s="104" t="s">
        <v>26</v>
      </c>
      <c r="M1062" s="104" t="s">
        <v>27</v>
      </c>
      <c r="N1062" s="108" t="str">
        <f t="shared" si="1"/>
        <v>GMC-CURITIBA</v>
      </c>
      <c r="O1062" s="109" t="str">
        <f>Cadastro!$O994</f>
        <v>https://monitoramento.pm.pr.gov.br/proxy_image_16/Interface/Cameras/GetJPEGStream?Camera=GCM115&amp;AuthUser=siscop&amp;AuthPass=Siscop1234&amp;Width=1024&amp;Height=768&amp;Quality=70&amp;FPS=10&amp;ResponseFormat=Text</v>
      </c>
      <c r="P1062" s="106">
        <f>Cadastro!$P994</f>
        <v>1</v>
      </c>
    </row>
    <row r="1063">
      <c r="A1063" s="104" t="str">
        <f>Cadastro!$A995</f>
        <v>GMC-CURITIBA</v>
      </c>
      <c r="B1063" s="104" t="str">
        <f>Cadastro!$B995</f>
        <v>CURITIBA</v>
      </c>
      <c r="C1063" s="107" t="str">
        <f>Cadastro!$C995</f>
        <v>https://monitoramento.pm.pr.gov.br/proxy_image_16/</v>
      </c>
      <c r="D1063" s="105">
        <f>Cadastro!$D995</f>
        <v>8601</v>
      </c>
      <c r="E1063" s="104" t="str">
        <f>Cadastro!$E995</f>
        <v>GCM116</v>
      </c>
      <c r="F1063" s="104" t="str">
        <f>Cadastro!$F995</f>
        <v>CEMITÉRIO ÁGUA VERDE- PRAÇA SAGRADO CORAÇÃO DE JESUS</v>
      </c>
      <c r="G1063" s="106" t="str">
        <f>Cadastro!$G995</f>
        <v>-25.453221</v>
      </c>
      <c r="H1063" s="106" t="str">
        <f>Cadastro!$H995</f>
        <v>-49.280814</v>
      </c>
      <c r="I1063" s="104" t="str">
        <f>Cadastro!$I995</f>
        <v>siscop</v>
      </c>
      <c r="J1063" s="104" t="str">
        <f>Cadastro!$J995</f>
        <v>Siscop1234</v>
      </c>
      <c r="K1063" s="104" t="s">
        <v>4536</v>
      </c>
      <c r="L1063" s="104" t="s">
        <v>26</v>
      </c>
      <c r="M1063" s="104" t="s">
        <v>27</v>
      </c>
      <c r="N1063" s="108" t="str">
        <f t="shared" si="1"/>
        <v>GMC-CURITIBA</v>
      </c>
      <c r="O1063" s="109" t="str">
        <f>Cadastro!$O995</f>
        <v>https://monitoramento.pm.pr.gov.br/proxy_image_16/Interface/Cameras/GetJPEGStream?Camera=GCM116&amp;AuthUser=siscop&amp;AuthPass=Siscop1234&amp;Width=1024&amp;Height=768&amp;Quality=70&amp;FPS=10&amp;ResponseFormat=Text</v>
      </c>
      <c r="P1063" s="106">
        <f>Cadastro!$P995</f>
        <v>1</v>
      </c>
    </row>
    <row r="1064">
      <c r="A1064" s="104" t="str">
        <f>Cadastro!$A996</f>
        <v>GMC-CURITIBA</v>
      </c>
      <c r="B1064" s="104" t="str">
        <f>Cadastro!$B996</f>
        <v>CURITIBA</v>
      </c>
      <c r="C1064" s="107" t="str">
        <f>Cadastro!$C996</f>
        <v>https://monitoramento.pm.pr.gov.br/proxy_image_16/</v>
      </c>
      <c r="D1064" s="105">
        <f>Cadastro!$D996</f>
        <v>8601</v>
      </c>
      <c r="E1064" s="104" t="str">
        <f>Cadastro!$E996</f>
        <v>GCM117</v>
      </c>
      <c r="F1064" s="104" t="str">
        <f>Cadastro!$F996</f>
        <v>CEMITÉRIO ÁGUA VERDE- PORTÃO FUNDOS</v>
      </c>
      <c r="G1064" s="106" t="str">
        <f>Cadastro!$G996</f>
        <v>-25.454501</v>
      </c>
      <c r="H1064" s="106" t="str">
        <f>Cadastro!$H996</f>
        <v>-49.282238</v>
      </c>
      <c r="I1064" s="104" t="str">
        <f>Cadastro!$I996</f>
        <v>siscop</v>
      </c>
      <c r="J1064" s="104" t="str">
        <f>Cadastro!$J996</f>
        <v>Siscop1234</v>
      </c>
      <c r="K1064" s="104" t="s">
        <v>4536</v>
      </c>
      <c r="L1064" s="104" t="s">
        <v>26</v>
      </c>
      <c r="M1064" s="104" t="s">
        <v>27</v>
      </c>
      <c r="N1064" s="108" t="str">
        <f t="shared" si="1"/>
        <v>GMC-CURITIBA</v>
      </c>
      <c r="O1064" s="109" t="str">
        <f>Cadastro!$O996</f>
        <v>https://monitoramento.pm.pr.gov.br/proxy_image_16/Interface/Cameras/GetJPEGStream?Camera=GCM117&amp;AuthUser=siscop&amp;AuthPass=Siscop1234&amp;Width=1024&amp;Height=768&amp;Quality=70&amp;FPS=10&amp;ResponseFormat=Text</v>
      </c>
      <c r="P1064" s="106">
        <f>Cadastro!$P996</f>
        <v>1</v>
      </c>
    </row>
    <row r="1065">
      <c r="A1065" s="104" t="str">
        <f>Cadastro!$A997</f>
        <v>GMC-CURITIBA</v>
      </c>
      <c r="B1065" s="104" t="str">
        <f>Cadastro!$B997</f>
        <v>CURITIBA</v>
      </c>
      <c r="C1065" s="107" t="str">
        <f>Cadastro!$C997</f>
        <v>https://monitoramento.pm.pr.gov.br/proxy_image_16/</v>
      </c>
      <c r="D1065" s="105">
        <f>Cadastro!$D997</f>
        <v>8601</v>
      </c>
      <c r="E1065" s="104" t="str">
        <f>Cadastro!$E997</f>
        <v>GCM118</v>
      </c>
      <c r="F1065" s="104" t="str">
        <f>Cadastro!$F997</f>
        <v>CEMITÉRIO ÁGUA VERDE- R, MARQUES DO PARANA COM R. GUILHERMA PUSGLEY</v>
      </c>
      <c r="G1065" s="106" t="str">
        <f>Cadastro!$G997</f>
        <v>-25.453784</v>
      </c>
      <c r="H1065" s="106" t="str">
        <f>Cadastro!$H997</f>
        <v>-49.284649</v>
      </c>
      <c r="I1065" s="104" t="str">
        <f>Cadastro!$I997</f>
        <v>siscop</v>
      </c>
      <c r="J1065" s="104" t="str">
        <f>Cadastro!$J997</f>
        <v>Siscop1234</v>
      </c>
      <c r="K1065" s="104" t="s">
        <v>4536</v>
      </c>
      <c r="L1065" s="104" t="s">
        <v>26</v>
      </c>
      <c r="M1065" s="104" t="s">
        <v>27</v>
      </c>
      <c r="N1065" s="108" t="str">
        <f t="shared" si="1"/>
        <v>GMC-CURITIBA</v>
      </c>
      <c r="O1065" s="109" t="str">
        <f>Cadastro!$O997</f>
        <v>https://monitoramento.pm.pr.gov.br/proxy_image_16/Interface/Cameras/GetJPEGStream?Camera=GCM118&amp;AuthUser=siscop&amp;AuthPass=Siscop1234&amp;Width=1024&amp;Height=768&amp;Quality=70&amp;FPS=10&amp;ResponseFormat=Text</v>
      </c>
      <c r="P1065" s="106">
        <f>Cadastro!$P997</f>
        <v>1</v>
      </c>
    </row>
    <row r="1066">
      <c r="A1066" s="104" t="str">
        <f>Cadastro!$A998</f>
        <v>GMC-CURITIBA</v>
      </c>
      <c r="B1066" s="104" t="str">
        <f>Cadastro!$B998</f>
        <v>CURITIBA</v>
      </c>
      <c r="C1066" s="107" t="str">
        <f>Cadastro!$C998</f>
        <v>https://monitoramento.pm.pr.gov.br/proxy_image_16/</v>
      </c>
      <c r="D1066" s="105">
        <f>Cadastro!$D998</f>
        <v>8601</v>
      </c>
      <c r="E1066" s="104" t="str">
        <f>Cadastro!$E998</f>
        <v>GCM119</v>
      </c>
      <c r="F1066" s="104" t="str">
        <f>Cadastro!$F998</f>
        <v>CEMITÉRIO ÁGUA VERDE FIXA 2</v>
      </c>
      <c r="G1066" s="106" t="str">
        <f>Cadastro!$G998</f>
        <v>-25.455263</v>
      </c>
      <c r="H1066" s="106" t="str">
        <f>Cadastro!$H998</f>
        <v>-49.284184</v>
      </c>
      <c r="I1066" s="104" t="str">
        <f>Cadastro!$I998</f>
        <v>siscop</v>
      </c>
      <c r="J1066" s="104" t="str">
        <f>Cadastro!$J998</f>
        <v>Siscop1234</v>
      </c>
      <c r="K1066" s="104" t="s">
        <v>4536</v>
      </c>
      <c r="L1066" s="104" t="s">
        <v>26</v>
      </c>
      <c r="M1066" s="104" t="s">
        <v>27</v>
      </c>
      <c r="N1066" s="108" t="str">
        <f t="shared" si="1"/>
        <v>GMC-CURITIBA</v>
      </c>
      <c r="O1066" s="109" t="str">
        <f>Cadastro!$O998</f>
        <v>https://monitoramento.pm.pr.gov.br/proxy_image_16/Interface/Cameras/GetJPEGStream?Camera=GCM119&amp;AuthUser=siscop&amp;AuthPass=Siscop1234&amp;Width=1024&amp;Height=768&amp;Quality=70&amp;FPS=10&amp;ResponseFormat=Text</v>
      </c>
      <c r="P1066" s="106">
        <f>Cadastro!$P998</f>
        <v>1</v>
      </c>
    </row>
    <row r="1067">
      <c r="A1067" s="104" t="str">
        <f>Cadastro!$A999</f>
        <v>GMC-CURITIBA</v>
      </c>
      <c r="B1067" s="104" t="str">
        <f>Cadastro!$B999</f>
        <v>CURITIBA</v>
      </c>
      <c r="C1067" s="107" t="str">
        <f>Cadastro!$C999</f>
        <v>https://monitoramento.pm.pr.gov.br/proxy_image_16/</v>
      </c>
      <c r="D1067" s="105">
        <f>Cadastro!$D999</f>
        <v>8601</v>
      </c>
      <c r="E1067" s="104" t="str">
        <f>Cadastro!$E999</f>
        <v>GCM120</v>
      </c>
      <c r="F1067" s="104" t="str">
        <f>Cadastro!$F999</f>
        <v>#</v>
      </c>
      <c r="G1067" s="106" t="str">
        <f>Cadastro!$G999</f>
        <v>0</v>
      </c>
      <c r="H1067" s="106" t="str">
        <f>Cadastro!$H999</f>
        <v>0</v>
      </c>
      <c r="I1067" s="104" t="str">
        <f>Cadastro!$I999</f>
        <v>siscop</v>
      </c>
      <c r="J1067" s="104" t="str">
        <f>Cadastro!$J999</f>
        <v>Siscop1234</v>
      </c>
      <c r="K1067" s="104" t="s">
        <v>4536</v>
      </c>
      <c r="L1067" s="104" t="s">
        <v>26</v>
      </c>
      <c r="M1067" s="104" t="s">
        <v>27</v>
      </c>
      <c r="N1067" s="108" t="str">
        <f t="shared" si="1"/>
        <v>GMC-CURITIBA</v>
      </c>
      <c r="O1067" s="112" t="str">
        <f>Cadastro!$O999</f>
        <v>#</v>
      </c>
      <c r="P1067" s="106">
        <f>Cadastro!$P999</f>
        <v>0</v>
      </c>
    </row>
    <row r="1068">
      <c r="A1068" s="104" t="str">
        <f>Cadastro!$A1000</f>
        <v>GMC-CURITIBA</v>
      </c>
      <c r="B1068" s="104" t="str">
        <f>Cadastro!$B1000</f>
        <v>CURITIBA</v>
      </c>
      <c r="C1068" s="107" t="str">
        <f>Cadastro!$C1000</f>
        <v>https://monitoramento.pm.pr.gov.br/proxy_image_16/</v>
      </c>
      <c r="D1068" s="105">
        <f>Cadastro!$D1000</f>
        <v>8601</v>
      </c>
      <c r="E1068" s="104" t="str">
        <f>Cadastro!$E1000</f>
        <v>GCM121</v>
      </c>
      <c r="F1068" s="104" t="str">
        <f>Cadastro!$F1000</f>
        <v>#</v>
      </c>
      <c r="G1068" s="106" t="str">
        <f>Cadastro!$G1000</f>
        <v>0</v>
      </c>
      <c r="H1068" s="106" t="str">
        <f>Cadastro!$H1000</f>
        <v>0</v>
      </c>
      <c r="I1068" s="104" t="str">
        <f>Cadastro!$I1000</f>
        <v>siscop</v>
      </c>
      <c r="J1068" s="104" t="str">
        <f>Cadastro!$J1000</f>
        <v>Siscop1234</v>
      </c>
      <c r="K1068" s="104" t="s">
        <v>4536</v>
      </c>
      <c r="L1068" s="104" t="s">
        <v>26</v>
      </c>
      <c r="M1068" s="104" t="s">
        <v>27</v>
      </c>
      <c r="N1068" s="108" t="str">
        <f t="shared" si="1"/>
        <v>GMC-CURITIBA</v>
      </c>
      <c r="O1068" s="112" t="str">
        <f>Cadastro!$O1000</f>
        <v>#</v>
      </c>
      <c r="P1068" s="106">
        <f>Cadastro!$P1000</f>
        <v>0</v>
      </c>
    </row>
    <row r="1069">
      <c r="A1069" s="104" t="str">
        <f>Cadastro!$A1001</f>
        <v>GMC-CURITIBA</v>
      </c>
      <c r="B1069" s="104" t="str">
        <f>Cadastro!$B1001</f>
        <v>CURITIBA</v>
      </c>
      <c r="C1069" s="107" t="str">
        <f>Cadastro!$C1001</f>
        <v>https://monitoramento.pm.pr.gov.br/proxy_image_16/</v>
      </c>
      <c r="D1069" s="105">
        <f>Cadastro!$D1001</f>
        <v>8601</v>
      </c>
      <c r="E1069" s="104" t="str">
        <f>Cadastro!$E1001</f>
        <v>GCM122</v>
      </c>
      <c r="F1069" s="104" t="str">
        <f>Cadastro!$F1001</f>
        <v>RUA DA CIDADANIA SANTA FELICIDADE FIXA 1</v>
      </c>
      <c r="G1069" s="106" t="str">
        <f>Cadastro!$G1001</f>
        <v>-25.400190</v>
      </c>
      <c r="H1069" s="106" t="str">
        <f>Cadastro!$H1001</f>
        <v>-49.330619</v>
      </c>
      <c r="I1069" s="104" t="str">
        <f>Cadastro!$I1001</f>
        <v>siscop</v>
      </c>
      <c r="J1069" s="104" t="str">
        <f>Cadastro!$J1001</f>
        <v>Siscop1234</v>
      </c>
      <c r="K1069" s="104" t="s">
        <v>4536</v>
      </c>
      <c r="L1069" s="104" t="s">
        <v>26</v>
      </c>
      <c r="M1069" s="104" t="s">
        <v>27</v>
      </c>
      <c r="N1069" s="108" t="str">
        <f t="shared" si="1"/>
        <v>GMC-CURITIBA</v>
      </c>
      <c r="O1069" s="109" t="str">
        <f>Cadastro!$O1001</f>
        <v>https://monitoramento.pm.pr.gov.br/proxy_image_16/Interface/Cameras/GetJPEGStream?Camera=GCM122&amp;AuthUser=siscop&amp;AuthPass=Siscop1234&amp;Width=1024&amp;Height=768&amp;Quality=70&amp;FPS=10&amp;ResponseFormat=Text</v>
      </c>
      <c r="P1069" s="106">
        <f>Cadastro!$P1001</f>
        <v>1</v>
      </c>
    </row>
    <row r="1070">
      <c r="A1070" s="104" t="str">
        <f>Cadastro!$A1002</f>
        <v>GMC-CURITIBA</v>
      </c>
      <c r="B1070" s="104" t="str">
        <f>Cadastro!$B1002</f>
        <v>CURITIBA</v>
      </c>
      <c r="C1070" s="107" t="str">
        <f>Cadastro!$C1002</f>
        <v>https://monitoramento.pm.pr.gov.br/proxy_image_16/</v>
      </c>
      <c r="D1070" s="105">
        <f>Cadastro!$D1002</f>
        <v>8601</v>
      </c>
      <c r="E1070" s="104" t="str">
        <f>Cadastro!$E1002</f>
        <v>GCM123</v>
      </c>
      <c r="F1070" s="104" t="str">
        <f>Cadastro!$F1002</f>
        <v>RUA DA CIDADANIA SANTA FELICIDADE FIXA 2</v>
      </c>
      <c r="G1070" s="106" t="str">
        <f>Cadastro!$G1002</f>
        <v>-25.400307</v>
      </c>
      <c r="H1070" s="106" t="str">
        <f>Cadastro!$H1002</f>
        <v>-49.330546</v>
      </c>
      <c r="I1070" s="104" t="str">
        <f>Cadastro!$I1002</f>
        <v>siscop</v>
      </c>
      <c r="J1070" s="104" t="str">
        <f>Cadastro!$J1002</f>
        <v>Siscop1234</v>
      </c>
      <c r="K1070" s="104" t="s">
        <v>4536</v>
      </c>
      <c r="L1070" s="104" t="s">
        <v>26</v>
      </c>
      <c r="M1070" s="104" t="s">
        <v>27</v>
      </c>
      <c r="N1070" s="108" t="str">
        <f t="shared" si="1"/>
        <v>GMC-CURITIBA</v>
      </c>
      <c r="O1070" s="109" t="str">
        <f>Cadastro!$O1002</f>
        <v>https://monitoramento.pm.pr.gov.br/proxy_image_16/Interface/Cameras/GetJPEGStream?Camera=GCM123&amp;AuthUser=siscop&amp;AuthPass=Siscop1234&amp;Width=1024&amp;Height=768&amp;Quality=70&amp;FPS=10&amp;ResponseFormat=Text</v>
      </c>
      <c r="P1070" s="106">
        <f>Cadastro!$P1002</f>
        <v>1</v>
      </c>
    </row>
    <row r="1071">
      <c r="A1071" s="104" t="str">
        <f>Cadastro!$A1003</f>
        <v>GMC-CURITIBA</v>
      </c>
      <c r="B1071" s="104" t="str">
        <f>Cadastro!$B1003</f>
        <v>CURITIBA</v>
      </c>
      <c r="C1071" s="107" t="str">
        <f>Cadastro!$C1003</f>
        <v>https://monitoramento.pm.pr.gov.br/proxy_image_16/</v>
      </c>
      <c r="D1071" s="105">
        <f>Cadastro!$D1003</f>
        <v>8601</v>
      </c>
      <c r="E1071" s="104" t="str">
        <f>Cadastro!$E1003</f>
        <v>GCM124</v>
      </c>
      <c r="F1071" s="104" t="str">
        <f>Cadastro!$F1003</f>
        <v>RUA DA CIDADANIA SANTA FELICIDADE CANCHA FIXA 3</v>
      </c>
      <c r="G1071" s="106" t="str">
        <f>Cadastro!$G1003</f>
        <v>-25.400295</v>
      </c>
      <c r="H1071" s="106" t="str">
        <f>Cadastro!$H1003</f>
        <v>-49.329994</v>
      </c>
      <c r="I1071" s="104" t="str">
        <f>Cadastro!$I1003</f>
        <v>siscop</v>
      </c>
      <c r="J1071" s="104" t="str">
        <f>Cadastro!$J1003</f>
        <v>Siscop1234</v>
      </c>
      <c r="K1071" s="104" t="s">
        <v>4536</v>
      </c>
      <c r="L1071" s="104" t="s">
        <v>26</v>
      </c>
      <c r="M1071" s="104" t="s">
        <v>27</v>
      </c>
      <c r="N1071" s="108" t="str">
        <f t="shared" si="1"/>
        <v>GMC-CURITIBA</v>
      </c>
      <c r="O1071" s="109" t="str">
        <f>Cadastro!$O1003</f>
        <v>https://monitoramento.pm.pr.gov.br/proxy_image_16/Interface/Cameras/GetJPEGStream?Camera=GCM124&amp;AuthUser=siscop&amp;AuthPass=Siscop1234&amp;Width=1024&amp;Height=768&amp;Quality=70&amp;FPS=10&amp;ResponseFormat=Text</v>
      </c>
      <c r="P1071" s="106">
        <f>Cadastro!$P1003</f>
        <v>1</v>
      </c>
    </row>
    <row r="1072">
      <c r="A1072" s="104" t="str">
        <f>Cadastro!$A1004</f>
        <v>GMC-CURITIBA</v>
      </c>
      <c r="B1072" s="104" t="str">
        <f>Cadastro!$B1004</f>
        <v>CURITIBA</v>
      </c>
      <c r="C1072" s="107" t="str">
        <f>Cadastro!$C1004</f>
        <v>https://monitoramento.pm.pr.gov.br/proxy_image_16/</v>
      </c>
      <c r="D1072" s="105">
        <f>Cadastro!$D1004</f>
        <v>8601</v>
      </c>
      <c r="E1072" s="104" t="str">
        <f>Cadastro!$E1004</f>
        <v>GCM125</v>
      </c>
      <c r="F1072" s="104" t="str">
        <f>Cadastro!$F1004</f>
        <v>RUA DA CIADADANIA SANTA FELICIDADE FIXA 4</v>
      </c>
      <c r="G1072" s="106" t="str">
        <f>Cadastro!$G1004</f>
        <v>-25.400810</v>
      </c>
      <c r="H1072" s="106" t="str">
        <f>Cadastro!$H1004</f>
        <v>-49.329679</v>
      </c>
      <c r="I1072" s="104" t="str">
        <f>Cadastro!$I1004</f>
        <v>siscop</v>
      </c>
      <c r="J1072" s="104" t="str">
        <f>Cadastro!$J1004</f>
        <v>Siscop1234</v>
      </c>
      <c r="K1072" s="104" t="s">
        <v>4536</v>
      </c>
      <c r="L1072" s="104" t="s">
        <v>26</v>
      </c>
      <c r="M1072" s="104" t="s">
        <v>27</v>
      </c>
      <c r="N1072" s="108" t="str">
        <f t="shared" si="1"/>
        <v>GMC-CURITIBA</v>
      </c>
      <c r="O1072" s="109" t="str">
        <f>Cadastro!$O1004</f>
        <v>https://monitoramento.pm.pr.gov.br/proxy_image_16/Interface/Cameras/GetJPEGStream?Camera=GCM125&amp;AuthUser=siscop&amp;AuthPass=Siscop1234&amp;Width=1024&amp;Height=768&amp;Quality=70&amp;FPS=10&amp;ResponseFormat=Text</v>
      </c>
      <c r="P1072" s="106">
        <f>Cadastro!$P1004</f>
        <v>1</v>
      </c>
    </row>
    <row r="1073">
      <c r="A1073" s="104" t="str">
        <f>Cadastro!$A1005</f>
        <v>GMC-CURITIBA</v>
      </c>
      <c r="B1073" s="104" t="str">
        <f>Cadastro!$B1005</f>
        <v>CURITIBA</v>
      </c>
      <c r="C1073" s="107" t="str">
        <f>Cadastro!$C1005</f>
        <v>https://monitoramento.pm.pr.gov.br/proxy_image_16/</v>
      </c>
      <c r="D1073" s="105">
        <f>Cadastro!$D1005</f>
        <v>8601</v>
      </c>
      <c r="E1073" s="104" t="str">
        <f>Cadastro!$E1005</f>
        <v>GCM126</v>
      </c>
      <c r="F1073" s="104" t="str">
        <f>Cadastro!$F1005</f>
        <v>R. SANTA BERTILA BOSCARDIN- PRAÇA SÃO MARCOS- CTA3498</v>
      </c>
      <c r="G1073" s="106" t="str">
        <f>Cadastro!$G1005</f>
        <v>-25.401661</v>
      </c>
      <c r="H1073" s="106" t="str">
        <f>Cadastro!$H1005</f>
        <v>-49.329778</v>
      </c>
      <c r="I1073" s="104" t="str">
        <f>Cadastro!$I1005</f>
        <v>siscop</v>
      </c>
      <c r="J1073" s="104" t="str">
        <f>Cadastro!$J1005</f>
        <v>Siscop1234</v>
      </c>
      <c r="K1073" s="104" t="s">
        <v>4536</v>
      </c>
      <c r="L1073" s="104" t="s">
        <v>26</v>
      </c>
      <c r="M1073" s="104" t="s">
        <v>27</v>
      </c>
      <c r="N1073" s="108" t="str">
        <f t="shared" si="1"/>
        <v>GMC-CURITIBA</v>
      </c>
      <c r="O1073" s="109" t="str">
        <f>Cadastro!$O1005</f>
        <v>https://monitoramento.pm.pr.gov.br/proxy_image_16/Interface/Cameras/GetJPEGStream?Camera=GCM126&amp;AuthUser=siscop&amp;AuthPass=Siscop1234&amp;Width=1024&amp;Height=768&amp;Quality=70&amp;FPS=10&amp;ResponseFormat=Text</v>
      </c>
      <c r="P1073" s="106">
        <f>Cadastro!$P1005</f>
        <v>1</v>
      </c>
    </row>
    <row r="1074">
      <c r="A1074" s="104" t="str">
        <f>Cadastro!$A1006</f>
        <v>GMC-CURITIBA</v>
      </c>
      <c r="B1074" s="104" t="str">
        <f>Cadastro!$B1006</f>
        <v>CURITIBA</v>
      </c>
      <c r="C1074" s="107" t="str">
        <f>Cadastro!$C1006</f>
        <v>https://monitoramento.pm.pr.gov.br/proxy_image_16/</v>
      </c>
      <c r="D1074" s="105">
        <f>Cadastro!$D1006</f>
        <v>8601</v>
      </c>
      <c r="E1074" s="104" t="str">
        <f>Cadastro!$E1006</f>
        <v>GCM127</v>
      </c>
      <c r="F1074" s="104" t="str">
        <f>Cadastro!$F1006</f>
        <v>PRAÇA SÃO MARCOS FIXA</v>
      </c>
      <c r="G1074" s="106" t="str">
        <f>Cadastro!$G1006</f>
        <v>-25.401595</v>
      </c>
      <c r="H1074" s="106" t="str">
        <f>Cadastro!$H1006</f>
        <v>-49.330108</v>
      </c>
      <c r="I1074" s="104" t="str">
        <f>Cadastro!$I1006</f>
        <v>siscop</v>
      </c>
      <c r="J1074" s="104" t="str">
        <f>Cadastro!$J1006</f>
        <v>Siscop1234</v>
      </c>
      <c r="K1074" s="104" t="s">
        <v>4536</v>
      </c>
      <c r="L1074" s="104" t="s">
        <v>26</v>
      </c>
      <c r="M1074" s="104" t="s">
        <v>27</v>
      </c>
      <c r="N1074" s="108" t="str">
        <f t="shared" si="1"/>
        <v>GMC-CURITIBA</v>
      </c>
      <c r="O1074" s="109" t="str">
        <f>Cadastro!$O1006</f>
        <v>https://monitoramento.pm.pr.gov.br/proxy_image_16/Interface/Cameras/GetJPEGStream?Camera=GCM127&amp;AuthUser=siscop&amp;AuthPass=Siscop1234&amp;Width=1024&amp;Height=768&amp;Quality=70&amp;FPS=10&amp;ResponseFormat=Text</v>
      </c>
      <c r="P1074" s="106">
        <f>Cadastro!$P1006</f>
        <v>1</v>
      </c>
    </row>
    <row r="1075">
      <c r="A1075" s="104" t="str">
        <f>Cadastro!$A1007</f>
        <v>GMC-CURITIBA</v>
      </c>
      <c r="B1075" s="104" t="str">
        <f>Cadastro!$B1007</f>
        <v>CURITIBA</v>
      </c>
      <c r="C1075" s="107" t="str">
        <f>Cadastro!$C1007</f>
        <v>https://monitoramento.pm.pr.gov.br/proxy_image_16/</v>
      </c>
      <c r="D1075" s="105">
        <f>Cadastro!$D1007</f>
        <v>8601</v>
      </c>
      <c r="E1075" s="104" t="str">
        <f>Cadastro!$E1007</f>
        <v>GCM128</v>
      </c>
      <c r="F1075" s="104" t="str">
        <f>Cadastro!$F1007</f>
        <v>#</v>
      </c>
      <c r="G1075" s="106" t="str">
        <f>Cadastro!$G1007</f>
        <v>0</v>
      </c>
      <c r="H1075" s="106" t="str">
        <f>Cadastro!$H1007</f>
        <v>0</v>
      </c>
      <c r="I1075" s="104" t="str">
        <f>Cadastro!$I1007</f>
        <v>siscop</v>
      </c>
      <c r="J1075" s="104" t="str">
        <f>Cadastro!$J1007</f>
        <v>Siscop1234</v>
      </c>
      <c r="K1075" s="104" t="s">
        <v>4536</v>
      </c>
      <c r="L1075" s="104" t="s">
        <v>26</v>
      </c>
      <c r="M1075" s="104" t="s">
        <v>27</v>
      </c>
      <c r="N1075" s="108" t="str">
        <f t="shared" si="1"/>
        <v>GMC-CURITIBA</v>
      </c>
      <c r="O1075" s="112" t="str">
        <f>Cadastro!$O1007</f>
        <v>#</v>
      </c>
      <c r="P1075" s="106">
        <f>Cadastro!$P1007</f>
        <v>0</v>
      </c>
    </row>
    <row r="1076">
      <c r="A1076" s="104" t="str">
        <f>Cadastro!$A1008</f>
        <v>GMC-CURITIBA</v>
      </c>
      <c r="B1076" s="104" t="str">
        <f>Cadastro!$B1008</f>
        <v>CURITIBA</v>
      </c>
      <c r="C1076" s="107" t="str">
        <f>Cadastro!$C1008</f>
        <v>https://monitoramento.pm.pr.gov.br/proxy_image_16/</v>
      </c>
      <c r="D1076" s="105">
        <f>Cadastro!$D1008</f>
        <v>8601</v>
      </c>
      <c r="E1076" s="104" t="str">
        <f>Cadastro!$E1008</f>
        <v>GCM129</v>
      </c>
      <c r="F1076" s="104" t="str">
        <f>Cadastro!$F1008</f>
        <v>R. TOALDO TÚLIO(TRÊS MARIAS)</v>
      </c>
      <c r="G1076" s="106" t="str">
        <f>Cadastro!$G1008</f>
        <v>-25.424798</v>
      </c>
      <c r="H1076" s="106" t="str">
        <f>Cadastro!$H1008</f>
        <v>-49.352596</v>
      </c>
      <c r="I1076" s="104" t="str">
        <f>Cadastro!$I1008</f>
        <v>siscop</v>
      </c>
      <c r="J1076" s="104" t="str">
        <f>Cadastro!$J1008</f>
        <v>Siscop1234</v>
      </c>
      <c r="K1076" s="104" t="s">
        <v>4536</v>
      </c>
      <c r="L1076" s="104" t="s">
        <v>26</v>
      </c>
      <c r="M1076" s="104" t="s">
        <v>27</v>
      </c>
      <c r="N1076" s="108" t="str">
        <f t="shared" si="1"/>
        <v>GMC-CURITIBA</v>
      </c>
      <c r="O1076" s="109" t="str">
        <f>Cadastro!$O1008</f>
        <v>https://monitoramento.pm.pr.gov.br/proxy_image_16/Interface/Cameras/GetJPEGStream?Camera=GCM129&amp;AuthUser=siscop&amp;AuthPass=Siscop1234&amp;Width=1024&amp;Height=768&amp;Quality=70&amp;FPS=10&amp;ResponseFormat=Text</v>
      </c>
      <c r="P1076" s="106">
        <f>Cadastro!$P1008</f>
        <v>1</v>
      </c>
    </row>
    <row r="1077">
      <c r="A1077" s="104" t="str">
        <f>Cadastro!$A1009</f>
        <v>GMC-CURITIBA</v>
      </c>
      <c r="B1077" s="104" t="str">
        <f>Cadastro!$B1009</f>
        <v>CURITIBA</v>
      </c>
      <c r="C1077" s="107" t="str">
        <f>Cadastro!$C1009</f>
        <v>https://monitoramento.pm.pr.gov.br/proxy_image_16/</v>
      </c>
      <c r="D1077" s="105">
        <f>Cadastro!$D1009</f>
        <v>8601</v>
      </c>
      <c r="E1077" s="104" t="str">
        <f>Cadastro!$E1009</f>
        <v>GCM130</v>
      </c>
      <c r="F1077" s="104" t="str">
        <f>Cadastro!$F1009</f>
        <v>PARQUE BARIGUI-BISTRO CASA AMARELA</v>
      </c>
      <c r="G1077" s="106" t="str">
        <f>Cadastro!$G1009</f>
        <v>-25.424332</v>
      </c>
      <c r="H1077" s="106" t="str">
        <f>Cadastro!$H1009</f>
        <v>-49.306232</v>
      </c>
      <c r="I1077" s="104" t="str">
        <f>Cadastro!$I1009</f>
        <v>siscop</v>
      </c>
      <c r="J1077" s="104" t="str">
        <f>Cadastro!$J1009</f>
        <v>Siscop1234</v>
      </c>
      <c r="K1077" s="104" t="s">
        <v>4536</v>
      </c>
      <c r="L1077" s="104" t="s">
        <v>26</v>
      </c>
      <c r="M1077" s="104" t="s">
        <v>27</v>
      </c>
      <c r="N1077" s="108" t="str">
        <f t="shared" si="1"/>
        <v>GMC-CURITIBA</v>
      </c>
      <c r="O1077" s="109" t="str">
        <f>Cadastro!$O1009</f>
        <v>https://monitoramento.pm.pr.gov.br/proxy_image_16/Interface/Cameras/GetJPEGStream?Camera=GCM130&amp;AuthUser=siscop&amp;AuthPass=Siscop1234&amp;Width=1024&amp;Height=768&amp;Quality=70&amp;FPS=10&amp;ResponseFormat=Text</v>
      </c>
      <c r="P1077" s="106">
        <f>Cadastro!$P1009</f>
        <v>1</v>
      </c>
    </row>
    <row r="1078">
      <c r="A1078" s="104" t="str">
        <f>Cadastro!$A1010</f>
        <v>GMC-CURITIBA</v>
      </c>
      <c r="B1078" s="104" t="str">
        <f>Cadastro!$B1010</f>
        <v>CURITIBA</v>
      </c>
      <c r="C1078" s="107" t="str">
        <f>Cadastro!$C1010</f>
        <v>https://monitoramento.pm.pr.gov.br/proxy_image_16/</v>
      </c>
      <c r="D1078" s="105">
        <f>Cadastro!$D1010</f>
        <v>8601</v>
      </c>
      <c r="E1078" s="104" t="str">
        <f>Cadastro!$E1010</f>
        <v>GCM131</v>
      </c>
      <c r="F1078" s="104" t="str">
        <f>Cadastro!$F1010</f>
        <v>PARQUE BARIGUI- ESTACIONAMENTO ALAMEDA ECOLOGICA BURLE MARX</v>
      </c>
      <c r="G1078" s="106" t="str">
        <f>Cadastro!$G1010</f>
        <v>-25.426239</v>
      </c>
      <c r="H1078" s="106" t="str">
        <f>Cadastro!$H1010</f>
        <v>-49.308360</v>
      </c>
      <c r="I1078" s="104" t="str">
        <f>Cadastro!$I1010</f>
        <v>siscop</v>
      </c>
      <c r="J1078" s="104" t="str">
        <f>Cadastro!$J1010</f>
        <v>Siscop1234</v>
      </c>
      <c r="K1078" s="104" t="s">
        <v>4536</v>
      </c>
      <c r="L1078" s="104" t="s">
        <v>26</v>
      </c>
      <c r="M1078" s="104" t="s">
        <v>27</v>
      </c>
      <c r="N1078" s="108" t="str">
        <f t="shared" si="1"/>
        <v>GMC-CURITIBA</v>
      </c>
      <c r="O1078" s="109" t="str">
        <f>Cadastro!$O1010</f>
        <v>https://monitoramento.pm.pr.gov.br/proxy_image_16/Interface/Cameras/GetJPEGStream?Camera=GCM131&amp;AuthUser=siscop&amp;AuthPass=Siscop1234&amp;Width=1024&amp;Height=768&amp;Quality=70&amp;FPS=10&amp;ResponseFormat=Text</v>
      </c>
      <c r="P1078" s="106">
        <f>Cadastro!$P1010</f>
        <v>1</v>
      </c>
    </row>
    <row r="1079">
      <c r="A1079" s="104" t="str">
        <f>Cadastro!$A1011</f>
        <v>GMC-CURITIBA</v>
      </c>
      <c r="B1079" s="104" t="str">
        <f>Cadastro!$B1011</f>
        <v>CURITIBA</v>
      </c>
      <c r="C1079" s="107" t="str">
        <f>Cadastro!$C1011</f>
        <v>https://monitoramento.pm.pr.gov.br/proxy_image_16/</v>
      </c>
      <c r="D1079" s="105">
        <f>Cadastro!$D1011</f>
        <v>8601</v>
      </c>
      <c r="E1079" s="104" t="str">
        <f>Cadastro!$E1011</f>
        <v>GCM132</v>
      </c>
      <c r="F1079" s="104" t="str">
        <f>Cadastro!$F1011</f>
        <v>PARQUE BARIGUI - CHURRASQUEIRAS</v>
      </c>
      <c r="G1079" s="106" t="str">
        <f>Cadastro!$G1011</f>
        <v>-25.426521</v>
      </c>
      <c r="H1079" s="106" t="str">
        <f>Cadastro!$H1011</f>
        <v>-49.311402</v>
      </c>
      <c r="I1079" s="104" t="str">
        <f>Cadastro!$I1011</f>
        <v>siscop</v>
      </c>
      <c r="J1079" s="104" t="str">
        <f>Cadastro!$J1011</f>
        <v>Siscop1234</v>
      </c>
      <c r="K1079" s="104" t="s">
        <v>4536</v>
      </c>
      <c r="L1079" s="104" t="s">
        <v>26</v>
      </c>
      <c r="M1079" s="104" t="s">
        <v>27</v>
      </c>
      <c r="N1079" s="108" t="str">
        <f t="shared" si="1"/>
        <v>GMC-CURITIBA</v>
      </c>
      <c r="O1079" s="109" t="str">
        <f>Cadastro!$O1011</f>
        <v>https://monitoramento.pm.pr.gov.br/proxy_image_16/Interface/Cameras/GetJPEGStream?Camera=GCM132&amp;AuthUser=siscop&amp;AuthPass=Siscop1234&amp;Width=1024&amp;Height=768&amp;Quality=70&amp;FPS=10&amp;ResponseFormat=Text</v>
      </c>
      <c r="P1079" s="106">
        <f>Cadastro!$P1011</f>
        <v>1</v>
      </c>
    </row>
    <row r="1080">
      <c r="A1080" s="104" t="str">
        <f>Cadastro!$A1012</f>
        <v>GMC-CURITIBA</v>
      </c>
      <c r="B1080" s="104" t="str">
        <f>Cadastro!$B1012</f>
        <v>CURITIBA</v>
      </c>
      <c r="C1080" s="107" t="str">
        <f>Cadastro!$C1012</f>
        <v>https://monitoramento.pm.pr.gov.br/proxy_image_16/</v>
      </c>
      <c r="D1080" s="105">
        <f>Cadastro!$D1012</f>
        <v>8601</v>
      </c>
      <c r="E1080" s="104" t="str">
        <f>Cadastro!$E1012</f>
        <v>GCM133</v>
      </c>
      <c r="F1080" s="104" t="str">
        <f>Cadastro!$F1012</f>
        <v>#</v>
      </c>
      <c r="G1080" s="106" t="str">
        <f>Cadastro!$G1012</f>
        <v>0</v>
      </c>
      <c r="H1080" s="106" t="str">
        <f>Cadastro!$H1012</f>
        <v>0</v>
      </c>
      <c r="I1080" s="104" t="str">
        <f>Cadastro!$I1012</f>
        <v>siscop</v>
      </c>
      <c r="J1080" s="104" t="str">
        <f>Cadastro!$J1012</f>
        <v>Siscop1234</v>
      </c>
      <c r="K1080" s="104" t="s">
        <v>4536</v>
      </c>
      <c r="L1080" s="104" t="s">
        <v>26</v>
      </c>
      <c r="M1080" s="104" t="s">
        <v>27</v>
      </c>
      <c r="N1080" s="108" t="str">
        <f t="shared" si="1"/>
        <v>GMC-CURITIBA</v>
      </c>
      <c r="O1080" s="112" t="str">
        <f>Cadastro!$O1012</f>
        <v>#</v>
      </c>
      <c r="P1080" s="106">
        <f>Cadastro!$P1012</f>
        <v>0</v>
      </c>
    </row>
    <row r="1081">
      <c r="A1081" s="104" t="str">
        <f>Cadastro!$A1013</f>
        <v>GMC-CURITIBA</v>
      </c>
      <c r="B1081" s="104" t="str">
        <f>Cadastro!$B1013</f>
        <v>CURITIBA</v>
      </c>
      <c r="C1081" s="107" t="str">
        <f>Cadastro!$C1013</f>
        <v>https://monitoramento.pm.pr.gov.br/proxy_image_16/</v>
      </c>
      <c r="D1081" s="105">
        <f>Cadastro!$D1013</f>
        <v>8601</v>
      </c>
      <c r="E1081" s="104" t="str">
        <f>Cadastro!$E1013</f>
        <v>GCM134</v>
      </c>
      <c r="F1081" s="104" t="str">
        <f>Cadastro!$F1013</f>
        <v>PARQUE BARIGUI- ESTACIONAMENTO BR 277</v>
      </c>
      <c r="G1081" s="106" t="str">
        <f>Cadastro!$G1013</f>
        <v>-25.429440</v>
      </c>
      <c r="H1081" s="106" t="str">
        <f>Cadastro!$H1013</f>
        <v>-49.315972</v>
      </c>
      <c r="I1081" s="104" t="str">
        <f>Cadastro!$I1013</f>
        <v>siscop</v>
      </c>
      <c r="J1081" s="104" t="str">
        <f>Cadastro!$J1013</f>
        <v>Siscop1234</v>
      </c>
      <c r="K1081" s="104" t="s">
        <v>4536</v>
      </c>
      <c r="L1081" s="104" t="s">
        <v>26</v>
      </c>
      <c r="M1081" s="104" t="s">
        <v>27</v>
      </c>
      <c r="N1081" s="108" t="str">
        <f t="shared" si="1"/>
        <v>GMC-CURITIBA</v>
      </c>
      <c r="O1081" s="109" t="str">
        <f>Cadastro!$O1013</f>
        <v>https://monitoramento.pm.pr.gov.br/proxy_image_16/Interface/Cameras/GetJPEGStream?Camera=GCM134&amp;AuthUser=siscop&amp;AuthPass=Siscop1234&amp;Width=1024&amp;Height=768&amp;Quality=70&amp;FPS=10&amp;ResponseFormat=Text</v>
      </c>
      <c r="P1081" s="106">
        <f>Cadastro!$P1013</f>
        <v>1</v>
      </c>
    </row>
    <row r="1082">
      <c r="A1082" s="104" t="str">
        <f>Cadastro!$A1014</f>
        <v>GMC-CURITIBA</v>
      </c>
      <c r="B1082" s="104" t="str">
        <f>Cadastro!$B1014</f>
        <v>CURITIBA</v>
      </c>
      <c r="C1082" s="107" t="str">
        <f>Cadastro!$C1014</f>
        <v>https://monitoramento.pm.pr.gov.br/proxy_image_16/</v>
      </c>
      <c r="D1082" s="105">
        <f>Cadastro!$D1014</f>
        <v>8601</v>
      </c>
      <c r="E1082" s="104" t="str">
        <f>Cadastro!$E1014</f>
        <v>GCM135</v>
      </c>
      <c r="F1082" s="104" t="str">
        <f>Cadastro!$F1014</f>
        <v>RUA DA CIDADANIA BOA-VISTA PATIO INTERNO</v>
      </c>
      <c r="G1082" s="106" t="str">
        <f>Cadastro!$G1014</f>
        <v>-25.385212</v>
      </c>
      <c r="H1082" s="106" t="str">
        <f>Cadastro!$H1014</f>
        <v>-49.232074</v>
      </c>
      <c r="I1082" s="104" t="str">
        <f>Cadastro!$I1014</f>
        <v>siscop</v>
      </c>
      <c r="J1082" s="104" t="str">
        <f>Cadastro!$J1014</f>
        <v>Siscop1234</v>
      </c>
      <c r="K1082" s="104" t="s">
        <v>4536</v>
      </c>
      <c r="L1082" s="104" t="s">
        <v>26</v>
      </c>
      <c r="M1082" s="104" t="s">
        <v>27</v>
      </c>
      <c r="N1082" s="108" t="str">
        <f t="shared" si="1"/>
        <v>GMC-CURITIBA</v>
      </c>
      <c r="O1082" s="109" t="str">
        <f>Cadastro!$O1014</f>
        <v>https://monitoramento.pm.pr.gov.br/proxy_image_16/Interface/Cameras/GetJPEGStream?Camera=GCM135&amp;AuthUser=siscop&amp;AuthPass=Siscop1234&amp;Width=1024&amp;Height=768&amp;Quality=70&amp;FPS=10&amp;ResponseFormat=Text</v>
      </c>
      <c r="P1082" s="106">
        <f>Cadastro!$P1014</f>
        <v>1</v>
      </c>
    </row>
    <row r="1083">
      <c r="A1083" s="104" t="str">
        <f>Cadastro!$A1015</f>
        <v>GMC-CURITIBA</v>
      </c>
      <c r="B1083" s="104" t="str">
        <f>Cadastro!$B1015</f>
        <v>CURITIBA</v>
      </c>
      <c r="C1083" s="107" t="str">
        <f>Cadastro!$C1015</f>
        <v>https://monitoramento.pm.pr.gov.br/proxy_image_16/</v>
      </c>
      <c r="D1083" s="105">
        <f>Cadastro!$D1015</f>
        <v>8601</v>
      </c>
      <c r="E1083" s="104" t="str">
        <f>Cadastro!$E1015</f>
        <v>GCM136</v>
      </c>
      <c r="F1083" s="104" t="str">
        <f>Cadastro!$F1015</f>
        <v>RUA DA CIDADANIA BOA VISTA MODULO DA GMC</v>
      </c>
      <c r="G1083" s="106" t="str">
        <f>Cadastro!$G1015</f>
        <v>-25.384970</v>
      </c>
      <c r="H1083" s="106" t="str">
        <f>Cadastro!$H1015</f>
        <v>-49.232158</v>
      </c>
      <c r="I1083" s="104" t="str">
        <f>Cadastro!$I1015</f>
        <v>siscop</v>
      </c>
      <c r="J1083" s="104" t="str">
        <f>Cadastro!$J1015</f>
        <v>Siscop1234</v>
      </c>
      <c r="K1083" s="104" t="s">
        <v>4536</v>
      </c>
      <c r="L1083" s="104" t="s">
        <v>26</v>
      </c>
      <c r="M1083" s="104" t="s">
        <v>27</v>
      </c>
      <c r="N1083" s="108" t="str">
        <f t="shared" si="1"/>
        <v>GMC-CURITIBA</v>
      </c>
      <c r="O1083" s="109" t="str">
        <f>Cadastro!$O1015</f>
        <v>https://monitoramento.pm.pr.gov.br/proxy_image_16/Interface/Cameras/GetJPEGStream?Camera=GCM136&amp;AuthUser=siscop&amp;AuthPass=Siscop1234&amp;Width=1024&amp;Height=768&amp;Quality=70&amp;FPS=10&amp;ResponseFormat=Text</v>
      </c>
      <c r="P1083" s="106">
        <f>Cadastro!$P1015</f>
        <v>1</v>
      </c>
    </row>
    <row r="1084">
      <c r="A1084" s="104" t="str">
        <f>Cadastro!$A1016</f>
        <v>GMC-CURITIBA</v>
      </c>
      <c r="B1084" s="104" t="str">
        <f>Cadastro!$B1016</f>
        <v>CURITIBA</v>
      </c>
      <c r="C1084" s="107" t="str">
        <f>Cadastro!$C1016</f>
        <v>https://monitoramento.pm.pr.gov.br/proxy_image_16/</v>
      </c>
      <c r="D1084" s="105">
        <f>Cadastro!$D1016</f>
        <v>8601</v>
      </c>
      <c r="E1084" s="104" t="str">
        <f>Cadastro!$E1016</f>
        <v>GCM137</v>
      </c>
      <c r="F1084" s="104" t="str">
        <f>Cadastro!$F1016</f>
        <v>RUA DA CIDADANIA BOA VISTA FIXA 2</v>
      </c>
      <c r="G1084" s="106" t="str">
        <f>Cadastro!$G1016</f>
        <v>-25.385101</v>
      </c>
      <c r="H1084" s="106" t="str">
        <f>Cadastro!$H1016</f>
        <v>-49.232559</v>
      </c>
      <c r="I1084" s="104" t="str">
        <f>Cadastro!$I1016</f>
        <v>siscop</v>
      </c>
      <c r="J1084" s="104" t="str">
        <f>Cadastro!$J1016</f>
        <v>Siscop1234</v>
      </c>
      <c r="K1084" s="104" t="s">
        <v>4536</v>
      </c>
      <c r="L1084" s="104" t="s">
        <v>26</v>
      </c>
      <c r="M1084" s="104" t="s">
        <v>27</v>
      </c>
      <c r="N1084" s="108" t="str">
        <f t="shared" si="1"/>
        <v>GMC-CURITIBA</v>
      </c>
      <c r="O1084" s="109" t="str">
        <f>Cadastro!$O1016</f>
        <v>https://monitoramento.pm.pr.gov.br/proxy_image_16/Interface/Cameras/GetJPEGStream?Camera=GCM137&amp;AuthUser=siscop&amp;AuthPass=Siscop1234&amp;Width=1024&amp;Height=768&amp;Quality=70&amp;FPS=10&amp;ResponseFormat=Text</v>
      </c>
      <c r="P1084" s="106">
        <f>Cadastro!$P1016</f>
        <v>1</v>
      </c>
    </row>
    <row r="1085">
      <c r="A1085" s="104" t="str">
        <f>Cadastro!$A1017</f>
        <v>GMC-CURITIBA</v>
      </c>
      <c r="B1085" s="104" t="str">
        <f>Cadastro!$B1017</f>
        <v>CURITIBA</v>
      </c>
      <c r="C1085" s="107" t="str">
        <f>Cadastro!$C1017</f>
        <v>https://monitoramento.pm.pr.gov.br/proxy_image_16/</v>
      </c>
      <c r="D1085" s="105">
        <f>Cadastro!$D1017</f>
        <v>8601</v>
      </c>
      <c r="E1085" s="104" t="str">
        <f>Cadastro!$E1017</f>
        <v>GCM138</v>
      </c>
      <c r="F1085" s="104" t="str">
        <f>Cadastro!$F1017</f>
        <v>RUA DA CIDADANIA BOA VISTA FIXA 3</v>
      </c>
      <c r="G1085" s="106" t="str">
        <f>Cadastro!$G1017</f>
        <v>-25.385443</v>
      </c>
      <c r="H1085" s="106" t="str">
        <f>Cadastro!$H1017</f>
        <v>-49.232520</v>
      </c>
      <c r="I1085" s="104" t="str">
        <f>Cadastro!$I1017</f>
        <v>siscop</v>
      </c>
      <c r="J1085" s="104" t="str">
        <f>Cadastro!$J1017</f>
        <v>Siscop1234</v>
      </c>
      <c r="K1085" s="104" t="s">
        <v>4536</v>
      </c>
      <c r="L1085" s="104" t="s">
        <v>26</v>
      </c>
      <c r="M1085" s="104" t="s">
        <v>27</v>
      </c>
      <c r="N1085" s="108" t="str">
        <f t="shared" si="1"/>
        <v>GMC-CURITIBA</v>
      </c>
      <c r="O1085" s="109" t="str">
        <f>Cadastro!$O1017</f>
        <v>https://monitoramento.pm.pr.gov.br/proxy_image_16/Interface/Cameras/GetJPEGStream?Camera=GCM138&amp;AuthUser=siscop&amp;AuthPass=Siscop1234&amp;Width=1024&amp;Height=768&amp;Quality=70&amp;FPS=10&amp;ResponseFormat=Text</v>
      </c>
      <c r="P1085" s="106">
        <f>Cadastro!$P1017</f>
        <v>1</v>
      </c>
    </row>
    <row r="1086">
      <c r="A1086" s="104" t="str">
        <f>Cadastro!$A1018</f>
        <v>GMC-CURITIBA</v>
      </c>
      <c r="B1086" s="104" t="str">
        <f>Cadastro!$B1018</f>
        <v>CURITIBA</v>
      </c>
      <c r="C1086" s="107" t="str">
        <f>Cadastro!$C1018</f>
        <v>https://monitoramento.pm.pr.gov.br/proxy_image_16/</v>
      </c>
      <c r="D1086" s="105">
        <f>Cadastro!$D1018</f>
        <v>8601</v>
      </c>
      <c r="E1086" s="104" t="str">
        <f>Cadastro!$E1018</f>
        <v>GCM139</v>
      </c>
      <c r="F1086" s="104" t="str">
        <f>Cadastro!$F1018</f>
        <v>RUA DA CIDADANIA BOA VISTA FIXA 4</v>
      </c>
      <c r="G1086" s="106" t="str">
        <f>Cadastro!$G1018</f>
        <v>-25.385511</v>
      </c>
      <c r="H1086" s="106" t="str">
        <f>Cadastro!$H1018</f>
        <v>-49.232631</v>
      </c>
      <c r="I1086" s="104" t="str">
        <f>Cadastro!$I1018</f>
        <v>siscop</v>
      </c>
      <c r="J1086" s="104" t="str">
        <f>Cadastro!$J1018</f>
        <v>Siscop1234</v>
      </c>
      <c r="K1086" s="104" t="s">
        <v>4536</v>
      </c>
      <c r="L1086" s="104" t="s">
        <v>26</v>
      </c>
      <c r="M1086" s="104" t="s">
        <v>27</v>
      </c>
      <c r="N1086" s="108" t="str">
        <f t="shared" si="1"/>
        <v>GMC-CURITIBA</v>
      </c>
      <c r="O1086" s="109" t="str">
        <f>Cadastro!$O1018</f>
        <v>https://monitoramento.pm.pr.gov.br/proxy_image_16/Interface/Cameras/GetJPEGStream?Camera=GCM139&amp;AuthUser=siscop&amp;AuthPass=Siscop1234&amp;Width=1024&amp;Height=768&amp;Quality=70&amp;FPS=10&amp;ResponseFormat=Text</v>
      </c>
      <c r="P1086" s="106">
        <f>Cadastro!$P1018</f>
        <v>1</v>
      </c>
    </row>
    <row r="1087">
      <c r="A1087" s="104" t="str">
        <f>Cadastro!$A1019</f>
        <v>GMC-CURITIBA</v>
      </c>
      <c r="B1087" s="104" t="str">
        <f>Cadastro!$B1019</f>
        <v>CURITIBA</v>
      </c>
      <c r="C1087" s="107" t="str">
        <f>Cadastro!$C1019</f>
        <v>https://monitoramento.pm.pr.gov.br/proxy_image_16/</v>
      </c>
      <c r="D1087" s="105">
        <f>Cadastro!$D1019</f>
        <v>8601</v>
      </c>
      <c r="E1087" s="104" t="str">
        <f>Cadastro!$E1019</f>
        <v>GCM140</v>
      </c>
      <c r="F1087" s="104" t="str">
        <f>Cadastro!$F1019</f>
        <v>PARQUE DOS TROPEIROS- ENTRADA PRINCIPAL</v>
      </c>
      <c r="G1087" s="106" t="str">
        <f>Cadastro!$G1019</f>
        <v>-25.497479</v>
      </c>
      <c r="H1087" s="106" t="str">
        <f>Cadastro!$H1019</f>
        <v>-49.359975</v>
      </c>
      <c r="I1087" s="104" t="str">
        <f>Cadastro!$I1019</f>
        <v>siscop</v>
      </c>
      <c r="J1087" s="104" t="str">
        <f>Cadastro!$J1019</f>
        <v>Siscop1234</v>
      </c>
      <c r="K1087" s="104" t="s">
        <v>4536</v>
      </c>
      <c r="L1087" s="104" t="s">
        <v>26</v>
      </c>
      <c r="M1087" s="104" t="s">
        <v>27</v>
      </c>
      <c r="N1087" s="108" t="str">
        <f t="shared" si="1"/>
        <v>GMC-CURITIBA</v>
      </c>
      <c r="O1087" s="109" t="str">
        <f>Cadastro!$O1019</f>
        <v>https://monitoramento.pm.pr.gov.br/proxy_image_16/Interface/Cameras/GetJPEGStream?Camera=GCM140&amp;AuthUser=siscop&amp;AuthPass=Siscop1234&amp;Width=1024&amp;Height=768&amp;Quality=70&amp;FPS=10&amp;ResponseFormat=Text</v>
      </c>
      <c r="P1087" s="106">
        <f>Cadastro!$P1019</f>
        <v>1</v>
      </c>
    </row>
    <row r="1088">
      <c r="A1088" s="104" t="str">
        <f>Cadastro!$A1020</f>
        <v>GMC-CURITIBA</v>
      </c>
      <c r="B1088" s="104" t="str">
        <f>Cadastro!$B1020</f>
        <v>CURITIBA</v>
      </c>
      <c r="C1088" s="107" t="str">
        <f>Cadastro!$C1020</f>
        <v>https://monitoramento.pm.pr.gov.br/proxy_image_16/</v>
      </c>
      <c r="D1088" s="105">
        <f>Cadastro!$D1020</f>
        <v>8601</v>
      </c>
      <c r="E1088" s="104" t="str">
        <f>Cadastro!$E1020</f>
        <v>GCM141</v>
      </c>
      <c r="F1088" s="104" t="str">
        <f>Cadastro!$F1020</f>
        <v>PARQUE DOS TROPEIROS-PALCO FIXA 1</v>
      </c>
      <c r="G1088" s="106" t="str">
        <f>Cadastro!$G1020</f>
        <v>-25.497460</v>
      </c>
      <c r="H1088" s="106" t="str">
        <f>Cadastro!$H1020</f>
        <v>-49.359954</v>
      </c>
      <c r="I1088" s="104" t="str">
        <f>Cadastro!$I1020</f>
        <v>siscop</v>
      </c>
      <c r="J1088" s="104" t="str">
        <f>Cadastro!$J1020</f>
        <v>Siscop1234</v>
      </c>
      <c r="K1088" s="104" t="s">
        <v>4536</v>
      </c>
      <c r="L1088" s="104" t="s">
        <v>26</v>
      </c>
      <c r="M1088" s="104" t="s">
        <v>27</v>
      </c>
      <c r="N1088" s="108" t="str">
        <f t="shared" si="1"/>
        <v>GMC-CURITIBA</v>
      </c>
      <c r="O1088" s="109" t="str">
        <f>Cadastro!$O1020</f>
        <v>https://monitoramento.pm.pr.gov.br/proxy_image_16/Interface/Cameras/GetJPEGStream?Camera=GCM141&amp;AuthUser=siscop&amp;AuthPass=Siscop1234&amp;Width=1024&amp;Height=768&amp;Quality=70&amp;FPS=10&amp;ResponseFormat=Text</v>
      </c>
      <c r="P1088" s="106">
        <f>Cadastro!$P1020</f>
        <v>1</v>
      </c>
    </row>
    <row r="1089">
      <c r="A1089" s="104" t="str">
        <f>Cadastro!$A1021</f>
        <v>GMC-CURITIBA</v>
      </c>
      <c r="B1089" s="104" t="str">
        <f>Cadastro!$B1021</f>
        <v>CURITIBA</v>
      </c>
      <c r="C1089" s="107" t="str">
        <f>Cadastro!$C1021</f>
        <v>https://monitoramento.pm.pr.gov.br/proxy_image_16/</v>
      </c>
      <c r="D1089" s="105">
        <f>Cadastro!$D1021</f>
        <v>8601</v>
      </c>
      <c r="E1089" s="104" t="str">
        <f>Cadastro!$E1021</f>
        <v>GCM142</v>
      </c>
      <c r="F1089" s="104" t="str">
        <f>Cadastro!$F1021</f>
        <v>PARQUE DOS TROPEIROS- CHURRASQUEIRA FIXA 2</v>
      </c>
      <c r="G1089" s="106" t="str">
        <f>Cadastro!$G1021</f>
        <v>-25.497332</v>
      </c>
      <c r="H1089" s="106" t="str">
        <f>Cadastro!$H1021</f>
        <v>-49.359941</v>
      </c>
      <c r="I1089" s="104" t="str">
        <f>Cadastro!$I1021</f>
        <v>siscop</v>
      </c>
      <c r="J1089" s="104" t="str">
        <f>Cadastro!$J1021</f>
        <v>Siscop1234</v>
      </c>
      <c r="K1089" s="104" t="s">
        <v>4536</v>
      </c>
      <c r="L1089" s="104" t="s">
        <v>26</v>
      </c>
      <c r="M1089" s="104" t="s">
        <v>27</v>
      </c>
      <c r="N1089" s="108" t="str">
        <f t="shared" si="1"/>
        <v>GMC-CURITIBA</v>
      </c>
      <c r="O1089" s="109" t="str">
        <f>Cadastro!$O1021</f>
        <v>https://monitoramento.pm.pr.gov.br/proxy_image_16/Interface/Cameras/GetJPEGStream?Camera=GCM142&amp;AuthUser=siscop&amp;AuthPass=Siscop1234&amp;Width=1024&amp;Height=768&amp;Quality=70&amp;FPS=10&amp;ResponseFormat=Text</v>
      </c>
      <c r="P1089" s="106">
        <f>Cadastro!$P1021</f>
        <v>1</v>
      </c>
    </row>
    <row r="1090">
      <c r="A1090" s="104" t="str">
        <f>Cadastro!$A1022</f>
        <v>GMC-CURITIBA</v>
      </c>
      <c r="B1090" s="104" t="str">
        <f>Cadastro!$B1022</f>
        <v>CURITIBA</v>
      </c>
      <c r="C1090" s="107" t="str">
        <f>Cadastro!$C1022</f>
        <v>https://monitoramento.pm.pr.gov.br/proxy_image_16/</v>
      </c>
      <c r="D1090" s="105">
        <f>Cadastro!$D1022</f>
        <v>8601</v>
      </c>
      <c r="E1090" s="104" t="str">
        <f>Cadastro!$E1022</f>
        <v>GCM143</v>
      </c>
      <c r="F1090" s="104" t="str">
        <f>Cadastro!$F1022</f>
        <v>PARQUE DOS TROPEIROS- BANHEIRO FIXA 3</v>
      </c>
      <c r="G1090" s="106" t="str">
        <f>Cadastro!$G1022</f>
        <v>-25.492410</v>
      </c>
      <c r="H1090" s="106" t="str">
        <f>Cadastro!$H1022</f>
        <v>-49.354384</v>
      </c>
      <c r="I1090" s="104" t="str">
        <f>Cadastro!$I1022</f>
        <v>siscop</v>
      </c>
      <c r="J1090" s="104" t="str">
        <f>Cadastro!$J1022</f>
        <v>Siscop1234</v>
      </c>
      <c r="K1090" s="104" t="s">
        <v>4536</v>
      </c>
      <c r="L1090" s="104" t="s">
        <v>26</v>
      </c>
      <c r="M1090" s="104" t="s">
        <v>27</v>
      </c>
      <c r="N1090" s="108" t="str">
        <f t="shared" si="1"/>
        <v>GMC-CURITIBA</v>
      </c>
      <c r="O1090" s="109" t="str">
        <f>Cadastro!$O1022</f>
        <v>https://monitoramento.pm.pr.gov.br/proxy_image_16/Interface/Cameras/GetJPEGStream?Camera=GCM143&amp;AuthUser=siscop&amp;AuthPass=Siscop1234&amp;Width=1024&amp;Height=768&amp;Quality=70&amp;FPS=10&amp;ResponseFormat=Text</v>
      </c>
      <c r="P1090" s="106">
        <f>Cadastro!$P1022</f>
        <v>1</v>
      </c>
    </row>
    <row r="1091">
      <c r="A1091" s="104" t="str">
        <f>Cadastro!$A1023</f>
        <v>GMC-CURITIBA</v>
      </c>
      <c r="B1091" s="104" t="str">
        <f>Cadastro!$B1023</f>
        <v>CURITIBA</v>
      </c>
      <c r="C1091" s="107" t="str">
        <f>Cadastro!$C1023</f>
        <v>https://monitoramento.pm.pr.gov.br/proxy_image_16/</v>
      </c>
      <c r="D1091" s="105">
        <f>Cadastro!$D1023</f>
        <v>8601</v>
      </c>
      <c r="E1091" s="104" t="str">
        <f>Cadastro!$E1023</f>
        <v>GCM144</v>
      </c>
      <c r="F1091" s="104" t="str">
        <f>Cadastro!$F1023</f>
        <v>PARQUE DOS TROPEIROS- CENTRAL</v>
      </c>
      <c r="G1091" s="106" t="str">
        <f>Cadastro!$G1023</f>
        <v>-25.496267</v>
      </c>
      <c r="H1091" s="106" t="str">
        <f>Cadastro!$H1023</f>
        <v>-49.360429</v>
      </c>
      <c r="I1091" s="104" t="str">
        <f>Cadastro!$I1023</f>
        <v>siscop</v>
      </c>
      <c r="J1091" s="104" t="str">
        <f>Cadastro!$J1023</f>
        <v>Siscop1234</v>
      </c>
      <c r="K1091" s="104" t="s">
        <v>4536</v>
      </c>
      <c r="L1091" s="104" t="s">
        <v>26</v>
      </c>
      <c r="M1091" s="104" t="s">
        <v>27</v>
      </c>
      <c r="N1091" s="108" t="str">
        <f t="shared" si="1"/>
        <v>GMC-CURITIBA</v>
      </c>
      <c r="O1091" s="109" t="str">
        <f>Cadastro!$O1023</f>
        <v>https://monitoramento.pm.pr.gov.br/proxy_image_16/Interface/Cameras/GetJPEGStream?Camera=GCM144&amp;AuthUser=siscop&amp;AuthPass=Siscop1234&amp;Width=1024&amp;Height=768&amp;Quality=70&amp;FPS=10&amp;ResponseFormat=Text</v>
      </c>
      <c r="P1091" s="106">
        <f>Cadastro!$P1023</f>
        <v>1</v>
      </c>
    </row>
    <row r="1092">
      <c r="A1092" s="104" t="str">
        <f>Cadastro!$A1024</f>
        <v>GMC-CURITIBA</v>
      </c>
      <c r="B1092" s="104" t="str">
        <f>Cadastro!$B1024</f>
        <v>CURITIBA</v>
      </c>
      <c r="C1092" s="107" t="str">
        <f>Cadastro!$C1024</f>
        <v>https://monitoramento.pm.pr.gov.br/proxy_image_16/</v>
      </c>
      <c r="D1092" s="105">
        <f>Cadastro!$D1024</f>
        <v>8601</v>
      </c>
      <c r="E1092" s="104" t="str">
        <f>Cadastro!$E1024</f>
        <v>GCM145</v>
      </c>
      <c r="F1092" s="104" t="str">
        <f>Cadastro!$F1024</f>
        <v>PARQUE DOS TROPEIROS- ENTRADA II- FIXA 4</v>
      </c>
      <c r="G1092" s="106" t="str">
        <f>Cadastro!$G1024</f>
        <v>-25.496470</v>
      </c>
      <c r="H1092" s="106" t="str">
        <f>Cadastro!$H1024</f>
        <v>-49.358219</v>
      </c>
      <c r="I1092" s="104" t="str">
        <f>Cadastro!$I1024</f>
        <v>siscop</v>
      </c>
      <c r="J1092" s="104" t="str">
        <f>Cadastro!$J1024</f>
        <v>Siscop1234</v>
      </c>
      <c r="K1092" s="104" t="s">
        <v>4536</v>
      </c>
      <c r="L1092" s="104" t="s">
        <v>26</v>
      </c>
      <c r="M1092" s="104" t="s">
        <v>27</v>
      </c>
      <c r="N1092" s="108" t="str">
        <f t="shared" si="1"/>
        <v>GMC-CURITIBA</v>
      </c>
      <c r="O1092" s="109" t="str">
        <f>Cadastro!$O1024</f>
        <v>https://monitoramento.pm.pr.gov.br/proxy_image_16/Interface/Cameras/GetJPEGStream?Camera=GCM145&amp;AuthUser=siscop&amp;AuthPass=Siscop1234&amp;Width=1024&amp;Height=768&amp;Quality=70&amp;FPS=10&amp;ResponseFormat=Text</v>
      </c>
      <c r="P1092" s="106">
        <f>Cadastro!$P1024</f>
        <v>1</v>
      </c>
    </row>
    <row r="1093">
      <c r="A1093" s="104" t="str">
        <f>Cadastro!$A1025</f>
        <v>GMC-CURITIBA</v>
      </c>
      <c r="B1093" s="104" t="str">
        <f>Cadastro!$B1025</f>
        <v>CURITIBA</v>
      </c>
      <c r="C1093" s="107" t="str">
        <f>Cadastro!$C1025</f>
        <v>https://monitoramento.pm.pr.gov.br/proxy_image_16/</v>
      </c>
      <c r="D1093" s="105">
        <f>Cadastro!$D1025</f>
        <v>8601</v>
      </c>
      <c r="E1093" s="104" t="str">
        <f>Cadastro!$E1025</f>
        <v>GCM146</v>
      </c>
      <c r="F1093" s="104" t="str">
        <f>Cadastro!$F1025</f>
        <v>#</v>
      </c>
      <c r="G1093" s="106" t="str">
        <f>Cadastro!$G1025</f>
        <v>0</v>
      </c>
      <c r="H1093" s="106" t="str">
        <f>Cadastro!$H1025</f>
        <v>0</v>
      </c>
      <c r="I1093" s="104" t="str">
        <f>Cadastro!$I1025</f>
        <v>siscop</v>
      </c>
      <c r="J1093" s="104" t="str">
        <f>Cadastro!$J1025</f>
        <v>Siscop1234</v>
      </c>
      <c r="K1093" s="104" t="s">
        <v>4536</v>
      </c>
      <c r="L1093" s="104" t="s">
        <v>26</v>
      </c>
      <c r="M1093" s="104" t="s">
        <v>27</v>
      </c>
      <c r="N1093" s="108" t="str">
        <f t="shared" si="1"/>
        <v>GMC-CURITIBA</v>
      </c>
      <c r="O1093" s="112" t="str">
        <f>Cadastro!$O1025</f>
        <v>#</v>
      </c>
      <c r="P1093" s="106">
        <f>Cadastro!$P1025</f>
        <v>0</v>
      </c>
    </row>
    <row r="1094">
      <c r="A1094" s="104" t="str">
        <f>Cadastro!$A1026</f>
        <v>GMC-CURITIBA</v>
      </c>
      <c r="B1094" s="104" t="str">
        <f>Cadastro!$B1026</f>
        <v>CURITIBA</v>
      </c>
      <c r="C1094" s="107" t="str">
        <f>Cadastro!$C1026</f>
        <v>https://monitoramento.pm.pr.gov.br/proxy_image_16/</v>
      </c>
      <c r="D1094" s="105">
        <f>Cadastro!$D1026</f>
        <v>8601</v>
      </c>
      <c r="E1094" s="104" t="str">
        <f>Cadastro!$E1026</f>
        <v>GCM147</v>
      </c>
      <c r="F1094" s="104" t="str">
        <f>Cadastro!$F1026</f>
        <v>PARQUE DOS TROPEIROS-GOC CANIL FIXA 5</v>
      </c>
      <c r="G1094" s="106" t="str">
        <f>Cadastro!$G1026</f>
        <v>-25.497458</v>
      </c>
      <c r="H1094" s="106" t="str">
        <f>Cadastro!$H1026</f>
        <v>-49.360214</v>
      </c>
      <c r="I1094" s="104" t="str">
        <f>Cadastro!$I1026</f>
        <v>siscop</v>
      </c>
      <c r="J1094" s="104" t="str">
        <f>Cadastro!$J1026</f>
        <v>Siscop1234</v>
      </c>
      <c r="K1094" s="104" t="s">
        <v>4536</v>
      </c>
      <c r="L1094" s="104" t="s">
        <v>26</v>
      </c>
      <c r="M1094" s="104" t="s">
        <v>27</v>
      </c>
      <c r="N1094" s="108" t="str">
        <f t="shared" si="1"/>
        <v>GMC-CURITIBA</v>
      </c>
      <c r="O1094" s="109" t="str">
        <f>Cadastro!$O1026</f>
        <v>https://monitoramento.pm.pr.gov.br/proxy_image_16/Interface/Cameras/GetJPEGStream?Camera=GCM147&amp;AuthUser=siscop&amp;AuthPass=Siscop1234&amp;Width=1024&amp;Height=768&amp;Quality=70&amp;FPS=10&amp;ResponseFormat=Text</v>
      </c>
      <c r="P1094" s="106">
        <f>Cadastro!$P1026</f>
        <v>1</v>
      </c>
    </row>
    <row r="1095">
      <c r="A1095" s="104" t="str">
        <f>Cadastro!$A1027</f>
        <v>GMC-CURITIBA</v>
      </c>
      <c r="B1095" s="104" t="str">
        <f>Cadastro!$B1027</f>
        <v>CURITIBA</v>
      </c>
      <c r="C1095" s="107" t="str">
        <f>Cadastro!$C1027</f>
        <v>https://monitoramento.pm.pr.gov.br/proxy_image_16/</v>
      </c>
      <c r="D1095" s="105">
        <f>Cadastro!$D1027</f>
        <v>8601</v>
      </c>
      <c r="E1095" s="104" t="str">
        <f>Cadastro!$E1027</f>
        <v>GCM148</v>
      </c>
      <c r="F1095" s="104" t="str">
        <f>Cadastro!$F1027</f>
        <v>PARQUE DOS TROPEIROS- GOC LATERAL-FIXA 6</v>
      </c>
      <c r="G1095" s="106" t="str">
        <f>Cadastro!$G1027</f>
        <v>-25.497855</v>
      </c>
      <c r="H1095" s="106" t="str">
        <f>Cadastro!$H1027</f>
        <v>-49.360043</v>
      </c>
      <c r="I1095" s="104" t="str">
        <f>Cadastro!$I1027</f>
        <v>siscop</v>
      </c>
      <c r="J1095" s="104" t="str">
        <f>Cadastro!$J1027</f>
        <v>Siscop1234</v>
      </c>
      <c r="K1095" s="104" t="s">
        <v>4536</v>
      </c>
      <c r="L1095" s="104" t="s">
        <v>26</v>
      </c>
      <c r="M1095" s="104" t="s">
        <v>27</v>
      </c>
      <c r="N1095" s="108" t="str">
        <f t="shared" si="1"/>
        <v>GMC-CURITIBA</v>
      </c>
      <c r="O1095" s="109" t="str">
        <f>Cadastro!$O1027</f>
        <v>https://monitoramento.pm.pr.gov.br/proxy_image_16/Interface/Cameras/GetJPEGStream?Camera=GCM148&amp;AuthUser=siscop&amp;AuthPass=Siscop1234&amp;Width=1024&amp;Height=768&amp;Quality=70&amp;FPS=10&amp;ResponseFormat=Text</v>
      </c>
      <c r="P1095" s="106">
        <f>Cadastro!$P1027</f>
        <v>1</v>
      </c>
    </row>
    <row r="1096">
      <c r="A1096" s="104" t="str">
        <f>Cadastro!$A1028</f>
        <v>GMC-CURITIBA</v>
      </c>
      <c r="B1096" s="104" t="str">
        <f>Cadastro!$B1028</f>
        <v>CURITIBA</v>
      </c>
      <c r="C1096" s="107" t="str">
        <f>Cadastro!$C1028</f>
        <v>https://monitoramento.pm.pr.gov.br/proxy_image_16/</v>
      </c>
      <c r="D1096" s="105">
        <f>Cadastro!$D1028</f>
        <v>8601</v>
      </c>
      <c r="E1096" s="104" t="str">
        <f>Cadastro!$E1028</f>
        <v>GCM149</v>
      </c>
      <c r="F1096" s="104" t="str">
        <f>Cadastro!$F1028</f>
        <v>PARQUE DOS TROPEIROS- ULP -SALÃO FUNDOS-FIXA 7</v>
      </c>
      <c r="G1096" s="106" t="str">
        <f>Cadastro!$G1028</f>
        <v>-25.497235</v>
      </c>
      <c r="H1096" s="106" t="str">
        <f>Cadastro!$H1028</f>
        <v>-49.361974</v>
      </c>
      <c r="I1096" s="104" t="str">
        <f>Cadastro!$I1028</f>
        <v>siscop</v>
      </c>
      <c r="J1096" s="104" t="str">
        <f>Cadastro!$J1028</f>
        <v>Siscop1234</v>
      </c>
      <c r="K1096" s="104" t="s">
        <v>4536</v>
      </c>
      <c r="L1096" s="104" t="s">
        <v>26</v>
      </c>
      <c r="M1096" s="104" t="s">
        <v>27</v>
      </c>
      <c r="N1096" s="108" t="str">
        <f t="shared" si="1"/>
        <v>GMC-CURITIBA</v>
      </c>
      <c r="O1096" s="109" t="str">
        <f>Cadastro!$O1028</f>
        <v>https://monitoramento.pm.pr.gov.br/proxy_image_16/Interface/Cameras/GetJPEGStream?Camera=GCM149&amp;AuthUser=siscop&amp;AuthPass=Siscop1234&amp;Width=1024&amp;Height=768&amp;Quality=70&amp;FPS=10&amp;ResponseFormat=Text</v>
      </c>
      <c r="P1096" s="106">
        <f>Cadastro!$P1028</f>
        <v>1</v>
      </c>
    </row>
    <row r="1097">
      <c r="A1097" s="104" t="str">
        <f>Cadastro!$A1029</f>
        <v>GMC-CURITIBA</v>
      </c>
      <c r="B1097" s="104" t="str">
        <f>Cadastro!$B1029</f>
        <v>CURITIBA</v>
      </c>
      <c r="C1097" s="107" t="str">
        <f>Cadastro!$C1029</f>
        <v>https://monitoramento.pm.pr.gov.br/proxy_image_16/</v>
      </c>
      <c r="D1097" s="105">
        <f>Cadastro!$D1029</f>
        <v>8601</v>
      </c>
      <c r="E1097" s="104" t="str">
        <f>Cadastro!$E1029</f>
        <v>GCM150</v>
      </c>
      <c r="F1097" s="104" t="str">
        <f>Cadastro!$F1029</f>
        <v>#</v>
      </c>
      <c r="G1097" s="106" t="str">
        <f>Cadastro!$G1029</f>
        <v>0</v>
      </c>
      <c r="H1097" s="106" t="str">
        <f>Cadastro!$H1029</f>
        <v>0</v>
      </c>
      <c r="I1097" s="104" t="str">
        <f>Cadastro!$I1029</f>
        <v>siscop</v>
      </c>
      <c r="J1097" s="104" t="str">
        <f>Cadastro!$J1029</f>
        <v>Siscop1234</v>
      </c>
      <c r="K1097" s="104" t="s">
        <v>4536</v>
      </c>
      <c r="L1097" s="104" t="s">
        <v>26</v>
      </c>
      <c r="M1097" s="104" t="s">
        <v>27</v>
      </c>
      <c r="N1097" s="108" t="str">
        <f t="shared" si="1"/>
        <v>GMC-CURITIBA</v>
      </c>
      <c r="O1097" s="112" t="str">
        <f>Cadastro!$O1029</f>
        <v>#</v>
      </c>
      <c r="P1097" s="106">
        <f>Cadastro!$P1029</f>
        <v>0</v>
      </c>
    </row>
    <row r="1098">
      <c r="A1098" s="104" t="str">
        <f>Cadastro!$A1030</f>
        <v>GMC-CURITIBA</v>
      </c>
      <c r="B1098" s="104" t="str">
        <f>Cadastro!$B1030</f>
        <v>CURITIBA</v>
      </c>
      <c r="C1098" s="107" t="str">
        <f>Cadastro!$C1030</f>
        <v>https://monitoramento.pm.pr.gov.br/proxy_image_16/</v>
      </c>
      <c r="D1098" s="105">
        <f>Cadastro!$D1030</f>
        <v>8601</v>
      </c>
      <c r="E1098" s="104" t="str">
        <f>Cadastro!$E1030</f>
        <v>GCM151</v>
      </c>
      <c r="F1098" s="104" t="str">
        <f>Cadastro!$F1030</f>
        <v>PARQUE DOS TROPEIROS- ULP -SALÃO FRENTE-FIXA 8</v>
      </c>
      <c r="G1098" s="106" t="str">
        <f>Cadastro!$G1030</f>
        <v>-25.498320</v>
      </c>
      <c r="H1098" s="106" t="str">
        <f>Cadastro!$H1030</f>
        <v>-49.359420</v>
      </c>
      <c r="I1098" s="104" t="str">
        <f>Cadastro!$I1030</f>
        <v>siscop</v>
      </c>
      <c r="J1098" s="104" t="str">
        <f>Cadastro!$J1030</f>
        <v>Siscop1234</v>
      </c>
      <c r="K1098" s="104" t="s">
        <v>4536</v>
      </c>
      <c r="L1098" s="104" t="s">
        <v>26</v>
      </c>
      <c r="M1098" s="104" t="s">
        <v>27</v>
      </c>
      <c r="N1098" s="108" t="str">
        <f t="shared" si="1"/>
        <v>GMC-CURITIBA</v>
      </c>
      <c r="O1098" s="109" t="str">
        <f>Cadastro!$O1030</f>
        <v>https://monitoramento.pm.pr.gov.br/proxy_image_16/Interface/Cameras/GetJPEGStream?Camera=GCM151&amp;AuthUser=siscop&amp;AuthPass=Siscop1234&amp;Width=1024&amp;Height=768&amp;Quality=70&amp;FPS=10&amp;ResponseFormat=Text</v>
      </c>
      <c r="P1098" s="106">
        <f>Cadastro!$P1030</f>
        <v>1</v>
      </c>
    </row>
    <row r="1099">
      <c r="A1099" s="104" t="str">
        <f>Cadastro!$A1031</f>
        <v>GMC-CURITIBA</v>
      </c>
      <c r="B1099" s="104" t="str">
        <f>Cadastro!$B1031</f>
        <v>CURITIBA</v>
      </c>
      <c r="C1099" s="107" t="str">
        <f>Cadastro!$C1031</f>
        <v>https://monitoramento.pm.pr.gov.br/proxy_image_16/</v>
      </c>
      <c r="D1099" s="105">
        <f>Cadastro!$D1031</f>
        <v>8601</v>
      </c>
      <c r="E1099" s="104" t="str">
        <f>Cadastro!$E1031</f>
        <v>GCM152</v>
      </c>
      <c r="F1099" s="104" t="str">
        <f>Cadastro!$F1031</f>
        <v>PARQUE NAUTICO-CLUBE DE RAMO</v>
      </c>
      <c r="G1099" s="106" t="str">
        <f>Cadastro!$G1031</f>
        <v>-25.436582</v>
      </c>
      <c r="H1099" s="106" t="str">
        <f>Cadastro!$H1031</f>
        <v>-49.057573</v>
      </c>
      <c r="I1099" s="104" t="str">
        <f>Cadastro!$I1031</f>
        <v>siscop</v>
      </c>
      <c r="J1099" s="104" t="str">
        <f>Cadastro!$J1031</f>
        <v>Siscop1234</v>
      </c>
      <c r="K1099" s="104" t="s">
        <v>4536</v>
      </c>
      <c r="L1099" s="104" t="s">
        <v>26</v>
      </c>
      <c r="M1099" s="104" t="s">
        <v>27</v>
      </c>
      <c r="N1099" s="108" t="str">
        <f t="shared" si="1"/>
        <v>GMC-CURITIBA</v>
      </c>
      <c r="O1099" s="109" t="str">
        <f>Cadastro!$O1031</f>
        <v>https://monitoramento.pm.pr.gov.br/proxy_image_16/Interface/Cameras/GetJPEGStream?Camera=GCM152&amp;AuthUser=siscop&amp;AuthPass=Siscop1234&amp;Width=1024&amp;Height=768&amp;Quality=70&amp;FPS=10&amp;ResponseFormat=Text</v>
      </c>
      <c r="P1099" s="106">
        <f>Cadastro!$P1031</f>
        <v>1</v>
      </c>
    </row>
    <row r="1100">
      <c r="A1100" s="104" t="str">
        <f>Cadastro!$A1032</f>
        <v>GM-FRG</v>
      </c>
      <c r="B1100" s="104" t="str">
        <f>Cadastro!$B1032</f>
        <v>FAZENDA RIO GRANDE</v>
      </c>
      <c r="C1100" s="107" t="str">
        <f>Cadastro!$C1032</f>
        <v>https://monitoramento.pm.pr.gov.br/proxy_image_17/</v>
      </c>
      <c r="D1100" s="105">
        <f>Cadastro!$D1032</f>
        <v>8601</v>
      </c>
      <c r="E1100" s="104" t="str">
        <f>Cadastro!$E1032</f>
        <v>AV BRASIL X AV ARAUCARIAS</v>
      </c>
      <c r="F1100" s="104" t="str">
        <f>Cadastro!$F1032</f>
        <v>AV BRASIL X AV ARAUCARIAS</v>
      </c>
      <c r="G1100" s="106" t="str">
        <f>Cadastro!$G1032</f>
        <v>-25.645116</v>
      </c>
      <c r="H1100" s="106" t="str">
        <f>Cadastro!$H1032</f>
        <v>-49.304975</v>
      </c>
      <c r="I1100" s="104" t="str">
        <f>Cadastro!$I1032</f>
        <v>siscop</v>
      </c>
      <c r="J1100" s="104" t="str">
        <f>Cadastro!$J1032</f>
        <v>Siscop1234</v>
      </c>
      <c r="K1100" s="104" t="s">
        <v>4536</v>
      </c>
      <c r="L1100" s="104" t="s">
        <v>26</v>
      </c>
      <c r="M1100" s="104" t="s">
        <v>27</v>
      </c>
      <c r="N1100" s="108" t="str">
        <f t="shared" si="1"/>
        <v>GM-FRG</v>
      </c>
      <c r="O1100" s="112" t="str">
        <f>Cadastro!$O1032</f>
        <v>https://monitoramento.pm.pr.gov.br/proxy_image_17/Interface/Cameras/GetJPEGStream?Camera=AV BRASIL X AV ARAUCARIAS&amp;AuthUser=siscop&amp;AuthPass=Siscop1234&amp;Width=1024&amp;Height=768&amp;Quality=70&amp;FPS=10&amp;ResponseFormat=Text</v>
      </c>
      <c r="P1100" s="106">
        <f>Cadastro!$P1032</f>
        <v>1</v>
      </c>
    </row>
    <row r="1101">
      <c r="A1101" s="104" t="str">
        <f>Cadastro!$A1033</f>
        <v>GM-FRG</v>
      </c>
      <c r="B1101" s="104" t="str">
        <f>Cadastro!$B1033</f>
        <v>FAZENDA RIO GRANDE</v>
      </c>
      <c r="C1101" s="107" t="str">
        <f>Cadastro!$C1033</f>
        <v>https://monitoramento.pm.pr.gov.br/proxy_image_17/</v>
      </c>
      <c r="D1101" s="105">
        <f>Cadastro!$D1033</f>
        <v>8601</v>
      </c>
      <c r="E1101" s="104" t="str">
        <f>Cadastro!$E1033</f>
        <v>AV PARAGUAI</v>
      </c>
      <c r="F1101" s="104" t="str">
        <f>Cadastro!$F1033</f>
        <v>AV PARAGUAI - US VILA MARLI</v>
      </c>
      <c r="G1101" s="106" t="str">
        <f>Cadastro!$G1033</f>
        <v>-25.659224</v>
      </c>
      <c r="H1101" s="106" t="str">
        <f>Cadastro!$H1033</f>
        <v>-49.295559</v>
      </c>
      <c r="I1101" s="104" t="str">
        <f>Cadastro!$I1033</f>
        <v>siscop</v>
      </c>
      <c r="J1101" s="104" t="str">
        <f>Cadastro!$J1033</f>
        <v>Siscop1234</v>
      </c>
      <c r="K1101" s="104" t="s">
        <v>4536</v>
      </c>
      <c r="L1101" s="104" t="s">
        <v>26</v>
      </c>
      <c r="M1101" s="104" t="s">
        <v>27</v>
      </c>
      <c r="N1101" s="108" t="str">
        <f t="shared" si="1"/>
        <v>GM-FRG</v>
      </c>
      <c r="O1101" s="112" t="str">
        <f>Cadastro!$O1033</f>
        <v>https://monitoramento.pm.pr.gov.br/proxy_image_17/Interface/Cameras/GetJPEGStream?Camera=AV PARAGUAI&amp;AuthUser=siscop&amp;AuthPass=Siscop1234&amp;Width=1024&amp;Height=768&amp;Quality=70&amp;FPS=10&amp;ResponseFormat=Text</v>
      </c>
      <c r="P1101" s="106">
        <f>Cadastro!$P1033</f>
        <v>1</v>
      </c>
    </row>
    <row r="1102">
      <c r="A1102" s="104" t="str">
        <f>Cadastro!$A1034</f>
        <v>GM-FRG</v>
      </c>
      <c r="B1102" s="104" t="str">
        <f>Cadastro!$B1034</f>
        <v>FAZENDA RIO GRANDE</v>
      </c>
      <c r="C1102" s="107" t="str">
        <f>Cadastro!$C1034</f>
        <v>https://monitoramento.pm.pr.gov.br/proxy_image_17/</v>
      </c>
      <c r="D1102" s="105">
        <f>Cadastro!$D1034</f>
        <v>8601</v>
      </c>
      <c r="E1102" s="104" t="str">
        <f>Cadastro!$E1034</f>
        <v>AV POLONIA x DINAMARCA</v>
      </c>
      <c r="F1102" s="104" t="str">
        <f>Cadastro!$F1034</f>
        <v>AV POLONIA x DINAMARCA</v>
      </c>
      <c r="G1102" s="106" t="str">
        <f>Cadastro!$G1034</f>
        <v>-25.661909</v>
      </c>
      <c r="H1102" s="106" t="str">
        <f>Cadastro!$H1034</f>
        <v>-49.295595</v>
      </c>
      <c r="I1102" s="104" t="str">
        <f>Cadastro!$I1034</f>
        <v>siscop</v>
      </c>
      <c r="J1102" s="104" t="str">
        <f>Cadastro!$J1034</f>
        <v>Siscop1234</v>
      </c>
      <c r="K1102" s="104" t="s">
        <v>4536</v>
      </c>
      <c r="L1102" s="104" t="s">
        <v>26</v>
      </c>
      <c r="M1102" s="104" t="s">
        <v>27</v>
      </c>
      <c r="N1102" s="108" t="str">
        <f t="shared" si="1"/>
        <v>GM-FRG</v>
      </c>
      <c r="O1102" s="112" t="str">
        <f>Cadastro!$O1034</f>
        <v>https://monitoramento.pm.pr.gov.br/proxy_image_17/Interface/Cameras/GetJPEGStream?Camera=AV POLONIA x DINAMARCA&amp;AuthUser=siscop&amp;AuthPass=Siscop1234&amp;Width=1024&amp;Height=768&amp;Quality=70&amp;FPS=10&amp;ResponseFormat=Text</v>
      </c>
      <c r="P1102" s="106">
        <f>Cadastro!$P1034</f>
        <v>1</v>
      </c>
    </row>
    <row r="1103">
      <c r="A1103" s="104" t="str">
        <f>Cadastro!$A1035</f>
        <v>GM-FRG</v>
      </c>
      <c r="B1103" s="104" t="str">
        <f>Cadastro!$B1035</f>
        <v>FAZENDA RIO GRANDE</v>
      </c>
      <c r="C1103" s="107" t="str">
        <f>Cadastro!$C1035</f>
        <v>https://monitoramento.pm.pr.gov.br/proxy_image_17/</v>
      </c>
      <c r="D1103" s="105">
        <f>Cadastro!$D1035</f>
        <v>8601</v>
      </c>
      <c r="E1103" s="104" t="str">
        <f>Cadastro!$E1035</f>
        <v>AV PORTUGAL 2</v>
      </c>
      <c r="F1103" s="104" t="str">
        <f>Cadastro!$F1035</f>
        <v>AV PORTUGAL</v>
      </c>
      <c r="G1103" s="106" t="str">
        <f>Cadastro!$G1035</f>
        <v>-25.656750</v>
      </c>
      <c r="H1103" s="106" t="str">
        <f>Cadastro!$H1035</f>
        <v>-49.310202</v>
      </c>
      <c r="I1103" s="104" t="str">
        <f>Cadastro!$I1035</f>
        <v>siscop</v>
      </c>
      <c r="J1103" s="104" t="str">
        <f>Cadastro!$J1035</f>
        <v>Siscop1234</v>
      </c>
      <c r="K1103" s="104" t="s">
        <v>4536</v>
      </c>
      <c r="L1103" s="104" t="s">
        <v>26</v>
      </c>
      <c r="M1103" s="104" t="s">
        <v>27</v>
      </c>
      <c r="N1103" s="108" t="str">
        <f t="shared" si="1"/>
        <v>GM-FRG</v>
      </c>
      <c r="O1103" s="112" t="str">
        <f>Cadastro!$O1035</f>
        <v>https://monitoramento.pm.pr.gov.br/proxy_image_17/Interface/Cameras/GetJPEGStream?Camera=AV PORTUGAL 2&amp;AuthUser=siscop&amp;AuthPass=Siscop1234&amp;Width=1024&amp;Height=768&amp;Quality=70&amp;FPS=10&amp;ResponseFormat=Text</v>
      </c>
      <c r="P1103" s="106">
        <f>Cadastro!$P1035</f>
        <v>1</v>
      </c>
    </row>
    <row r="1104">
      <c r="A1104" s="104" t="str">
        <f>Cadastro!$A1036</f>
        <v>GM-FRG</v>
      </c>
      <c r="B1104" s="104" t="str">
        <f>Cadastro!$B1036</f>
        <v>FAZENDA RIO GRANDE</v>
      </c>
      <c r="C1104" s="107" t="str">
        <f>Cadastro!$C1036</f>
        <v>https://monitoramento.pm.pr.gov.br/proxy_image_17/</v>
      </c>
      <c r="D1104" s="105">
        <f>Cadastro!$D1036</f>
        <v>8601</v>
      </c>
      <c r="E1104" s="104" t="str">
        <f>Cadastro!$E1036</f>
        <v>AV PORTUGAL LPR</v>
      </c>
      <c r="F1104" s="104" t="str">
        <f>Cadastro!$F1036</f>
        <v>AV PORTUGAL LPR</v>
      </c>
      <c r="G1104" s="106" t="str">
        <f>Cadastro!$G1036</f>
        <v>38.771343</v>
      </c>
      <c r="H1104" s="106" t="str">
        <f>Cadastro!$H1036</f>
        <v>-9.097353</v>
      </c>
      <c r="I1104" s="104" t="str">
        <f>Cadastro!$I1036</f>
        <v>siscop</v>
      </c>
      <c r="J1104" s="104" t="str">
        <f>Cadastro!$J1036</f>
        <v>Siscop1234</v>
      </c>
      <c r="K1104" s="104" t="s">
        <v>4536</v>
      </c>
      <c r="L1104" s="104" t="s">
        <v>26</v>
      </c>
      <c r="M1104" s="104" t="s">
        <v>27</v>
      </c>
      <c r="N1104" s="108" t="str">
        <f t="shared" si="1"/>
        <v>GM-FRG</v>
      </c>
      <c r="O1104" s="112" t="str">
        <f>Cadastro!$O1036</f>
        <v>https://monitoramento.pm.pr.gov.br/proxy_image_17/Interface/Cameras/GetJPEGStream?Camera=AV PORTUGAL LPR&amp;AuthUser=siscop&amp;AuthPass=Siscop1234&amp;Width=1024&amp;Height=768&amp;Quality=70&amp;FPS=10&amp;ResponseFormat=Text</v>
      </c>
      <c r="P1104" s="106">
        <f>Cadastro!$P1036</f>
        <v>1</v>
      </c>
    </row>
    <row r="1105">
      <c r="A1105" s="104" t="str">
        <f>Cadastro!$A1037</f>
        <v>GM-FRG</v>
      </c>
      <c r="B1105" s="104" t="str">
        <f>Cadastro!$B1037</f>
        <v>FAZENDA RIO GRANDE</v>
      </c>
      <c r="C1105" s="107" t="str">
        <f>Cadastro!$C1037</f>
        <v>https://monitoramento.pm.pr.gov.br/proxy_image_17/</v>
      </c>
      <c r="D1105" s="105">
        <f>Cadastro!$D1037</f>
        <v>8601</v>
      </c>
      <c r="E1105" s="104" t="str">
        <f>Cadastro!$E1037</f>
        <v>Barracao CME</v>
      </c>
      <c r="F1105" s="104" t="str">
        <f>Cadastro!$F1037</f>
        <v>Barracao CME</v>
      </c>
      <c r="G1105" s="106" t="str">
        <f>Cadastro!$G1037</f>
        <v>-25.504568</v>
      </c>
      <c r="H1105" s="106" t="str">
        <f>Cadastro!$H1037</f>
        <v>-49.228966</v>
      </c>
      <c r="I1105" s="104" t="str">
        <f>Cadastro!$I1037</f>
        <v>siscop</v>
      </c>
      <c r="J1105" s="104" t="str">
        <f>Cadastro!$J1037</f>
        <v>Siscop1234</v>
      </c>
      <c r="K1105" s="104" t="s">
        <v>4536</v>
      </c>
      <c r="L1105" s="104" t="s">
        <v>26</v>
      </c>
      <c r="M1105" s="104" t="s">
        <v>27</v>
      </c>
      <c r="N1105" s="108" t="str">
        <f t="shared" si="1"/>
        <v>GM-FRG</v>
      </c>
      <c r="O1105" s="112" t="str">
        <f>Cadastro!$O1037</f>
        <v>https://monitoramento.pm.pr.gov.br/proxy_image_17/Interface/Cameras/GetJPEGStream?Camera=Barracao CME&amp;AuthUser=siscop&amp;AuthPass=Siscop1234&amp;Width=1024&amp;Height=768&amp;Quality=70&amp;FPS=10&amp;ResponseFormat=Text</v>
      </c>
      <c r="P1105" s="106">
        <f>Cadastro!$P1037</f>
        <v>1</v>
      </c>
    </row>
    <row r="1106">
      <c r="A1106" s="104" t="str">
        <f>Cadastro!$A1038</f>
        <v>GM-FRG</v>
      </c>
      <c r="B1106" s="104" t="str">
        <f>Cadastro!$B1038</f>
        <v>FAZENDA RIO GRANDE</v>
      </c>
      <c r="C1106" s="107" t="str">
        <f>Cadastro!$C1038</f>
        <v>https://monitoramento.pm.pr.gov.br/proxy_image_17/</v>
      </c>
      <c r="D1106" s="105">
        <f>Cadastro!$D1038</f>
        <v>8601</v>
      </c>
      <c r="E1106" s="104" t="str">
        <f>Cadastro!$E1038</f>
        <v>BRASIL X AUSTRIA</v>
      </c>
      <c r="F1106" s="104" t="str">
        <f>Cadastro!$F1038</f>
        <v>AUSTRIA X BRASIL SENTIDO BAIRRO</v>
      </c>
      <c r="G1106" s="106" t="str">
        <f>Cadastro!$G1038</f>
        <v>-25.661391</v>
      </c>
      <c r="H1106" s="106" t="str">
        <f>Cadastro!$H1038</f>
        <v>-49.308083</v>
      </c>
      <c r="I1106" s="104" t="str">
        <f>Cadastro!$I1038</f>
        <v>siscop</v>
      </c>
      <c r="J1106" s="104" t="str">
        <f>Cadastro!$J1038</f>
        <v>Siscop1234</v>
      </c>
      <c r="K1106" s="104" t="s">
        <v>4536</v>
      </c>
      <c r="L1106" s="104" t="s">
        <v>26</v>
      </c>
      <c r="M1106" s="104" t="s">
        <v>27</v>
      </c>
      <c r="N1106" s="108" t="str">
        <f t="shared" si="1"/>
        <v>GM-FRG</v>
      </c>
      <c r="O1106" s="112" t="str">
        <f>Cadastro!$O1038</f>
        <v>https://monitoramento.pm.pr.gov.br/proxy_image_17/Interface/Cameras/GetJPEGStream?Camera=BRASIL X AUSTRIA&amp;AuthUser=siscop&amp;AuthPass=Siscop1234&amp;Width=1024&amp;Height=768&amp;Quality=70&amp;FPS=10&amp;ResponseFormat=Text</v>
      </c>
      <c r="P1106" s="106">
        <f>Cadastro!$P1038</f>
        <v>1</v>
      </c>
    </row>
    <row r="1107">
      <c r="A1107" s="104" t="str">
        <f>Cadastro!$A1039</f>
        <v>GM-FRG</v>
      </c>
      <c r="B1107" s="104" t="str">
        <f>Cadastro!$B1039</f>
        <v>FAZENDA RIO GRANDE</v>
      </c>
      <c r="C1107" s="107" t="str">
        <f>Cadastro!$C1039</f>
        <v>https://monitoramento.pm.pr.gov.br/proxy_image_17/</v>
      </c>
      <c r="D1107" s="105">
        <f>Cadastro!$D1039</f>
        <v>8601</v>
      </c>
      <c r="E1107" s="104" t="str">
        <f>Cadastro!$E1039</f>
        <v>CAMARA MUNICIPAL2</v>
      </c>
      <c r="F1107" s="104" t="str">
        <f>Cadastro!$F1039</f>
        <v>CAMARA MUNICIPAL CENTRO</v>
      </c>
      <c r="G1107" s="106" t="str">
        <f>Cadastro!$G1039</f>
        <v>-25.644623</v>
      </c>
      <c r="H1107" s="106" t="str">
        <f>Cadastro!$H1039</f>
        <v>-49.316775</v>
      </c>
      <c r="I1107" s="104" t="str">
        <f>Cadastro!$I1039</f>
        <v>siscop</v>
      </c>
      <c r="J1107" s="104" t="str">
        <f>Cadastro!$J1039</f>
        <v>Siscop1234</v>
      </c>
      <c r="K1107" s="104" t="s">
        <v>4536</v>
      </c>
      <c r="L1107" s="104" t="s">
        <v>26</v>
      </c>
      <c r="M1107" s="104" t="s">
        <v>27</v>
      </c>
      <c r="N1107" s="108" t="str">
        <f t="shared" si="1"/>
        <v>GM-FRG</v>
      </c>
      <c r="O1107" s="112" t="str">
        <f>Cadastro!$O1039</f>
        <v>https://monitoramento.pm.pr.gov.br/proxy_image_17/Interface/Cameras/GetJPEGStream?Camera=CAMARA MUNICIPAL2&amp;AuthUser=siscop&amp;AuthPass=Siscop1234&amp;Width=1024&amp;Height=768&amp;Quality=70&amp;FPS=10&amp;ResponseFormat=Text</v>
      </c>
      <c r="P1107" s="106">
        <f>Cadastro!$P1039</f>
        <v>1</v>
      </c>
    </row>
    <row r="1108">
      <c r="A1108" s="104" t="str">
        <f>Cadastro!$A1040</f>
        <v>GM-FRG</v>
      </c>
      <c r="B1108" s="104" t="str">
        <f>Cadastro!$B1040</f>
        <v>FAZENDA RIO GRANDE</v>
      </c>
      <c r="C1108" s="107" t="str">
        <f>Cadastro!$C1040</f>
        <v>https://monitoramento.pm.pr.gov.br/proxy_image_17/</v>
      </c>
      <c r="D1108" s="105">
        <f>Cadastro!$D1040</f>
        <v>8601</v>
      </c>
      <c r="E1108" s="104" t="str">
        <f>Cadastro!$E1040</f>
        <v>CARRETA CONHENCIMENTO</v>
      </c>
      <c r="F1108" s="104" t="str">
        <f>Cadastro!$F1040</f>
        <v>CARRETA CONHENCIMENTO GRECIA</v>
      </c>
      <c r="G1108" s="106" t="str">
        <f>Cadastro!$G1040</f>
        <v>-25.513963</v>
      </c>
      <c r="H1108" s="106" t="str">
        <f>Cadastro!$H1040</f>
        <v>-49.235433</v>
      </c>
      <c r="I1108" s="104" t="str">
        <f>Cadastro!$I1040</f>
        <v>siscop</v>
      </c>
      <c r="J1108" s="104" t="str">
        <f>Cadastro!$J1040</f>
        <v>Siscop1234</v>
      </c>
      <c r="K1108" s="104" t="s">
        <v>4536</v>
      </c>
      <c r="L1108" s="104" t="s">
        <v>26</v>
      </c>
      <c r="M1108" s="104" t="s">
        <v>27</v>
      </c>
      <c r="N1108" s="108" t="str">
        <f t="shared" si="1"/>
        <v>GM-FRG</v>
      </c>
      <c r="O1108" s="112" t="str">
        <f>Cadastro!$O1040</f>
        <v>https://monitoramento.pm.pr.gov.br/proxy_image_17/Interface/Cameras/GetJPEGStream?Camera=CARRETA CONHENCIMENTO&amp;AuthUser=siscop&amp;AuthPass=Siscop1234&amp;Width=1024&amp;Height=768&amp;Quality=70&amp;FPS=10&amp;ResponseFormat=Text</v>
      </c>
      <c r="P1108" s="106">
        <f>Cadastro!$P1040</f>
        <v>1</v>
      </c>
    </row>
    <row r="1109">
      <c r="A1109" s="104" t="str">
        <f>Cadastro!$A1041</f>
        <v>GM-FRG</v>
      </c>
      <c r="B1109" s="104" t="str">
        <f>Cadastro!$B1041</f>
        <v>FAZENDA RIO GRANDE</v>
      </c>
      <c r="C1109" s="107" t="str">
        <f>Cadastro!$C1041</f>
        <v>https://monitoramento.pm.pr.gov.br/proxy_image_17/</v>
      </c>
      <c r="D1109" s="105">
        <f>Cadastro!$D1041</f>
        <v>8601</v>
      </c>
      <c r="E1109" s="104" t="str">
        <f>Cadastro!$E1041</f>
        <v>CESAR CARELLI - CAMARA</v>
      </c>
      <c r="F1109" s="104" t="str">
        <f>Cadastro!$F1041</f>
        <v>CAMARA MUNICIPAL</v>
      </c>
      <c r="G1109" s="106" t="str">
        <f>Cadastro!$G1041</f>
        <v>-25.644595</v>
      </c>
      <c r="H1109" s="106" t="str">
        <f>Cadastro!$H1041</f>
        <v>-49.316828</v>
      </c>
      <c r="I1109" s="104" t="str">
        <f>Cadastro!$I1041</f>
        <v>siscop</v>
      </c>
      <c r="J1109" s="104" t="str">
        <f>Cadastro!$J1041</f>
        <v>Siscop1234</v>
      </c>
      <c r="K1109" s="104" t="s">
        <v>4536</v>
      </c>
      <c r="L1109" s="104" t="s">
        <v>26</v>
      </c>
      <c r="M1109" s="104" t="s">
        <v>27</v>
      </c>
      <c r="N1109" s="108" t="str">
        <f t="shared" si="1"/>
        <v>GM-FRG</v>
      </c>
      <c r="O1109" s="112" t="str">
        <f>Cadastro!$O1041</f>
        <v>https://monitoramento.pm.pr.gov.br/proxy_image_17/Interface/Cameras/GetJPEGStream?Camera=CESAR CARELLI - CAMARA&amp;AuthUser=siscop&amp;AuthPass=Siscop1234&amp;Width=1024&amp;Height=768&amp;Quality=70&amp;FPS=10&amp;ResponseFormat=Text</v>
      </c>
      <c r="P1109" s="106">
        <f>Cadastro!$P1041</f>
        <v>1</v>
      </c>
    </row>
    <row r="1110">
      <c r="A1110" s="104" t="str">
        <f>Cadastro!$A1042</f>
        <v>GM-FRG</v>
      </c>
      <c r="B1110" s="104" t="str">
        <f>Cadastro!$B1042</f>
        <v>FAZENDA RIO GRANDE</v>
      </c>
      <c r="C1110" s="107" t="str">
        <f>Cadastro!$C1042</f>
        <v>https://monitoramento.pm.pr.gov.br/proxy_image_17/</v>
      </c>
      <c r="D1110" s="105">
        <f>Cadastro!$D1042</f>
        <v>8601</v>
      </c>
      <c r="E1110" s="104" t="str">
        <f>Cadastro!$E1042</f>
        <v>CESAR CARELLI X RIO IVAI</v>
      </c>
      <c r="F1110" s="104" t="str">
        <f>Cadastro!$F1042</f>
        <v>CESAR CARELLI X RIO IVAI</v>
      </c>
      <c r="G1110" s="106" t="str">
        <f>Cadastro!$G1042</f>
        <v>-25.645099</v>
      </c>
      <c r="H1110" s="106" t="str">
        <f>Cadastro!$H1042</f>
        <v>-49.316736</v>
      </c>
      <c r="I1110" s="104" t="str">
        <f>Cadastro!$I1042</f>
        <v>siscop</v>
      </c>
      <c r="J1110" s="104" t="str">
        <f>Cadastro!$J1042</f>
        <v>Siscop1234</v>
      </c>
      <c r="K1110" s="104" t="s">
        <v>4536</v>
      </c>
      <c r="L1110" s="104" t="s">
        <v>26</v>
      </c>
      <c r="M1110" s="104" t="s">
        <v>27</v>
      </c>
      <c r="N1110" s="108" t="str">
        <f t="shared" si="1"/>
        <v>GM-FRG</v>
      </c>
      <c r="O1110" s="112" t="str">
        <f>Cadastro!$O1042</f>
        <v>https://monitoramento.pm.pr.gov.br/proxy_image_17/Interface/Cameras/GetJPEGStream?Camera=CESAR CARELLI X RIO IVAI&amp;AuthUser=siscop&amp;AuthPass=Siscop1234&amp;Width=1024&amp;Height=768&amp;Quality=70&amp;FPS=10&amp;ResponseFormat=Text</v>
      </c>
      <c r="P1110" s="106">
        <f>Cadastro!$P1042</f>
        <v>1</v>
      </c>
    </row>
    <row r="1111">
      <c r="A1111" s="104" t="str">
        <f>Cadastro!$A1043</f>
        <v>GM-FRG</v>
      </c>
      <c r="B1111" s="104" t="str">
        <f>Cadastro!$B1043</f>
        <v>FAZENDA RIO GRANDE</v>
      </c>
      <c r="C1111" s="107" t="str">
        <f>Cadastro!$C1043</f>
        <v>https://monitoramento.pm.pr.gov.br/proxy_image_17/</v>
      </c>
      <c r="D1111" s="105">
        <f>Cadastro!$D1043</f>
        <v>8601</v>
      </c>
      <c r="E1111" s="104" t="str">
        <f>Cadastro!$E1043</f>
        <v>ESTADOS UNIDOS</v>
      </c>
      <c r="F1111" s="104" t="str">
        <f>Cadastro!$F1043</f>
        <v>ESTADOS UNIDOS</v>
      </c>
      <c r="G1111" s="106" t="str">
        <f>Cadastro!$G1043</f>
        <v>0</v>
      </c>
      <c r="H1111" s="106" t="str">
        <f>Cadastro!$H1043</f>
        <v>0</v>
      </c>
      <c r="I1111" s="104" t="str">
        <f>Cadastro!$I1043</f>
        <v>siscop</v>
      </c>
      <c r="J1111" s="104" t="str">
        <f>Cadastro!$J1043</f>
        <v>Siscop1234</v>
      </c>
      <c r="K1111" s="104" t="s">
        <v>4536</v>
      </c>
      <c r="L1111" s="104" t="s">
        <v>26</v>
      </c>
      <c r="M1111" s="104" t="s">
        <v>27</v>
      </c>
      <c r="N1111" s="108" t="str">
        <f t="shared" si="1"/>
        <v>GM-FRG</v>
      </c>
      <c r="O1111" s="112" t="str">
        <f>Cadastro!$O1043</f>
        <v>#</v>
      </c>
      <c r="P1111" s="106">
        <f>Cadastro!$P1043</f>
        <v>0</v>
      </c>
    </row>
    <row r="1112">
      <c r="A1112" s="104" t="str">
        <f>Cadastro!$A1044</f>
        <v>GM-FRG</v>
      </c>
      <c r="B1112" s="104" t="str">
        <f>Cadastro!$B1044</f>
        <v>FAZENDA RIO GRANDE</v>
      </c>
      <c r="C1112" s="107" t="str">
        <f>Cadastro!$C1044</f>
        <v>https://monitoramento.pm.pr.gov.br/proxy_image_17/</v>
      </c>
      <c r="D1112" s="105">
        <f>Cadastro!$D1044</f>
        <v>8601</v>
      </c>
      <c r="E1112" s="104" t="str">
        <f>Cadastro!$E1044</f>
        <v>FRANCISCO CLAUDINO</v>
      </c>
      <c r="F1112" s="104" t="str">
        <f>Cadastro!$F1044</f>
        <v>FRANCISCO CLAUDINO DOS SANTOS (CEMITÉRIO)</v>
      </c>
      <c r="G1112" s="106" t="str">
        <f>Cadastro!$G1044</f>
        <v>-25.646135</v>
      </c>
      <c r="H1112" s="106" t="str">
        <f>Cadastro!$H1044</f>
        <v>-49.319809</v>
      </c>
      <c r="I1112" s="104" t="str">
        <f>Cadastro!$I1044</f>
        <v>siscop</v>
      </c>
      <c r="J1112" s="104" t="str">
        <f>Cadastro!$J1044</f>
        <v>Siscop1234</v>
      </c>
      <c r="K1112" s="104" t="s">
        <v>4536</v>
      </c>
      <c r="L1112" s="104" t="s">
        <v>26</v>
      </c>
      <c r="M1112" s="104" t="s">
        <v>27</v>
      </c>
      <c r="N1112" s="108" t="str">
        <f t="shared" si="1"/>
        <v>GM-FRG</v>
      </c>
      <c r="O1112" s="112" t="str">
        <f>Cadastro!$O1044</f>
        <v>https://monitoramento.pm.pr.gov.br/proxy_image_17/Interface/Cameras/GetJPEGStream?Camera=FRANCISCO CLAUDINO&amp;AuthUser=siscop&amp;AuthPass=Siscop1234&amp;Width=1024&amp;Height=768&amp;Quality=70&amp;FPS=10&amp;ResponseFormat=Text</v>
      </c>
      <c r="P1112" s="106">
        <f>Cadastro!$P1044</f>
        <v>1</v>
      </c>
    </row>
    <row r="1113">
      <c r="A1113" s="104" t="str">
        <f>Cadastro!$A1045</f>
        <v>GM-FRG</v>
      </c>
      <c r="B1113" s="104" t="str">
        <f>Cadastro!$B1045</f>
        <v>FAZENDA RIO GRANDE</v>
      </c>
      <c r="C1113" s="107" t="str">
        <f>Cadastro!$C1045</f>
        <v>https://monitoramento.pm.pr.gov.br/proxy_image_17/</v>
      </c>
      <c r="D1113" s="105">
        <f>Cadastro!$D1045</f>
        <v>8601</v>
      </c>
      <c r="E1113" s="104" t="str">
        <f>Cadastro!$E1045</f>
        <v>Jacaranda Bairro</v>
      </c>
      <c r="F1113" s="104" t="str">
        <f>Cadastro!$F1045</f>
        <v>Traseira: Jacaranda x Bairro / Dianteira: Jacaranda x Br</v>
      </c>
      <c r="G1113" s="106" t="str">
        <f>Cadastro!$G1045</f>
        <v>-25.542800</v>
      </c>
      <c r="H1113" s="106" t="str">
        <f>Cadastro!$H1045</f>
        <v>-49.273492</v>
      </c>
      <c r="I1113" s="104" t="str">
        <f>Cadastro!$I1045</f>
        <v>siscop</v>
      </c>
      <c r="J1113" s="104" t="str">
        <f>Cadastro!$J1045</f>
        <v>Siscop1234</v>
      </c>
      <c r="K1113" s="104" t="s">
        <v>4536</v>
      </c>
      <c r="L1113" s="104" t="s">
        <v>26</v>
      </c>
      <c r="M1113" s="104" t="s">
        <v>27</v>
      </c>
      <c r="N1113" s="108" t="str">
        <f t="shared" si="1"/>
        <v>GM-FRG</v>
      </c>
      <c r="O1113" s="112" t="str">
        <f>Cadastro!$O1045</f>
        <v>https://monitoramento.pm.pr.gov.br/proxy_image_17/Interface/Cameras/GetJPEGStream?Camera=Jacaranda Bairro&amp;AuthUser=siscop&amp;AuthPass=Siscop1234&amp;Width=1024&amp;Height=768&amp;Quality=70&amp;FPS=10&amp;ResponseFormat=Text</v>
      </c>
      <c r="P1113" s="106">
        <f>Cadastro!$P1045</f>
        <v>1</v>
      </c>
    </row>
    <row r="1114">
      <c r="A1114" s="104" t="str">
        <f>Cadastro!$A1046</f>
        <v>GM-FRG</v>
      </c>
      <c r="B1114" s="104" t="str">
        <f>Cadastro!$B1046</f>
        <v>FAZENDA RIO GRANDE</v>
      </c>
      <c r="C1114" s="107" t="str">
        <f>Cadastro!$C1046</f>
        <v>https://monitoramento.pm.pr.gov.br/proxy_image_17/</v>
      </c>
      <c r="D1114" s="105">
        <f>Cadastro!$D1046</f>
        <v>8601</v>
      </c>
      <c r="E1114" s="104" t="str">
        <f>Cadastro!$E1046</f>
        <v>JACARANDA BR</v>
      </c>
      <c r="F1114" s="104" t="str">
        <f>Cadastro!$F1046</f>
        <v>JACARANDA SENTIDO BR</v>
      </c>
      <c r="G1114" s="106" t="str">
        <f>Cadastro!$G1046</f>
        <v>-25.542800</v>
      </c>
      <c r="H1114" s="106" t="str">
        <f>Cadastro!$H1046</f>
        <v>-49.273492</v>
      </c>
      <c r="I1114" s="104" t="str">
        <f>Cadastro!$I1046</f>
        <v>siscop</v>
      </c>
      <c r="J1114" s="104" t="str">
        <f>Cadastro!$J1046</f>
        <v>Siscop1234</v>
      </c>
      <c r="K1114" s="104" t="s">
        <v>4536</v>
      </c>
      <c r="L1114" s="104" t="s">
        <v>26</v>
      </c>
      <c r="M1114" s="104" t="s">
        <v>27</v>
      </c>
      <c r="N1114" s="108" t="str">
        <f t="shared" si="1"/>
        <v>GM-FRG</v>
      </c>
      <c r="O1114" s="112" t="str">
        <f>Cadastro!$O1046</f>
        <v>https://monitoramento.pm.pr.gov.br/proxy_image_17/Interface/Cameras/GetJPEGStream?Camera=JACARANDA BR&amp;AuthUser=siscop&amp;AuthPass=Siscop1234&amp;Width=1024&amp;Height=768&amp;Quality=70&amp;FPS=10&amp;ResponseFormat=Text</v>
      </c>
      <c r="P1114" s="106">
        <f>Cadastro!$P1046</f>
        <v>1</v>
      </c>
    </row>
    <row r="1115">
      <c r="A1115" s="104" t="str">
        <f>Cadastro!$A1047</f>
        <v>GM-FRG</v>
      </c>
      <c r="B1115" s="104" t="str">
        <f>Cadastro!$B1047</f>
        <v>FAZENDA RIO GRANDE</v>
      </c>
      <c r="C1115" s="107" t="str">
        <f>Cadastro!$C1047</f>
        <v>https://monitoramento.pm.pr.gov.br/proxy_image_17/</v>
      </c>
      <c r="D1115" s="105">
        <f>Cadastro!$D1047</f>
        <v>8601</v>
      </c>
      <c r="E1115" s="104" t="str">
        <f>Cadastro!$E1047</f>
        <v>JACARANDA SPEED DOME</v>
      </c>
      <c r="F1115" s="104" t="str">
        <f>Cadastro!$F1047</f>
        <v>JACARANDA SPEED DOME</v>
      </c>
      <c r="G1115" s="104">
        <f>Cadastro!$G1047</f>
        <v>0</v>
      </c>
      <c r="H1115" s="104">
        <f>Cadastro!$H1047</f>
        <v>0</v>
      </c>
      <c r="I1115" s="104" t="str">
        <f>Cadastro!$I1047</f>
        <v>siscop</v>
      </c>
      <c r="J1115" s="104" t="str">
        <f>Cadastro!$J1047</f>
        <v>Siscop1234</v>
      </c>
      <c r="K1115" s="104" t="s">
        <v>4536</v>
      </c>
      <c r="L1115" s="104" t="s">
        <v>26</v>
      </c>
      <c r="M1115" s="104" t="s">
        <v>27</v>
      </c>
      <c r="N1115" s="108" t="str">
        <f t="shared" si="1"/>
        <v>GM-FRG</v>
      </c>
      <c r="O1115" s="112" t="str">
        <f>Cadastro!$O1047</f>
        <v>#</v>
      </c>
      <c r="P1115" s="106">
        <f>Cadastro!$P1047</f>
        <v>0</v>
      </c>
    </row>
    <row r="1116">
      <c r="A1116" s="104" t="str">
        <f>Cadastro!$A1048</f>
        <v>GM-FRG</v>
      </c>
      <c r="B1116" s="104" t="str">
        <f>Cadastro!$B1048</f>
        <v>FAZENDA RIO GRANDE</v>
      </c>
      <c r="C1116" s="107" t="str">
        <f>Cadastro!$C1048</f>
        <v>https://monitoramento.pm.pr.gov.br/proxy_image_17/</v>
      </c>
      <c r="D1116" s="105">
        <f>Cadastro!$D1048</f>
        <v>8601</v>
      </c>
      <c r="E1116" s="104" t="str">
        <f>Cadastro!$E1048</f>
        <v>LPR CESAR CARELLI</v>
      </c>
      <c r="F1116" s="104" t="str">
        <f>Cadastro!$F1048</f>
        <v>LG LPR BOTICARIO CESAR CARELLI</v>
      </c>
      <c r="G1116" s="104">
        <f>Cadastro!$G1048</f>
        <v>0</v>
      </c>
      <c r="H1116" s="104">
        <f>Cadastro!$H1048</f>
        <v>0</v>
      </c>
      <c r="I1116" s="104" t="str">
        <f>Cadastro!$I1048</f>
        <v>siscop</v>
      </c>
      <c r="J1116" s="104" t="str">
        <f>Cadastro!$J1048</f>
        <v>Siscop1234</v>
      </c>
      <c r="K1116" s="104" t="s">
        <v>4536</v>
      </c>
      <c r="L1116" s="104" t="s">
        <v>26</v>
      </c>
      <c r="M1116" s="104" t="s">
        <v>27</v>
      </c>
      <c r="N1116" s="108" t="str">
        <f t="shared" si="1"/>
        <v>GM-FRG</v>
      </c>
      <c r="O1116" s="112" t="str">
        <f>Cadastro!$O1048</f>
        <v>#</v>
      </c>
      <c r="P1116" s="106">
        <f>Cadastro!$P1048</f>
        <v>0</v>
      </c>
    </row>
    <row r="1117">
      <c r="A1117" s="104" t="str">
        <f>Cadastro!$A1049</f>
        <v>GM-FRG</v>
      </c>
      <c r="B1117" s="104" t="str">
        <f>Cadastro!$B1049</f>
        <v>FAZENDA RIO GRANDE</v>
      </c>
      <c r="C1117" s="107" t="str">
        <f>Cadastro!$C1049</f>
        <v>https://monitoramento.pm.pr.gov.br/proxy_image_17/</v>
      </c>
      <c r="D1117" s="105">
        <f>Cadastro!$D1049</f>
        <v>8601</v>
      </c>
      <c r="E1117" s="104" t="str">
        <f>Cadastro!$E1049</f>
        <v>LPR Careli</v>
      </c>
      <c r="F1117" s="104" t="str">
        <f>Cadastro!$F1049</f>
        <v>Cesar Careli Boticario</v>
      </c>
      <c r="G1117" s="104">
        <f>Cadastro!$G1049</f>
        <v>0</v>
      </c>
      <c r="H1117" s="104">
        <f>Cadastro!$H1049</f>
        <v>0</v>
      </c>
      <c r="I1117" s="104" t="str">
        <f>Cadastro!$I1049</f>
        <v>siscop</v>
      </c>
      <c r="J1117" s="104" t="str">
        <f>Cadastro!$J1049</f>
        <v>Siscop1234</v>
      </c>
      <c r="K1117" s="104" t="s">
        <v>4536</v>
      </c>
      <c r="L1117" s="104" t="s">
        <v>26</v>
      </c>
      <c r="M1117" s="104" t="s">
        <v>27</v>
      </c>
      <c r="N1117" s="108" t="str">
        <f t="shared" si="1"/>
        <v>GM-FRG</v>
      </c>
      <c r="O1117" s="112" t="str">
        <f>Cadastro!$O1049</f>
        <v>#</v>
      </c>
      <c r="P1117" s="106">
        <f>Cadastro!$P1049</f>
        <v>0</v>
      </c>
    </row>
    <row r="1118">
      <c r="A1118" s="104" t="str">
        <f>Cadastro!$A1050</f>
        <v>GM-FRG</v>
      </c>
      <c r="B1118" s="104" t="str">
        <f>Cadastro!$B1050</f>
        <v>FAZENDA RIO GRANDE</v>
      </c>
      <c r="C1118" s="107" t="str">
        <f>Cadastro!$C1050</f>
        <v>https://monitoramento.pm.pr.gov.br/proxy_image_17/</v>
      </c>
      <c r="D1118" s="105">
        <f>Cadastro!$D1050</f>
        <v>8601</v>
      </c>
      <c r="E1118" s="104" t="str">
        <f>Cadastro!$E1050</f>
        <v>MATO GROSSO x NOSSA SRA APARECIDA</v>
      </c>
      <c r="F1118" s="104" t="str">
        <f>Cadastro!$F1050</f>
        <v>MATO GROSSO x NOSSA SRA APARECIDA</v>
      </c>
      <c r="G1118" s="104">
        <f>Cadastro!$G1050</f>
        <v>0</v>
      </c>
      <c r="H1118" s="104">
        <f>Cadastro!$H1050</f>
        <v>0</v>
      </c>
      <c r="I1118" s="104" t="str">
        <f>Cadastro!$I1050</f>
        <v>siscop</v>
      </c>
      <c r="J1118" s="104" t="str">
        <f>Cadastro!$J1050</f>
        <v>Siscop1234</v>
      </c>
      <c r="K1118" s="104" t="s">
        <v>4536</v>
      </c>
      <c r="L1118" s="104" t="s">
        <v>26</v>
      </c>
      <c r="M1118" s="104" t="s">
        <v>27</v>
      </c>
      <c r="N1118" s="108" t="str">
        <f t="shared" si="1"/>
        <v>GM-FRG</v>
      </c>
      <c r="O1118" s="112" t="str">
        <f>Cadastro!$O1050</f>
        <v>#</v>
      </c>
      <c r="P1118" s="106">
        <f>Cadastro!$P1050</f>
        <v>0</v>
      </c>
    </row>
    <row r="1119">
      <c r="A1119" s="104" t="str">
        <f>Cadastro!$A1051</f>
        <v>GM-FRG</v>
      </c>
      <c r="B1119" s="104" t="str">
        <f>Cadastro!$B1051</f>
        <v>FAZENDA RIO GRANDE</v>
      </c>
      <c r="C1119" s="107" t="str">
        <f>Cadastro!$C1051</f>
        <v>https://monitoramento.pm.pr.gov.br/proxy_image_17/</v>
      </c>
      <c r="D1119" s="105">
        <f>Cadastro!$D1051</f>
        <v>8601</v>
      </c>
      <c r="E1119" s="104" t="str">
        <f>Cadastro!$E1051</f>
        <v>MATO GROSSO x NOSSA SRA APARECIDA LPR</v>
      </c>
      <c r="F1119" s="104" t="str">
        <f>Cadastro!$F1051</f>
        <v>MATO GROSSO x NOSSA SRA APARECIDA (LPR)</v>
      </c>
      <c r="G1119" s="104">
        <f>Cadastro!$G1051</f>
        <v>0</v>
      </c>
      <c r="H1119" s="104">
        <f>Cadastro!$H1051</f>
        <v>0</v>
      </c>
      <c r="I1119" s="104" t="str">
        <f>Cadastro!$I1051</f>
        <v>siscop</v>
      </c>
      <c r="J1119" s="104" t="str">
        <f>Cadastro!$J1051</f>
        <v>Siscop1234</v>
      </c>
      <c r="K1119" s="104" t="s">
        <v>4536</v>
      </c>
      <c r="L1119" s="104" t="s">
        <v>26</v>
      </c>
      <c r="M1119" s="104" t="s">
        <v>27</v>
      </c>
      <c r="N1119" s="108" t="str">
        <f t="shared" si="1"/>
        <v>GM-FRG</v>
      </c>
      <c r="O1119" s="112" t="str">
        <f>Cadastro!$O1051</f>
        <v>#</v>
      </c>
      <c r="P1119" s="106">
        <f>Cadastro!$P1051</f>
        <v>0</v>
      </c>
    </row>
    <row r="1120">
      <c r="A1120" s="104" t="str">
        <f>Cadastro!$A1052</f>
        <v>GM-FRG</v>
      </c>
      <c r="B1120" s="104" t="str">
        <f>Cadastro!$B1052</f>
        <v>FAZENDA RIO GRANDE</v>
      </c>
      <c r="C1120" s="107" t="str">
        <f>Cadastro!$C1052</f>
        <v>https://monitoramento.pm.pr.gov.br/proxy_image_17/</v>
      </c>
      <c r="D1120" s="105">
        <f>Cadastro!$D1052</f>
        <v>8601</v>
      </c>
      <c r="E1120" s="104" t="str">
        <f>Cadastro!$E1052</f>
        <v>Nicola Pelanda x Av Brasil</v>
      </c>
      <c r="F1120" s="104" t="str">
        <f>Cadastro!$F1052</f>
        <v>Nicola Pelanda x Av Brasil</v>
      </c>
      <c r="G1120" s="104">
        <f>Cadastro!$G1052</f>
        <v>0</v>
      </c>
      <c r="H1120" s="104">
        <f>Cadastro!$H1052</f>
        <v>0</v>
      </c>
      <c r="I1120" s="104" t="str">
        <f>Cadastro!$I1052</f>
        <v>siscop</v>
      </c>
      <c r="J1120" s="104" t="str">
        <f>Cadastro!$J1052</f>
        <v>Siscop1234</v>
      </c>
      <c r="K1120" s="104" t="s">
        <v>4536</v>
      </c>
      <c r="L1120" s="104" t="s">
        <v>26</v>
      </c>
      <c r="M1120" s="104" t="s">
        <v>27</v>
      </c>
      <c r="N1120" s="108" t="str">
        <f t="shared" si="1"/>
        <v>GM-FRG</v>
      </c>
      <c r="O1120" s="112" t="str">
        <f>Cadastro!$O1052</f>
        <v>#</v>
      </c>
      <c r="P1120" s="106">
        <f>Cadastro!$P1052</f>
        <v>0</v>
      </c>
    </row>
    <row r="1121">
      <c r="A1121" s="104" t="str">
        <f>Cadastro!$A1053</f>
        <v>GM-FRG</v>
      </c>
      <c r="B1121" s="104" t="str">
        <f>Cadastro!$B1053</f>
        <v>FAZENDA RIO GRANDE</v>
      </c>
      <c r="C1121" s="107" t="str">
        <f>Cadastro!$C1053</f>
        <v>https://monitoramento.pm.pr.gov.br/proxy_image_17/</v>
      </c>
      <c r="D1121" s="105">
        <f>Cadastro!$D1053</f>
        <v>8601</v>
      </c>
      <c r="E1121" s="104" t="str">
        <f>Cadastro!$E1053</f>
        <v>PRACA BRASIL</v>
      </c>
      <c r="F1121" s="104" t="str">
        <f>Cadastro!$F1053</f>
        <v>SPEED DOME PRACA BRASIL</v>
      </c>
      <c r="G1121" s="104">
        <f>Cadastro!$G1053</f>
        <v>0</v>
      </c>
      <c r="H1121" s="104">
        <f>Cadastro!$H1053</f>
        <v>0</v>
      </c>
      <c r="I1121" s="104" t="str">
        <f>Cadastro!$I1053</f>
        <v>siscop</v>
      </c>
      <c r="J1121" s="104" t="str">
        <f>Cadastro!$J1053</f>
        <v>Siscop1234</v>
      </c>
      <c r="K1121" s="104" t="s">
        <v>4536</v>
      </c>
      <c r="L1121" s="104" t="s">
        <v>26</v>
      </c>
      <c r="M1121" s="104" t="s">
        <v>27</v>
      </c>
      <c r="N1121" s="108" t="str">
        <f t="shared" si="1"/>
        <v>GM-FRG</v>
      </c>
      <c r="O1121" s="112" t="str">
        <f>Cadastro!$O1053</f>
        <v>#</v>
      </c>
      <c r="P1121" s="106">
        <f>Cadastro!$P1053</f>
        <v>0</v>
      </c>
    </row>
    <row r="1122">
      <c r="A1122" s="104" t="str">
        <f>Cadastro!$A1054</f>
        <v>GM-FRG</v>
      </c>
      <c r="B1122" s="104" t="str">
        <f>Cadastro!$B1054</f>
        <v>FAZENDA RIO GRANDE</v>
      </c>
      <c r="C1122" s="107" t="str">
        <f>Cadastro!$C1054</f>
        <v>https://monitoramento.pm.pr.gov.br/proxy_image_17/</v>
      </c>
      <c r="D1122" s="105">
        <f>Cadastro!$D1054</f>
        <v>8601</v>
      </c>
      <c r="E1122" s="104" t="str">
        <f>Cadastro!$E1054</f>
        <v>TERMINAL FIXA</v>
      </c>
      <c r="F1122" s="104" t="str">
        <f>Cadastro!$F1054</f>
        <v>TERMINAL FIXA ROTATORIA</v>
      </c>
      <c r="G1122" s="104">
        <f>Cadastro!$G1054</f>
        <v>0</v>
      </c>
      <c r="H1122" s="104">
        <f>Cadastro!$H1054</f>
        <v>0</v>
      </c>
      <c r="I1122" s="104" t="str">
        <f>Cadastro!$I1054</f>
        <v>siscop</v>
      </c>
      <c r="J1122" s="104" t="str">
        <f>Cadastro!$J1054</f>
        <v>Siscop1234</v>
      </c>
      <c r="K1122" s="104" t="s">
        <v>4536</v>
      </c>
      <c r="L1122" s="104" t="s">
        <v>26</v>
      </c>
      <c r="M1122" s="104" t="s">
        <v>27</v>
      </c>
      <c r="N1122" s="108" t="str">
        <f t="shared" si="1"/>
        <v>GM-FRG</v>
      </c>
      <c r="O1122" s="112" t="str">
        <f>Cadastro!$O1054</f>
        <v>#</v>
      </c>
      <c r="P1122" s="106">
        <f>Cadastro!$P1054</f>
        <v>0</v>
      </c>
    </row>
    <row r="1123">
      <c r="A1123" s="104" t="str">
        <f>Cadastro!$A1055</f>
        <v>GM-FRG</v>
      </c>
      <c r="B1123" s="104" t="str">
        <f>Cadastro!$B1055</f>
        <v>FAZENDA RIO GRANDE</v>
      </c>
      <c r="C1123" s="107" t="str">
        <f>Cadastro!$C1055</f>
        <v>https://monitoramento.pm.pr.gov.br/proxy_image_17/</v>
      </c>
      <c r="D1123" s="105">
        <f>Cadastro!$D1055</f>
        <v>8601</v>
      </c>
      <c r="E1123" s="104" t="str">
        <f>Cadastro!$E1055</f>
        <v>Teste Mobile LPR</v>
      </c>
      <c r="F1123" s="104" t="str">
        <f>Cadastro!$F1055</f>
        <v>Teste Mobile LPR</v>
      </c>
      <c r="G1123" s="104">
        <f>Cadastro!$G1055</f>
        <v>0</v>
      </c>
      <c r="H1123" s="104">
        <f>Cadastro!$H1055</f>
        <v>0</v>
      </c>
      <c r="I1123" s="104" t="str">
        <f>Cadastro!$I1055</f>
        <v>siscop</v>
      </c>
      <c r="J1123" s="104" t="str">
        <f>Cadastro!$J1055</f>
        <v>Siscop1234</v>
      </c>
      <c r="K1123" s="104" t="s">
        <v>4536</v>
      </c>
      <c r="L1123" s="104" t="s">
        <v>26</v>
      </c>
      <c r="M1123" s="104" t="s">
        <v>27</v>
      </c>
      <c r="N1123" s="108" t="str">
        <f t="shared" si="1"/>
        <v>GM-FRG</v>
      </c>
      <c r="O1123" s="112" t="str">
        <f>Cadastro!$O1055</f>
        <v>#</v>
      </c>
      <c r="P1123" s="106">
        <f>Cadastro!$P1055</f>
        <v>0</v>
      </c>
    </row>
    <row r="1124">
      <c r="A1124" s="104" t="str">
        <f>Cadastro!$A1056</f>
        <v>GM-FRG</v>
      </c>
      <c r="B1124" s="104" t="str">
        <f>Cadastro!$B1056</f>
        <v>FAZENDA RIO GRANDE</v>
      </c>
      <c r="C1124" s="107" t="str">
        <f>Cadastro!$C1056</f>
        <v>https://monitoramento.pm.pr.gov.br/proxy_image_17/</v>
      </c>
      <c r="D1124" s="105">
        <f>Cadastro!$D1056</f>
        <v>8601</v>
      </c>
      <c r="E1124" s="104" t="str">
        <f>Cadastro!$E1056</f>
        <v>Traseira Jacaranda x Bairro Dianteira Jacaranda x Br</v>
      </c>
      <c r="F1124" s="104" t="str">
        <f>Cadastro!$F1056</f>
        <v>Traseira: Jacaranda x Bairro / Dianteira: Jacaranda x Br</v>
      </c>
      <c r="G1124" s="104">
        <f>Cadastro!$G1056</f>
        <v>0</v>
      </c>
      <c r="H1124" s="104">
        <f>Cadastro!$H1056</f>
        <v>0</v>
      </c>
      <c r="I1124" s="104" t="str">
        <f>Cadastro!$I1056</f>
        <v>siscop</v>
      </c>
      <c r="J1124" s="104" t="str">
        <f>Cadastro!$J1056</f>
        <v>Siscop1234</v>
      </c>
      <c r="K1124" s="104" t="s">
        <v>4536</v>
      </c>
      <c r="L1124" s="104" t="s">
        <v>26</v>
      </c>
      <c r="M1124" s="104" t="s">
        <v>27</v>
      </c>
      <c r="N1124" s="108" t="str">
        <f t="shared" si="1"/>
        <v>GM-FRG</v>
      </c>
      <c r="O1124" s="112" t="str">
        <f>Cadastro!$O1056</f>
        <v>#</v>
      </c>
      <c r="P1124" s="106">
        <f>Cadastro!$P1056</f>
        <v>0</v>
      </c>
    </row>
    <row r="1125">
      <c r="A1125" s="104" t="str">
        <f>Cadastro!$A1057</f>
        <v>GM-FRG</v>
      </c>
      <c r="B1125" s="104" t="str">
        <f>Cadastro!$B1057</f>
        <v>FAZENDA RIO GRANDE</v>
      </c>
      <c r="C1125" s="107" t="str">
        <f>Cadastro!$C1057</f>
        <v>https://monitoramento.pm.pr.gov.br/proxy_image_17/</v>
      </c>
      <c r="D1125" s="105">
        <f>Cadastro!$D1057</f>
        <v>8601</v>
      </c>
      <c r="E1125" s="104" t="str">
        <f>Cadastro!$E1057</f>
        <v>Traseira Nsa Aparecida x Bairro Dianteira Nsa Aparecida x Br</v>
      </c>
      <c r="F1125" s="104" t="str">
        <f>Cadastro!$F1057</f>
        <v>Traseira: Nsa Aparecida x Bairro / Dianteira: Nsa Aparecida x Br</v>
      </c>
      <c r="G1125" s="104">
        <f>Cadastro!$G1057</f>
        <v>0</v>
      </c>
      <c r="H1125" s="104">
        <f>Cadastro!$H1057</f>
        <v>0</v>
      </c>
      <c r="I1125" s="104" t="str">
        <f>Cadastro!$I1057</f>
        <v>siscop</v>
      </c>
      <c r="J1125" s="104" t="str">
        <f>Cadastro!$J1057</f>
        <v>Siscop1234</v>
      </c>
      <c r="K1125" s="104" t="s">
        <v>4536</v>
      </c>
      <c r="L1125" s="104" t="s">
        <v>26</v>
      </c>
      <c r="M1125" s="104" t="s">
        <v>27</v>
      </c>
      <c r="N1125" s="108" t="str">
        <f t="shared" si="1"/>
        <v>GM-FRG</v>
      </c>
      <c r="O1125" s="112" t="str">
        <f>Cadastro!$O1057</f>
        <v>#</v>
      </c>
      <c r="P1125" s="106">
        <f>Cadastro!$P1057</f>
        <v>0</v>
      </c>
    </row>
    <row r="1126">
      <c r="A1126" s="104" t="str">
        <f>Cadastro!$A1058</f>
        <v>GM-FRG</v>
      </c>
      <c r="B1126" s="104" t="str">
        <f>Cadastro!$B1058</f>
        <v>FAZENDA RIO GRANDE</v>
      </c>
      <c r="C1126" s="107" t="str">
        <f>Cadastro!$C1058</f>
        <v>https://monitoramento.pm.pr.gov.br/proxy_image_17/</v>
      </c>
      <c r="D1126" s="105">
        <f>Cadastro!$D1058</f>
        <v>8601</v>
      </c>
      <c r="E1126" s="104" t="str">
        <f>Cadastro!$E1058</f>
        <v>Trazeira Portugal x Dianteira Portugal Bairro</v>
      </c>
      <c r="F1126" s="104" t="str">
        <f>Cadastro!$F1058</f>
        <v>Trazeira Portugal x Dianteira Portugal Bairro</v>
      </c>
      <c r="G1126" s="104">
        <f>Cadastro!$G1058</f>
        <v>0</v>
      </c>
      <c r="H1126" s="104">
        <f>Cadastro!$H1058</f>
        <v>0</v>
      </c>
      <c r="I1126" s="104" t="str">
        <f>Cadastro!$I1058</f>
        <v>siscop</v>
      </c>
      <c r="J1126" s="104" t="str">
        <f>Cadastro!$J1058</f>
        <v>Siscop1234</v>
      </c>
      <c r="K1126" s="104" t="s">
        <v>4536</v>
      </c>
      <c r="L1126" s="104" t="s">
        <v>26</v>
      </c>
      <c r="M1126" s="104" t="s">
        <v>27</v>
      </c>
      <c r="N1126" s="108" t="str">
        <f t="shared" si="1"/>
        <v>GM-FRG</v>
      </c>
      <c r="O1126" s="112" t="str">
        <f>Cadastro!$O1058</f>
        <v>#</v>
      </c>
      <c r="P1126" s="106">
        <f>Cadastro!$P1058</f>
        <v>0</v>
      </c>
    </row>
    <row r="1127">
      <c r="A1127" s="104"/>
      <c r="B1127" s="104"/>
      <c r="C1127" s="110"/>
      <c r="D1127" s="105"/>
      <c r="E1127" s="104"/>
      <c r="F1127" s="104"/>
      <c r="G1127" s="104"/>
      <c r="H1127" s="104"/>
      <c r="I1127" s="104"/>
      <c r="J1127" s="104"/>
      <c r="K1127" s="104"/>
      <c r="L1127" s="104"/>
      <c r="M1127" s="104"/>
      <c r="N1127" s="108"/>
      <c r="O1127" s="111"/>
      <c r="P1127" s="106" t="str">
        <f>Cadastro!$P1084</f>
        <v/>
      </c>
    </row>
    <row r="1128">
      <c r="A1128" s="104"/>
      <c r="B1128" s="104"/>
      <c r="C1128" s="110"/>
      <c r="D1128" s="105"/>
      <c r="E1128" s="104"/>
      <c r="F1128" s="104"/>
      <c r="G1128" s="104"/>
      <c r="H1128" s="104"/>
      <c r="I1128" s="104"/>
      <c r="J1128" s="104"/>
      <c r="K1128" s="104"/>
      <c r="L1128" s="104"/>
      <c r="M1128" s="104"/>
      <c r="N1128" s="108"/>
      <c r="O1128" s="111"/>
      <c r="P1128" s="106" t="str">
        <f>Cadastro!$P1085</f>
        <v/>
      </c>
    </row>
    <row r="1129">
      <c r="A1129" s="104"/>
      <c r="B1129" s="104"/>
      <c r="C1129" s="110"/>
      <c r="D1129" s="105"/>
      <c r="E1129" s="104"/>
      <c r="F1129" s="104"/>
      <c r="G1129" s="104"/>
      <c r="H1129" s="104"/>
      <c r="I1129" s="104"/>
      <c r="J1129" s="104"/>
      <c r="K1129" s="104"/>
      <c r="L1129" s="104"/>
      <c r="M1129" s="104"/>
      <c r="N1129" s="108"/>
      <c r="O1129" s="111"/>
      <c r="P1129" s="106" t="str">
        <f>Cadastro!$P1086</f>
        <v/>
      </c>
    </row>
    <row r="1130">
      <c r="A1130" s="104"/>
      <c r="B1130" s="104"/>
      <c r="C1130" s="110"/>
      <c r="D1130" s="105"/>
      <c r="E1130" s="104"/>
      <c r="F1130" s="104"/>
      <c r="G1130" s="104"/>
      <c r="H1130" s="104"/>
      <c r="I1130" s="104"/>
      <c r="J1130" s="104"/>
      <c r="K1130" s="104"/>
      <c r="L1130" s="104"/>
      <c r="M1130" s="104"/>
      <c r="N1130" s="108"/>
      <c r="O1130" s="111"/>
      <c r="P1130" s="106" t="str">
        <f>Cadastro!$P1087</f>
        <v/>
      </c>
    </row>
    <row r="1131">
      <c r="A1131" s="104"/>
      <c r="B1131" s="104"/>
      <c r="C1131" s="110"/>
      <c r="D1131" s="105"/>
      <c r="E1131" s="104"/>
      <c r="F1131" s="104"/>
      <c r="G1131" s="104"/>
      <c r="H1131" s="104"/>
      <c r="I1131" s="104"/>
      <c r="J1131" s="104"/>
      <c r="K1131" s="104"/>
      <c r="L1131" s="104"/>
      <c r="M1131" s="104"/>
      <c r="N1131" s="108"/>
      <c r="O1131" s="111"/>
      <c r="P1131" s="106" t="str">
        <f>Cadastro!$P1088</f>
        <v/>
      </c>
    </row>
    <row r="1132">
      <c r="A1132" s="104"/>
      <c r="B1132" s="104"/>
      <c r="C1132" s="110"/>
      <c r="D1132" s="105"/>
      <c r="E1132" s="104"/>
      <c r="F1132" s="104"/>
      <c r="G1132" s="104"/>
      <c r="H1132" s="104"/>
      <c r="I1132" s="104"/>
      <c r="J1132" s="104"/>
      <c r="K1132" s="104"/>
      <c r="L1132" s="104"/>
      <c r="M1132" s="104"/>
      <c r="N1132" s="108"/>
      <c r="O1132" s="111"/>
      <c r="P1132" s="106" t="str">
        <f>Cadastro!$P1089</f>
        <v/>
      </c>
    </row>
    <row r="1133">
      <c r="A1133" s="104"/>
      <c r="B1133" s="104"/>
      <c r="C1133" s="110"/>
      <c r="D1133" s="105"/>
      <c r="E1133" s="104"/>
      <c r="F1133" s="104"/>
      <c r="G1133" s="104"/>
      <c r="H1133" s="104"/>
      <c r="I1133" s="104"/>
      <c r="J1133" s="104"/>
      <c r="K1133" s="104"/>
      <c r="L1133" s="104"/>
      <c r="M1133" s="104"/>
      <c r="N1133" s="108"/>
      <c r="O1133" s="111"/>
      <c r="P1133" s="106" t="str">
        <f>Cadastro!$P1090</f>
        <v/>
      </c>
    </row>
    <row r="1134">
      <c r="A1134" s="104"/>
      <c r="B1134" s="104"/>
      <c r="C1134" s="110"/>
      <c r="D1134" s="105"/>
      <c r="E1134" s="104"/>
      <c r="F1134" s="104"/>
      <c r="G1134" s="104"/>
      <c r="H1134" s="104"/>
      <c r="I1134" s="104"/>
      <c r="J1134" s="104"/>
      <c r="K1134" s="104"/>
      <c r="L1134" s="104"/>
      <c r="M1134" s="104"/>
      <c r="N1134" s="108"/>
      <c r="O1134" s="111"/>
      <c r="P1134" s="106" t="str">
        <f>Cadastro!$P1091</f>
        <v/>
      </c>
    </row>
    <row r="1135">
      <c r="A1135" s="104"/>
      <c r="B1135" s="104"/>
      <c r="C1135" s="110"/>
      <c r="D1135" s="105"/>
      <c r="E1135" s="104"/>
      <c r="F1135" s="104"/>
      <c r="G1135" s="104"/>
      <c r="H1135" s="104"/>
      <c r="I1135" s="104"/>
      <c r="J1135" s="104"/>
      <c r="K1135" s="104"/>
      <c r="L1135" s="104"/>
      <c r="M1135" s="104"/>
      <c r="N1135" s="108"/>
      <c r="O1135" s="111"/>
      <c r="P1135" s="106" t="str">
        <f>Cadastro!$P1092</f>
        <v/>
      </c>
    </row>
    <row r="1136">
      <c r="A1136" s="104"/>
      <c r="B1136" s="104"/>
      <c r="C1136" s="110"/>
      <c r="D1136" s="105"/>
      <c r="E1136" s="104"/>
      <c r="F1136" s="104"/>
      <c r="G1136" s="104"/>
      <c r="H1136" s="104"/>
      <c r="I1136" s="104"/>
      <c r="J1136" s="104"/>
      <c r="K1136" s="104"/>
      <c r="L1136" s="104"/>
      <c r="M1136" s="104"/>
      <c r="N1136" s="108"/>
      <c r="O1136" s="111"/>
      <c r="P1136" s="106" t="str">
        <f>Cadastro!$P1093</f>
        <v/>
      </c>
    </row>
    <row r="1137">
      <c r="A1137" s="104"/>
      <c r="B1137" s="104"/>
      <c r="C1137" s="110"/>
      <c r="D1137" s="105"/>
      <c r="E1137" s="104"/>
      <c r="F1137" s="104"/>
      <c r="G1137" s="104"/>
      <c r="H1137" s="104"/>
      <c r="I1137" s="104"/>
      <c r="J1137" s="104"/>
      <c r="K1137" s="104"/>
      <c r="L1137" s="104"/>
      <c r="M1137" s="104"/>
      <c r="N1137" s="108"/>
      <c r="O1137" s="111"/>
      <c r="P1137" s="106" t="str">
        <f>Cadastro!$P1094</f>
        <v/>
      </c>
    </row>
    <row r="1138">
      <c r="A1138" s="104"/>
      <c r="B1138" s="104"/>
      <c r="C1138" s="110"/>
      <c r="D1138" s="105"/>
      <c r="E1138" s="104"/>
      <c r="F1138" s="104"/>
      <c r="G1138" s="104"/>
      <c r="H1138" s="104"/>
      <c r="I1138" s="104"/>
      <c r="J1138" s="104"/>
      <c r="K1138" s="104"/>
      <c r="L1138" s="104"/>
      <c r="M1138" s="104"/>
      <c r="N1138" s="108"/>
      <c r="O1138" s="111"/>
      <c r="P1138" s="106" t="str">
        <f>Cadastro!$P1095</f>
        <v/>
      </c>
    </row>
    <row r="1139">
      <c r="A1139" s="104"/>
      <c r="B1139" s="104"/>
      <c r="C1139" s="110"/>
      <c r="D1139" s="105"/>
      <c r="E1139" s="104"/>
      <c r="F1139" s="104"/>
      <c r="G1139" s="104"/>
      <c r="H1139" s="104"/>
      <c r="I1139" s="104"/>
      <c r="J1139" s="104"/>
      <c r="K1139" s="104"/>
      <c r="L1139" s="104"/>
      <c r="M1139" s="104"/>
      <c r="N1139" s="108"/>
      <c r="O1139" s="111"/>
      <c r="P1139" s="106" t="str">
        <f>Cadastro!$P1096</f>
        <v/>
      </c>
    </row>
    <row r="1140">
      <c r="A1140" s="104"/>
      <c r="B1140" s="104"/>
      <c r="C1140" s="110"/>
      <c r="D1140" s="105"/>
      <c r="E1140" s="104"/>
      <c r="F1140" s="104"/>
      <c r="G1140" s="104"/>
      <c r="H1140" s="104"/>
      <c r="I1140" s="104"/>
      <c r="J1140" s="104"/>
      <c r="K1140" s="104"/>
      <c r="L1140" s="104"/>
      <c r="M1140" s="104"/>
      <c r="N1140" s="108"/>
      <c r="O1140" s="111"/>
      <c r="P1140" s="106" t="str">
        <f>Cadastro!$P1097</f>
        <v/>
      </c>
    </row>
    <row r="1141">
      <c r="A1141" s="104"/>
      <c r="B1141" s="104"/>
      <c r="C1141" s="110"/>
      <c r="D1141" s="105"/>
      <c r="E1141" s="104"/>
      <c r="F1141" s="104"/>
      <c r="G1141" s="104"/>
      <c r="H1141" s="104"/>
      <c r="I1141" s="104"/>
      <c r="J1141" s="104"/>
      <c r="K1141" s="104"/>
      <c r="L1141" s="104"/>
      <c r="M1141" s="104"/>
      <c r="N1141" s="108"/>
      <c r="O1141" s="111"/>
      <c r="P1141" s="106" t="str">
        <f>Cadastro!$P1098</f>
        <v/>
      </c>
    </row>
    <row r="1142">
      <c r="A1142" s="104"/>
      <c r="B1142" s="104"/>
      <c r="C1142" s="110"/>
      <c r="D1142" s="105"/>
      <c r="E1142" s="104"/>
      <c r="F1142" s="104"/>
      <c r="G1142" s="104"/>
      <c r="H1142" s="104"/>
      <c r="I1142" s="104"/>
      <c r="J1142" s="104"/>
      <c r="K1142" s="104"/>
      <c r="L1142" s="104"/>
      <c r="M1142" s="104"/>
      <c r="N1142" s="108"/>
      <c r="O1142" s="111"/>
      <c r="P1142" s="106" t="str">
        <f>Cadastro!$P1099</f>
        <v/>
      </c>
    </row>
    <row r="1143">
      <c r="A1143" s="104"/>
      <c r="B1143" s="104"/>
      <c r="C1143" s="110"/>
      <c r="D1143" s="105"/>
      <c r="E1143" s="104"/>
      <c r="F1143" s="104"/>
      <c r="G1143" s="104"/>
      <c r="H1143" s="104"/>
      <c r="I1143" s="104"/>
      <c r="J1143" s="104"/>
      <c r="K1143" s="104"/>
      <c r="L1143" s="104"/>
      <c r="M1143" s="104"/>
      <c r="N1143" s="108"/>
      <c r="O1143" s="111"/>
      <c r="P1143" s="106" t="str">
        <f>Cadastro!$P1100</f>
        <v/>
      </c>
    </row>
    <row r="1144">
      <c r="A1144" s="104"/>
      <c r="B1144" s="104"/>
      <c r="C1144" s="110"/>
      <c r="D1144" s="105"/>
      <c r="E1144" s="104"/>
      <c r="F1144" s="104"/>
      <c r="G1144" s="104"/>
      <c r="H1144" s="104"/>
      <c r="I1144" s="104"/>
      <c r="J1144" s="104"/>
      <c r="K1144" s="104"/>
      <c r="L1144" s="104"/>
      <c r="M1144" s="104"/>
      <c r="N1144" s="108"/>
      <c r="O1144" s="111"/>
      <c r="P1144" s="106" t="str">
        <f>Cadastro!$P1101</f>
        <v/>
      </c>
    </row>
    <row r="1145">
      <c r="A1145" s="104"/>
      <c r="B1145" s="104"/>
      <c r="C1145" s="110"/>
      <c r="D1145" s="105"/>
      <c r="E1145" s="104"/>
      <c r="F1145" s="104"/>
      <c r="G1145" s="104"/>
      <c r="H1145" s="104"/>
      <c r="I1145" s="104"/>
      <c r="J1145" s="104"/>
      <c r="K1145" s="104"/>
      <c r="L1145" s="104"/>
      <c r="M1145" s="104"/>
      <c r="N1145" s="108"/>
      <c r="O1145" s="111"/>
      <c r="P1145" s="106" t="str">
        <f>Cadastro!$P1102</f>
        <v/>
      </c>
    </row>
    <row r="1146">
      <c r="A1146" s="104"/>
      <c r="B1146" s="104"/>
      <c r="C1146" s="110"/>
      <c r="D1146" s="105"/>
      <c r="E1146" s="104"/>
      <c r="F1146" s="104"/>
      <c r="G1146" s="104"/>
      <c r="H1146" s="104"/>
      <c r="I1146" s="104"/>
      <c r="J1146" s="104"/>
      <c r="K1146" s="104"/>
      <c r="L1146" s="104"/>
      <c r="M1146" s="104"/>
      <c r="N1146" s="108"/>
      <c r="O1146" s="111"/>
      <c r="P1146" s="106" t="str">
        <f>Cadastro!$P1103</f>
        <v/>
      </c>
    </row>
    <row r="1147">
      <c r="A1147" s="104"/>
      <c r="B1147" s="104"/>
      <c r="C1147" s="110"/>
      <c r="D1147" s="105"/>
      <c r="E1147" s="104"/>
      <c r="F1147" s="104"/>
      <c r="G1147" s="104"/>
      <c r="H1147" s="104"/>
      <c r="I1147" s="104"/>
      <c r="J1147" s="104"/>
      <c r="K1147" s="104"/>
      <c r="L1147" s="104"/>
      <c r="M1147" s="104"/>
      <c r="N1147" s="108"/>
      <c r="O1147" s="111"/>
      <c r="P1147" s="106" t="str">
        <f>Cadastro!$P1104</f>
        <v/>
      </c>
    </row>
    <row r="1148">
      <c r="A1148" s="104"/>
      <c r="B1148" s="104"/>
      <c r="C1148" s="110"/>
      <c r="D1148" s="105"/>
      <c r="E1148" s="104"/>
      <c r="F1148" s="104"/>
      <c r="G1148" s="104"/>
      <c r="H1148" s="104"/>
      <c r="I1148" s="104"/>
      <c r="J1148" s="104"/>
      <c r="K1148" s="104"/>
      <c r="L1148" s="104"/>
      <c r="M1148" s="104"/>
      <c r="N1148" s="108"/>
      <c r="O1148" s="111"/>
      <c r="P1148" s="106" t="str">
        <f>Cadastro!$P1105</f>
        <v/>
      </c>
    </row>
    <row r="1149">
      <c r="A1149" s="104"/>
      <c r="B1149" s="104"/>
      <c r="C1149" s="110"/>
      <c r="D1149" s="105"/>
      <c r="E1149" s="104"/>
      <c r="F1149" s="104"/>
      <c r="G1149" s="104"/>
      <c r="H1149" s="104"/>
      <c r="I1149" s="104"/>
      <c r="J1149" s="104"/>
      <c r="K1149" s="104"/>
      <c r="L1149" s="104"/>
      <c r="M1149" s="104"/>
      <c r="N1149" s="108"/>
      <c r="O1149" s="111"/>
      <c r="P1149" s="106" t="str">
        <f>Cadastro!$P1106</f>
        <v/>
      </c>
    </row>
    <row r="1150">
      <c r="A1150" s="104"/>
      <c r="B1150" s="104"/>
      <c r="C1150" s="110"/>
      <c r="D1150" s="105"/>
      <c r="E1150" s="104"/>
      <c r="F1150" s="104"/>
      <c r="G1150" s="104"/>
      <c r="H1150" s="104"/>
      <c r="I1150" s="104"/>
      <c r="J1150" s="104"/>
      <c r="K1150" s="104"/>
      <c r="L1150" s="104"/>
      <c r="M1150" s="104"/>
      <c r="N1150" s="108"/>
      <c r="O1150" s="111"/>
      <c r="P1150" s="106" t="str">
        <f>Cadastro!$P1107</f>
        <v/>
      </c>
    </row>
    <row r="1151">
      <c r="A1151" s="104"/>
      <c r="B1151" s="104"/>
      <c r="C1151" s="110"/>
      <c r="D1151" s="105"/>
      <c r="E1151" s="104"/>
      <c r="F1151" s="104"/>
      <c r="G1151" s="104"/>
      <c r="H1151" s="104"/>
      <c r="I1151" s="104"/>
      <c r="J1151" s="104"/>
      <c r="K1151" s="104"/>
      <c r="L1151" s="104"/>
      <c r="M1151" s="104"/>
      <c r="N1151" s="108"/>
      <c r="O1151" s="111"/>
      <c r="P1151" s="106" t="str">
        <f>Cadastro!$P1108</f>
        <v/>
      </c>
    </row>
    <row r="1152">
      <c r="A1152" s="104"/>
      <c r="B1152" s="104"/>
      <c r="C1152" s="110"/>
      <c r="D1152" s="105"/>
      <c r="E1152" s="104"/>
      <c r="F1152" s="104"/>
      <c r="G1152" s="104"/>
      <c r="H1152" s="104"/>
      <c r="I1152" s="104"/>
      <c r="J1152" s="104"/>
      <c r="K1152" s="104"/>
      <c r="L1152" s="104"/>
      <c r="M1152" s="104"/>
      <c r="N1152" s="108"/>
      <c r="O1152" s="111"/>
      <c r="P1152" s="106" t="str">
        <f>Cadastro!$P1109</f>
        <v/>
      </c>
    </row>
    <row r="1153">
      <c r="A1153" s="104"/>
      <c r="B1153" s="104"/>
      <c r="C1153" s="110"/>
      <c r="D1153" s="105"/>
      <c r="E1153" s="104"/>
      <c r="F1153" s="104"/>
      <c r="G1153" s="104"/>
      <c r="H1153" s="104"/>
      <c r="I1153" s="104"/>
      <c r="J1153" s="104"/>
      <c r="K1153" s="104"/>
      <c r="L1153" s="104"/>
      <c r="M1153" s="104"/>
      <c r="N1153" s="108"/>
      <c r="O1153" s="111"/>
      <c r="P1153" s="106" t="str">
        <f>Cadastro!$P1110</f>
        <v/>
      </c>
    </row>
    <row r="1154">
      <c r="A1154" s="104"/>
      <c r="B1154" s="104"/>
      <c r="C1154" s="110"/>
      <c r="D1154" s="105"/>
      <c r="E1154" s="104"/>
      <c r="F1154" s="104"/>
      <c r="G1154" s="104"/>
      <c r="H1154" s="104"/>
      <c r="I1154" s="104"/>
      <c r="J1154" s="104"/>
      <c r="K1154" s="104"/>
      <c r="L1154" s="104"/>
      <c r="M1154" s="104"/>
      <c r="N1154" s="108"/>
      <c r="O1154" s="111"/>
      <c r="P1154" s="106" t="str">
        <f>Cadastro!$P1111</f>
        <v/>
      </c>
    </row>
    <row r="1155">
      <c r="A1155" s="104"/>
      <c r="B1155" s="104"/>
      <c r="C1155" s="110"/>
      <c r="D1155" s="105"/>
      <c r="E1155" s="104"/>
      <c r="F1155" s="104"/>
      <c r="G1155" s="104"/>
      <c r="H1155" s="104"/>
      <c r="I1155" s="104"/>
      <c r="J1155" s="104"/>
      <c r="K1155" s="104"/>
      <c r="L1155" s="104"/>
      <c r="M1155" s="104"/>
      <c r="N1155" s="108"/>
      <c r="O1155" s="111"/>
      <c r="P1155" s="106" t="str">
        <f>Cadastro!$P1112</f>
        <v/>
      </c>
    </row>
    <row r="1156">
      <c r="A1156" s="104"/>
      <c r="B1156" s="104"/>
      <c r="C1156" s="110"/>
      <c r="D1156" s="105"/>
      <c r="E1156" s="104"/>
      <c r="F1156" s="104"/>
      <c r="G1156" s="104"/>
      <c r="H1156" s="104"/>
      <c r="I1156" s="104"/>
      <c r="J1156" s="104"/>
      <c r="K1156" s="104"/>
      <c r="L1156" s="104"/>
      <c r="M1156" s="104"/>
      <c r="N1156" s="108"/>
      <c r="O1156" s="111"/>
      <c r="P1156" s="106" t="str">
        <f>Cadastro!$P1113</f>
        <v/>
      </c>
    </row>
    <row r="1157">
      <c r="A1157" s="104"/>
      <c r="B1157" s="104"/>
      <c r="C1157" s="110"/>
      <c r="D1157" s="105"/>
      <c r="E1157" s="104"/>
      <c r="F1157" s="104"/>
      <c r="G1157" s="104"/>
      <c r="H1157" s="104"/>
      <c r="I1157" s="104"/>
      <c r="J1157" s="104"/>
      <c r="K1157" s="104"/>
      <c r="L1157" s="104"/>
      <c r="M1157" s="104"/>
      <c r="N1157" s="108"/>
      <c r="O1157" s="111"/>
      <c r="P1157" s="106" t="str">
        <f>Cadastro!$P1114</f>
        <v/>
      </c>
    </row>
    <row r="1158">
      <c r="A1158" s="104"/>
      <c r="B1158" s="104"/>
      <c r="C1158" s="110"/>
      <c r="D1158" s="105"/>
      <c r="E1158" s="104"/>
      <c r="F1158" s="104"/>
      <c r="G1158" s="104"/>
      <c r="H1158" s="104"/>
      <c r="I1158" s="104"/>
      <c r="J1158" s="104"/>
      <c r="K1158" s="104"/>
      <c r="L1158" s="104"/>
      <c r="M1158" s="104"/>
      <c r="N1158" s="108"/>
      <c r="O1158" s="111"/>
      <c r="P1158" s="106" t="str">
        <f>Cadastro!$P1115</f>
        <v/>
      </c>
    </row>
    <row r="1159">
      <c r="A1159" s="104"/>
      <c r="B1159" s="104"/>
      <c r="C1159" s="110"/>
      <c r="D1159" s="105"/>
      <c r="E1159" s="104"/>
      <c r="F1159" s="104"/>
      <c r="G1159" s="104"/>
      <c r="H1159" s="104"/>
      <c r="I1159" s="104"/>
      <c r="J1159" s="104"/>
      <c r="K1159" s="104"/>
      <c r="L1159" s="104"/>
      <c r="M1159" s="104"/>
      <c r="N1159" s="108"/>
      <c r="O1159" s="111"/>
      <c r="P1159" s="106" t="str">
        <f>Cadastro!$P1116</f>
        <v/>
      </c>
    </row>
    <row r="1160">
      <c r="A1160" s="104"/>
      <c r="B1160" s="104"/>
      <c r="C1160" s="110"/>
      <c r="D1160" s="105"/>
      <c r="E1160" s="104"/>
      <c r="F1160" s="104"/>
      <c r="G1160" s="104"/>
      <c r="H1160" s="104"/>
      <c r="I1160" s="104"/>
      <c r="J1160" s="104"/>
      <c r="K1160" s="104"/>
      <c r="L1160" s="104"/>
      <c r="M1160" s="104"/>
      <c r="N1160" s="108"/>
      <c r="O1160" s="111"/>
      <c r="P1160" s="106" t="str">
        <f>Cadastro!$P1117</f>
        <v/>
      </c>
    </row>
    <row r="1161">
      <c r="A1161" s="104"/>
      <c r="B1161" s="104"/>
      <c r="C1161" s="110"/>
      <c r="D1161" s="105"/>
      <c r="E1161" s="104"/>
      <c r="F1161" s="104"/>
      <c r="G1161" s="104"/>
      <c r="H1161" s="104"/>
      <c r="I1161" s="104"/>
      <c r="J1161" s="104"/>
      <c r="K1161" s="104"/>
      <c r="L1161" s="104"/>
      <c r="M1161" s="104"/>
      <c r="N1161" s="108"/>
      <c r="O1161" s="111"/>
      <c r="P1161" s="106" t="str">
        <f>Cadastro!$P1118</f>
        <v/>
      </c>
    </row>
    <row r="1162">
      <c r="A1162" s="104"/>
      <c r="B1162" s="104"/>
      <c r="C1162" s="110"/>
      <c r="D1162" s="105"/>
      <c r="E1162" s="104"/>
      <c r="F1162" s="104"/>
      <c r="G1162" s="104"/>
      <c r="H1162" s="104"/>
      <c r="I1162" s="104"/>
      <c r="J1162" s="104"/>
      <c r="K1162" s="104"/>
      <c r="L1162" s="104"/>
      <c r="M1162" s="104"/>
      <c r="N1162" s="108"/>
      <c r="O1162" s="111"/>
      <c r="P1162" s="106" t="str">
        <f>Cadastro!$P1119</f>
        <v/>
      </c>
    </row>
    <row r="1163">
      <c r="A1163" s="104"/>
      <c r="B1163" s="104"/>
      <c r="C1163" s="110"/>
      <c r="D1163" s="105"/>
      <c r="E1163" s="104"/>
      <c r="F1163" s="104"/>
      <c r="G1163" s="104"/>
      <c r="H1163" s="104"/>
      <c r="I1163" s="104"/>
      <c r="J1163" s="104"/>
      <c r="K1163" s="104"/>
      <c r="L1163" s="104"/>
      <c r="M1163" s="104"/>
      <c r="N1163" s="108"/>
      <c r="O1163" s="111"/>
      <c r="P1163" s="106" t="str">
        <f>Cadastro!$P1120</f>
        <v/>
      </c>
    </row>
    <row r="1164">
      <c r="A1164" s="104"/>
      <c r="B1164" s="104"/>
      <c r="C1164" s="110"/>
      <c r="D1164" s="105"/>
      <c r="E1164" s="104"/>
      <c r="F1164" s="104"/>
      <c r="G1164" s="104"/>
      <c r="H1164" s="104"/>
      <c r="I1164" s="104"/>
      <c r="J1164" s="104"/>
      <c r="K1164" s="104"/>
      <c r="L1164" s="104"/>
      <c r="M1164" s="104"/>
      <c r="N1164" s="108"/>
      <c r="O1164" s="111"/>
      <c r="P1164" s="106" t="str">
        <f>Cadastro!$P1121</f>
        <v/>
      </c>
    </row>
    <row r="1165">
      <c r="A1165" s="104"/>
      <c r="B1165" s="104"/>
      <c r="C1165" s="110"/>
      <c r="D1165" s="105"/>
      <c r="E1165" s="104"/>
      <c r="F1165" s="104"/>
      <c r="G1165" s="104"/>
      <c r="H1165" s="104"/>
      <c r="I1165" s="104"/>
      <c r="J1165" s="104"/>
      <c r="K1165" s="104"/>
      <c r="L1165" s="104"/>
      <c r="M1165" s="104"/>
      <c r="N1165" s="108"/>
      <c r="O1165" s="111"/>
      <c r="P1165" s="106" t="str">
        <f>Cadastro!$P1122</f>
        <v/>
      </c>
    </row>
    <row r="1166">
      <c r="A1166" s="104"/>
      <c r="B1166" s="104"/>
      <c r="C1166" s="110"/>
      <c r="D1166" s="105"/>
      <c r="E1166" s="104"/>
      <c r="F1166" s="104"/>
      <c r="G1166" s="104"/>
      <c r="H1166" s="104"/>
      <c r="I1166" s="104"/>
      <c r="J1166" s="104"/>
      <c r="K1166" s="104"/>
      <c r="L1166" s="104"/>
      <c r="M1166" s="104"/>
      <c r="N1166" s="108"/>
      <c r="O1166" s="111"/>
      <c r="P1166" s="106" t="str">
        <f>Cadastro!$P1123</f>
        <v/>
      </c>
    </row>
    <row r="1167">
      <c r="A1167" s="104"/>
      <c r="B1167" s="104"/>
      <c r="C1167" s="110"/>
      <c r="D1167" s="105"/>
      <c r="E1167" s="104"/>
      <c r="F1167" s="104"/>
      <c r="G1167" s="104"/>
      <c r="H1167" s="104"/>
      <c r="I1167" s="104"/>
      <c r="J1167" s="104"/>
      <c r="K1167" s="104"/>
      <c r="L1167" s="104"/>
      <c r="M1167" s="104"/>
      <c r="N1167" s="108"/>
      <c r="O1167" s="111"/>
      <c r="P1167" s="106" t="str">
        <f>Cadastro!$P1124</f>
        <v/>
      </c>
    </row>
    <row r="1168">
      <c r="A1168" s="104"/>
      <c r="B1168" s="104"/>
      <c r="C1168" s="110"/>
      <c r="D1168" s="105"/>
      <c r="E1168" s="104"/>
      <c r="F1168" s="104"/>
      <c r="G1168" s="104"/>
      <c r="H1168" s="104"/>
      <c r="I1168" s="104"/>
      <c r="J1168" s="104"/>
      <c r="K1168" s="104"/>
      <c r="L1168" s="104"/>
      <c r="M1168" s="104"/>
      <c r="N1168" s="108"/>
      <c r="O1168" s="111"/>
      <c r="P1168" s="106" t="str">
        <f>Cadastro!$P1125</f>
        <v/>
      </c>
    </row>
    <row r="1169">
      <c r="A1169" s="104"/>
      <c r="B1169" s="104"/>
      <c r="C1169" s="110"/>
      <c r="D1169" s="105"/>
      <c r="E1169" s="104"/>
      <c r="F1169" s="104"/>
      <c r="G1169" s="104"/>
      <c r="H1169" s="104"/>
      <c r="I1169" s="104"/>
      <c r="J1169" s="104"/>
      <c r="K1169" s="104"/>
      <c r="L1169" s="104"/>
      <c r="M1169" s="104"/>
      <c r="N1169" s="108"/>
      <c r="O1169" s="111"/>
      <c r="P1169" s="106" t="str">
        <f>Cadastro!$P1126</f>
        <v/>
      </c>
    </row>
    <row r="1170">
      <c r="A1170" s="104"/>
      <c r="B1170" s="104"/>
      <c r="C1170" s="110"/>
      <c r="D1170" s="105"/>
      <c r="E1170" s="104"/>
      <c r="F1170" s="104"/>
      <c r="G1170" s="104"/>
      <c r="H1170" s="104"/>
      <c r="I1170" s="104"/>
      <c r="J1170" s="104"/>
      <c r="K1170" s="104"/>
      <c r="L1170" s="104"/>
      <c r="M1170" s="104"/>
      <c r="N1170" s="108"/>
      <c r="O1170" s="111"/>
      <c r="P1170" s="106" t="str">
        <f>Cadastro!$P1127</f>
        <v/>
      </c>
    </row>
    <row r="1171">
      <c r="A1171" s="104"/>
      <c r="B1171" s="104"/>
      <c r="C1171" s="110"/>
      <c r="D1171" s="105"/>
      <c r="E1171" s="104"/>
      <c r="F1171" s="104"/>
      <c r="G1171" s="104"/>
      <c r="H1171" s="104"/>
      <c r="I1171" s="104"/>
      <c r="J1171" s="104"/>
      <c r="K1171" s="104"/>
      <c r="L1171" s="104"/>
      <c r="M1171" s="104"/>
      <c r="N1171" s="108"/>
      <c r="O1171" s="111"/>
      <c r="P1171" s="106" t="str">
        <f>Cadastro!$P1128</f>
        <v/>
      </c>
    </row>
    <row r="1172">
      <c r="A1172" s="104"/>
      <c r="B1172" s="104"/>
      <c r="C1172" s="110"/>
      <c r="D1172" s="105"/>
      <c r="E1172" s="104"/>
      <c r="F1172" s="104"/>
      <c r="G1172" s="104"/>
      <c r="H1172" s="104"/>
      <c r="I1172" s="104"/>
      <c r="J1172" s="104"/>
      <c r="K1172" s="104"/>
      <c r="L1172" s="104"/>
      <c r="M1172" s="104"/>
      <c r="N1172" s="108"/>
      <c r="O1172" s="111"/>
      <c r="P1172" s="106" t="str">
        <f>Cadastro!$P1129</f>
        <v/>
      </c>
    </row>
    <row r="1173">
      <c r="A1173" s="104"/>
      <c r="B1173" s="104"/>
      <c r="C1173" s="110"/>
      <c r="D1173" s="105"/>
      <c r="E1173" s="108"/>
      <c r="F1173" s="104"/>
      <c r="G1173" s="104"/>
      <c r="H1173" s="104"/>
      <c r="I1173" s="104"/>
      <c r="J1173" s="104"/>
      <c r="N1173" s="108"/>
      <c r="O1173" s="111"/>
      <c r="P1173" s="106"/>
    </row>
    <row r="1174">
      <c r="A1174" s="104"/>
      <c r="B1174" s="104"/>
      <c r="C1174" s="110"/>
      <c r="D1174" s="105"/>
      <c r="E1174" s="108"/>
      <c r="F1174" s="104"/>
      <c r="G1174" s="104"/>
      <c r="H1174" s="104"/>
      <c r="I1174" s="104"/>
      <c r="J1174" s="104"/>
      <c r="N1174" s="108"/>
      <c r="O1174" s="111"/>
      <c r="P1174" s="106"/>
    </row>
    <row r="1175">
      <c r="A1175" s="104"/>
      <c r="B1175" s="104"/>
      <c r="C1175" s="110"/>
      <c r="D1175" s="105"/>
      <c r="E1175" s="108"/>
      <c r="F1175" s="104"/>
      <c r="G1175" s="104"/>
      <c r="H1175" s="104"/>
      <c r="I1175" s="104"/>
      <c r="J1175" s="104"/>
      <c r="N1175" s="108"/>
      <c r="O1175" s="111"/>
      <c r="P1175" s="106"/>
    </row>
  </sheetData>
  <drawing r:id="rId1"/>
</worksheet>
</file>